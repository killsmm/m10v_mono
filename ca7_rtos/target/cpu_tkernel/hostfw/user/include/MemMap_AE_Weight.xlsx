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1460" yWindow="1110" windowWidth="14520" windowHeight="10710" tabRatio="894"/>
  </bookViews>
  <sheets>
    <sheet name="History" sheetId="9" r:id="rId1"/>
    <sheet name="ROM_MAP" sheetId="2" r:id="rId2"/>
    <sheet name="ROM_WORK" sheetId="3" r:id="rId3"/>
    <sheet name="AE_weight" sheetId="4" r:id="rId4"/>
    <sheet name="AE_w_WORK" sheetId="5" r:id="rId5"/>
  </sheets>
  <externalReferences>
    <externalReference r:id="rId6"/>
  </externalReferences>
  <definedNames>
    <definedName name="_xlnm._FilterDatabase" localSheetId="1" hidden="1">ROM_MAP!$B$1:$N$1673</definedName>
    <definedName name="_xlnm.Print_Area" localSheetId="1">ROM_MAP!$A$1:$K$1671</definedName>
    <definedName name="_xlnm.Print_Area" localSheetId="2">ROM_WORK!$B$1:$M$25</definedName>
  </definedNames>
  <calcPr calcId="145621"/>
</workbook>
</file>

<file path=xl/calcChain.xml><?xml version="1.0" encoding="utf-8"?>
<calcChain xmlns="http://schemas.openxmlformats.org/spreadsheetml/2006/main">
  <c r="I1542" i="2" l="1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Y468" i="4"/>
  <c r="X468" i="4"/>
  <c r="W468" i="4"/>
  <c r="V468" i="4"/>
  <c r="U468" i="4"/>
  <c r="Y467" i="4"/>
  <c r="X467" i="4"/>
  <c r="W467" i="4"/>
  <c r="V467" i="4"/>
  <c r="U467" i="4"/>
  <c r="Y466" i="4"/>
  <c r="X466" i="4"/>
  <c r="W466" i="4"/>
  <c r="V466" i="4"/>
  <c r="U466" i="4"/>
  <c r="Y465" i="4"/>
  <c r="X465" i="4"/>
  <c r="W465" i="4"/>
  <c r="V465" i="4"/>
  <c r="U465" i="4"/>
  <c r="Y464" i="4"/>
  <c r="X464" i="4"/>
  <c r="W464" i="4"/>
  <c r="V464" i="4"/>
  <c r="U464" i="4"/>
  <c r="Y463" i="4"/>
  <c r="X463" i="4"/>
  <c r="W463" i="4"/>
  <c r="V463" i="4"/>
  <c r="U463" i="4"/>
  <c r="Y462" i="4"/>
  <c r="X462" i="4"/>
  <c r="W462" i="4"/>
  <c r="V462" i="4"/>
  <c r="U462" i="4"/>
  <c r="Y461" i="4"/>
  <c r="X461" i="4"/>
  <c r="W461" i="4"/>
  <c r="V461" i="4"/>
  <c r="U461" i="4"/>
  <c r="Y460" i="4"/>
  <c r="X460" i="4"/>
  <c r="W460" i="4"/>
  <c r="V460" i="4"/>
  <c r="U460" i="4"/>
  <c r="Y459" i="4"/>
  <c r="X459" i="4"/>
  <c r="W459" i="4"/>
  <c r="V459" i="4"/>
  <c r="U459" i="4"/>
  <c r="Y458" i="4"/>
  <c r="X458" i="4"/>
  <c r="W458" i="4"/>
  <c r="V458" i="4"/>
  <c r="U458" i="4"/>
  <c r="Y457" i="4"/>
  <c r="X457" i="4"/>
  <c r="W457" i="4"/>
  <c r="V457" i="4"/>
  <c r="U457" i="4"/>
  <c r="Y456" i="4"/>
  <c r="X456" i="4"/>
  <c r="W456" i="4"/>
  <c r="V456" i="4"/>
  <c r="U456" i="4"/>
  <c r="Y455" i="4"/>
  <c r="X455" i="4"/>
  <c r="W455" i="4"/>
  <c r="V455" i="4"/>
  <c r="U455" i="4"/>
  <c r="Y454" i="4"/>
  <c r="X454" i="4"/>
  <c r="W454" i="4"/>
  <c r="V454" i="4"/>
  <c r="U454" i="4"/>
  <c r="Y453" i="4"/>
  <c r="X453" i="4"/>
  <c r="W453" i="4"/>
  <c r="V453" i="4"/>
  <c r="U453" i="4"/>
  <c r="Y452" i="4"/>
  <c r="X452" i="4"/>
  <c r="W452" i="4"/>
  <c r="V452" i="4"/>
  <c r="U452" i="4"/>
  <c r="Y451" i="4"/>
  <c r="X451" i="4"/>
  <c r="W451" i="4"/>
  <c r="V451" i="4"/>
  <c r="U451" i="4"/>
  <c r="Y450" i="4"/>
  <c r="X450" i="4"/>
  <c r="W450" i="4"/>
  <c r="V450" i="4"/>
  <c r="U450" i="4"/>
  <c r="Y449" i="4"/>
  <c r="X449" i="4"/>
  <c r="W449" i="4"/>
  <c r="V449" i="4"/>
  <c r="U449" i="4"/>
  <c r="Y448" i="4"/>
  <c r="X448" i="4"/>
  <c r="W448" i="4"/>
  <c r="V448" i="4"/>
  <c r="U448" i="4"/>
  <c r="Y447" i="4"/>
  <c r="X447" i="4"/>
  <c r="W447" i="4"/>
  <c r="V447" i="4"/>
  <c r="U447" i="4"/>
  <c r="Y446" i="4"/>
  <c r="X446" i="4"/>
  <c r="W446" i="4"/>
  <c r="V446" i="4"/>
  <c r="U446" i="4"/>
  <c r="Y445" i="4"/>
  <c r="X445" i="4"/>
  <c r="W445" i="4"/>
  <c r="V445" i="4"/>
  <c r="U445" i="4"/>
  <c r="Y444" i="4"/>
  <c r="X444" i="4"/>
  <c r="W444" i="4"/>
  <c r="V444" i="4"/>
  <c r="U444" i="4"/>
  <c r="Y443" i="4"/>
  <c r="X443" i="4"/>
  <c r="W443" i="4"/>
  <c r="V443" i="4"/>
  <c r="U443" i="4"/>
  <c r="Y442" i="4"/>
  <c r="X442" i="4"/>
  <c r="W442" i="4"/>
  <c r="V442" i="4"/>
  <c r="U442" i="4"/>
  <c r="Y441" i="4"/>
  <c r="X441" i="4"/>
  <c r="W441" i="4"/>
  <c r="V441" i="4"/>
  <c r="U441" i="4"/>
  <c r="Y440" i="4"/>
  <c r="X440" i="4"/>
  <c r="W440" i="4"/>
  <c r="V440" i="4"/>
  <c r="U440" i="4"/>
  <c r="Y439" i="4"/>
  <c r="X439" i="4"/>
  <c r="W439" i="4"/>
  <c r="V439" i="4"/>
  <c r="U439" i="4"/>
  <c r="Y438" i="4"/>
  <c r="X438" i="4"/>
  <c r="W438" i="4"/>
  <c r="V438" i="4"/>
  <c r="U438" i="4"/>
  <c r="Y437" i="4"/>
  <c r="X437" i="4"/>
  <c r="W437" i="4"/>
  <c r="V437" i="4"/>
  <c r="U437" i="4"/>
  <c r="P6" i="5" s="1"/>
  <c r="I1543" i="2" s="1"/>
  <c r="Y436" i="4"/>
  <c r="X436" i="4"/>
  <c r="W436" i="4"/>
  <c r="V436" i="4"/>
  <c r="U435" i="4"/>
  <c r="Y432" i="4"/>
  <c r="X432" i="4"/>
  <c r="W432" i="4"/>
  <c r="V432" i="4"/>
  <c r="U432" i="4"/>
  <c r="Y431" i="4"/>
  <c r="X431" i="4"/>
  <c r="W431" i="4"/>
  <c r="V431" i="4"/>
  <c r="U431" i="4"/>
  <c r="Y430" i="4"/>
  <c r="X430" i="4"/>
  <c r="W430" i="4"/>
  <c r="V430" i="4"/>
  <c r="U430" i="4"/>
  <c r="Y429" i="4"/>
  <c r="X429" i="4"/>
  <c r="W429" i="4"/>
  <c r="V429" i="4"/>
  <c r="U429" i="4"/>
  <c r="Y428" i="4"/>
  <c r="X428" i="4"/>
  <c r="W428" i="4"/>
  <c r="V428" i="4"/>
  <c r="U428" i="4"/>
  <c r="Y427" i="4"/>
  <c r="X427" i="4"/>
  <c r="W427" i="4"/>
  <c r="V427" i="4"/>
  <c r="U427" i="4"/>
  <c r="Y426" i="4"/>
  <c r="X426" i="4"/>
  <c r="W426" i="4"/>
  <c r="V426" i="4"/>
  <c r="U426" i="4"/>
  <c r="Y425" i="4"/>
  <c r="X425" i="4"/>
  <c r="W425" i="4"/>
  <c r="V425" i="4"/>
  <c r="U425" i="4"/>
  <c r="Y424" i="4"/>
  <c r="X424" i="4"/>
  <c r="W424" i="4"/>
  <c r="V424" i="4"/>
  <c r="U424" i="4"/>
  <c r="Y423" i="4"/>
  <c r="X423" i="4"/>
  <c r="W423" i="4"/>
  <c r="V423" i="4"/>
  <c r="U423" i="4"/>
  <c r="Y422" i="4"/>
  <c r="X422" i="4"/>
  <c r="W422" i="4"/>
  <c r="V422" i="4"/>
  <c r="U422" i="4"/>
  <c r="Y421" i="4"/>
  <c r="X421" i="4"/>
  <c r="W421" i="4"/>
  <c r="V421" i="4"/>
  <c r="U421" i="4"/>
  <c r="Y420" i="4"/>
  <c r="X420" i="4"/>
  <c r="W420" i="4"/>
  <c r="V420" i="4"/>
  <c r="U420" i="4"/>
  <c r="Y419" i="4"/>
  <c r="X419" i="4"/>
  <c r="W419" i="4"/>
  <c r="V419" i="4"/>
  <c r="U419" i="4"/>
  <c r="Y418" i="4"/>
  <c r="X418" i="4"/>
  <c r="W418" i="4"/>
  <c r="V418" i="4"/>
  <c r="U418" i="4"/>
  <c r="Y417" i="4"/>
  <c r="X417" i="4"/>
  <c r="W417" i="4"/>
  <c r="V417" i="4"/>
  <c r="U417" i="4"/>
  <c r="Y416" i="4"/>
  <c r="X416" i="4"/>
  <c r="W416" i="4"/>
  <c r="V416" i="4"/>
  <c r="U416" i="4"/>
  <c r="Y415" i="4"/>
  <c r="X415" i="4"/>
  <c r="W415" i="4"/>
  <c r="V415" i="4"/>
  <c r="U415" i="4"/>
  <c r="Y414" i="4"/>
  <c r="X414" i="4"/>
  <c r="W414" i="4"/>
  <c r="V414" i="4"/>
  <c r="U414" i="4"/>
  <c r="Y413" i="4"/>
  <c r="X413" i="4"/>
  <c r="W413" i="4"/>
  <c r="V413" i="4"/>
  <c r="U413" i="4"/>
  <c r="Y412" i="4"/>
  <c r="X412" i="4"/>
  <c r="W412" i="4"/>
  <c r="V412" i="4"/>
  <c r="U412" i="4"/>
  <c r="Y411" i="4"/>
  <c r="X411" i="4"/>
  <c r="W411" i="4"/>
  <c r="V411" i="4"/>
  <c r="U411" i="4"/>
  <c r="Y410" i="4"/>
  <c r="X410" i="4"/>
  <c r="W410" i="4"/>
  <c r="V410" i="4"/>
  <c r="U410" i="4"/>
  <c r="Y409" i="4"/>
  <c r="X409" i="4"/>
  <c r="W409" i="4"/>
  <c r="V409" i="4"/>
  <c r="U409" i="4"/>
  <c r="Y408" i="4"/>
  <c r="X408" i="4"/>
  <c r="W408" i="4"/>
  <c r="V408" i="4"/>
  <c r="U408" i="4"/>
  <c r="Y407" i="4"/>
  <c r="X407" i="4"/>
  <c r="W407" i="4"/>
  <c r="V407" i="4"/>
  <c r="U407" i="4"/>
  <c r="Y406" i="4"/>
  <c r="X406" i="4"/>
  <c r="W406" i="4"/>
  <c r="V406" i="4"/>
  <c r="U406" i="4"/>
  <c r="Y405" i="4"/>
  <c r="X405" i="4"/>
  <c r="W405" i="4"/>
  <c r="V405" i="4"/>
  <c r="U405" i="4"/>
  <c r="Y404" i="4"/>
  <c r="X404" i="4"/>
  <c r="W404" i="4"/>
  <c r="V404" i="4"/>
  <c r="U404" i="4"/>
  <c r="Y403" i="4"/>
  <c r="X403" i="4"/>
  <c r="W403" i="4"/>
  <c r="V403" i="4"/>
  <c r="U403" i="4"/>
  <c r="Y402" i="4"/>
  <c r="X402" i="4"/>
  <c r="W402" i="4"/>
  <c r="V402" i="4"/>
  <c r="U402" i="4"/>
  <c r="Y401" i="4"/>
  <c r="X401" i="4"/>
  <c r="W401" i="4"/>
  <c r="V401" i="4"/>
  <c r="U401" i="4"/>
  <c r="Y400" i="4"/>
  <c r="X400" i="4"/>
  <c r="W400" i="4"/>
  <c r="V400" i="4"/>
  <c r="U399" i="4"/>
  <c r="Y396" i="4"/>
  <c r="X396" i="4"/>
  <c r="W396" i="4"/>
  <c r="V396" i="4"/>
  <c r="U396" i="4"/>
  <c r="Y395" i="4"/>
  <c r="X395" i="4"/>
  <c r="W395" i="4"/>
  <c r="V395" i="4"/>
  <c r="U395" i="4"/>
  <c r="Y394" i="4"/>
  <c r="X394" i="4"/>
  <c r="W394" i="4"/>
  <c r="V394" i="4"/>
  <c r="U394" i="4"/>
  <c r="Y393" i="4"/>
  <c r="X393" i="4"/>
  <c r="W393" i="4"/>
  <c r="V393" i="4"/>
  <c r="U393" i="4"/>
  <c r="Y392" i="4"/>
  <c r="X392" i="4"/>
  <c r="W392" i="4"/>
  <c r="V392" i="4"/>
  <c r="U392" i="4"/>
  <c r="Y391" i="4"/>
  <c r="X391" i="4"/>
  <c r="W391" i="4"/>
  <c r="V391" i="4"/>
  <c r="U391" i="4"/>
  <c r="Y390" i="4"/>
  <c r="X390" i="4"/>
  <c r="W390" i="4"/>
  <c r="V390" i="4"/>
  <c r="U390" i="4"/>
  <c r="Y389" i="4"/>
  <c r="X389" i="4"/>
  <c r="W389" i="4"/>
  <c r="V389" i="4"/>
  <c r="U389" i="4"/>
  <c r="Y388" i="4"/>
  <c r="X388" i="4"/>
  <c r="W388" i="4"/>
  <c r="V388" i="4"/>
  <c r="U388" i="4"/>
  <c r="Y387" i="4"/>
  <c r="X387" i="4"/>
  <c r="W387" i="4"/>
  <c r="V387" i="4"/>
  <c r="U387" i="4"/>
  <c r="Y386" i="4"/>
  <c r="X386" i="4"/>
  <c r="W386" i="4"/>
  <c r="V386" i="4"/>
  <c r="U386" i="4"/>
  <c r="Y385" i="4"/>
  <c r="X385" i="4"/>
  <c r="W385" i="4"/>
  <c r="V385" i="4"/>
  <c r="U385" i="4"/>
  <c r="Y384" i="4"/>
  <c r="X384" i="4"/>
  <c r="W384" i="4"/>
  <c r="V384" i="4"/>
  <c r="U384" i="4"/>
  <c r="Y383" i="4"/>
  <c r="X383" i="4"/>
  <c r="W383" i="4"/>
  <c r="V383" i="4"/>
  <c r="U383" i="4"/>
  <c r="Y382" i="4"/>
  <c r="X382" i="4"/>
  <c r="W382" i="4"/>
  <c r="V382" i="4"/>
  <c r="U382" i="4"/>
  <c r="Y381" i="4"/>
  <c r="X381" i="4"/>
  <c r="W381" i="4"/>
  <c r="V381" i="4"/>
  <c r="U381" i="4"/>
  <c r="Y380" i="4"/>
  <c r="X380" i="4"/>
  <c r="W380" i="4"/>
  <c r="V380" i="4"/>
  <c r="U380" i="4"/>
  <c r="Y379" i="4"/>
  <c r="X379" i="4"/>
  <c r="W379" i="4"/>
  <c r="V379" i="4"/>
  <c r="U379" i="4"/>
  <c r="Y378" i="4"/>
  <c r="X378" i="4"/>
  <c r="W378" i="4"/>
  <c r="V378" i="4"/>
  <c r="U378" i="4"/>
  <c r="Y377" i="4"/>
  <c r="X377" i="4"/>
  <c r="W377" i="4"/>
  <c r="V377" i="4"/>
  <c r="U377" i="4"/>
  <c r="Y376" i="4"/>
  <c r="X376" i="4"/>
  <c r="W376" i="4"/>
  <c r="V376" i="4"/>
  <c r="U376" i="4"/>
  <c r="Y375" i="4"/>
  <c r="X375" i="4"/>
  <c r="W375" i="4"/>
  <c r="V375" i="4"/>
  <c r="U375" i="4"/>
  <c r="Y374" i="4"/>
  <c r="X374" i="4"/>
  <c r="W374" i="4"/>
  <c r="V374" i="4"/>
  <c r="U374" i="4"/>
  <c r="Y373" i="4"/>
  <c r="X373" i="4"/>
  <c r="W373" i="4"/>
  <c r="V373" i="4"/>
  <c r="U373" i="4"/>
  <c r="Y372" i="4"/>
  <c r="X372" i="4"/>
  <c r="W372" i="4"/>
  <c r="V372" i="4"/>
  <c r="U372" i="4"/>
  <c r="Y371" i="4"/>
  <c r="X371" i="4"/>
  <c r="W371" i="4"/>
  <c r="V371" i="4"/>
  <c r="U371" i="4"/>
  <c r="Y370" i="4"/>
  <c r="X370" i="4"/>
  <c r="W370" i="4"/>
  <c r="V370" i="4"/>
  <c r="U370" i="4"/>
  <c r="Y369" i="4"/>
  <c r="X369" i="4"/>
  <c r="W369" i="4"/>
  <c r="V369" i="4"/>
  <c r="U369" i="4"/>
  <c r="Y368" i="4"/>
  <c r="X368" i="4"/>
  <c r="W368" i="4"/>
  <c r="V368" i="4"/>
  <c r="U368" i="4"/>
  <c r="Y367" i="4"/>
  <c r="X367" i="4"/>
  <c r="W367" i="4"/>
  <c r="V367" i="4"/>
  <c r="U367" i="4"/>
  <c r="Y366" i="4"/>
  <c r="X366" i="4"/>
  <c r="W366" i="4"/>
  <c r="V366" i="4"/>
  <c r="U366" i="4"/>
  <c r="Y365" i="4"/>
  <c r="X365" i="4"/>
  <c r="W365" i="4"/>
  <c r="V365" i="4"/>
  <c r="U365" i="4"/>
  <c r="N6" i="5" s="1"/>
  <c r="Y364" i="4"/>
  <c r="X364" i="4"/>
  <c r="W364" i="4"/>
  <c r="V364" i="4"/>
  <c r="U363" i="4"/>
  <c r="Y360" i="4"/>
  <c r="X360" i="4"/>
  <c r="W360" i="4"/>
  <c r="V360" i="4"/>
  <c r="U360" i="4"/>
  <c r="Y359" i="4"/>
  <c r="X359" i="4"/>
  <c r="W359" i="4"/>
  <c r="V359" i="4"/>
  <c r="U359" i="4"/>
  <c r="Y358" i="4"/>
  <c r="X358" i="4"/>
  <c r="W358" i="4"/>
  <c r="V358" i="4"/>
  <c r="U358" i="4"/>
  <c r="Y357" i="4"/>
  <c r="X357" i="4"/>
  <c r="W357" i="4"/>
  <c r="V357" i="4"/>
  <c r="U357" i="4"/>
  <c r="Y356" i="4"/>
  <c r="X356" i="4"/>
  <c r="W356" i="4"/>
  <c r="V356" i="4"/>
  <c r="U356" i="4"/>
  <c r="Y355" i="4"/>
  <c r="X355" i="4"/>
  <c r="W355" i="4"/>
  <c r="V355" i="4"/>
  <c r="U355" i="4"/>
  <c r="Y354" i="4"/>
  <c r="X354" i="4"/>
  <c r="W354" i="4"/>
  <c r="V354" i="4"/>
  <c r="U354" i="4"/>
  <c r="Y353" i="4"/>
  <c r="X353" i="4"/>
  <c r="W353" i="4"/>
  <c r="V353" i="4"/>
  <c r="U353" i="4"/>
  <c r="Y352" i="4"/>
  <c r="X352" i="4"/>
  <c r="W352" i="4"/>
  <c r="V352" i="4"/>
  <c r="U352" i="4"/>
  <c r="Y351" i="4"/>
  <c r="X351" i="4"/>
  <c r="W351" i="4"/>
  <c r="V351" i="4"/>
  <c r="U351" i="4"/>
  <c r="Y350" i="4"/>
  <c r="X350" i="4"/>
  <c r="W350" i="4"/>
  <c r="V350" i="4"/>
  <c r="U350" i="4"/>
  <c r="Y349" i="4"/>
  <c r="X349" i="4"/>
  <c r="W349" i="4"/>
  <c r="V349" i="4"/>
  <c r="U349" i="4"/>
  <c r="Y348" i="4"/>
  <c r="X348" i="4"/>
  <c r="W348" i="4"/>
  <c r="V348" i="4"/>
  <c r="U348" i="4"/>
  <c r="Y347" i="4"/>
  <c r="X347" i="4"/>
  <c r="W347" i="4"/>
  <c r="V347" i="4"/>
  <c r="U347" i="4"/>
  <c r="Y346" i="4"/>
  <c r="X346" i="4"/>
  <c r="W346" i="4"/>
  <c r="V346" i="4"/>
  <c r="U346" i="4"/>
  <c r="Y345" i="4"/>
  <c r="X345" i="4"/>
  <c r="W345" i="4"/>
  <c r="V345" i="4"/>
  <c r="U345" i="4"/>
  <c r="Y344" i="4"/>
  <c r="X344" i="4"/>
  <c r="W344" i="4"/>
  <c r="V344" i="4"/>
  <c r="U344" i="4"/>
  <c r="Y343" i="4"/>
  <c r="X343" i="4"/>
  <c r="W343" i="4"/>
  <c r="V343" i="4"/>
  <c r="U343" i="4"/>
  <c r="Y342" i="4"/>
  <c r="X342" i="4"/>
  <c r="W342" i="4"/>
  <c r="V342" i="4"/>
  <c r="U342" i="4"/>
  <c r="Y341" i="4"/>
  <c r="X341" i="4"/>
  <c r="W341" i="4"/>
  <c r="V341" i="4"/>
  <c r="U341" i="4"/>
  <c r="Y340" i="4"/>
  <c r="X340" i="4"/>
  <c r="W340" i="4"/>
  <c r="V340" i="4"/>
  <c r="U340" i="4"/>
  <c r="Y339" i="4"/>
  <c r="X339" i="4"/>
  <c r="W339" i="4"/>
  <c r="V339" i="4"/>
  <c r="U339" i="4"/>
  <c r="Y338" i="4"/>
  <c r="X338" i="4"/>
  <c r="W338" i="4"/>
  <c r="V338" i="4"/>
  <c r="U338" i="4"/>
  <c r="Y337" i="4"/>
  <c r="X337" i="4"/>
  <c r="W337" i="4"/>
  <c r="V337" i="4"/>
  <c r="U337" i="4"/>
  <c r="Y336" i="4"/>
  <c r="X336" i="4"/>
  <c r="W336" i="4"/>
  <c r="V336" i="4"/>
  <c r="U336" i="4"/>
  <c r="Y335" i="4"/>
  <c r="X335" i="4"/>
  <c r="W335" i="4"/>
  <c r="V335" i="4"/>
  <c r="U335" i="4"/>
  <c r="Y334" i="4"/>
  <c r="X334" i="4"/>
  <c r="W334" i="4"/>
  <c r="V334" i="4"/>
  <c r="U334" i="4"/>
  <c r="Y333" i="4"/>
  <c r="X333" i="4"/>
  <c r="W333" i="4"/>
  <c r="V333" i="4"/>
  <c r="U333" i="4"/>
  <c r="Y332" i="4"/>
  <c r="X332" i="4"/>
  <c r="W332" i="4"/>
  <c r="V332" i="4"/>
  <c r="U332" i="4"/>
  <c r="Y331" i="4"/>
  <c r="X331" i="4"/>
  <c r="W331" i="4"/>
  <c r="V331" i="4"/>
  <c r="U331" i="4"/>
  <c r="Y330" i="4"/>
  <c r="X330" i="4"/>
  <c r="W330" i="4"/>
  <c r="V330" i="4"/>
  <c r="U330" i="4"/>
  <c r="Y329" i="4"/>
  <c r="X329" i="4"/>
  <c r="W329" i="4"/>
  <c r="V329" i="4"/>
  <c r="U329" i="4"/>
  <c r="Y328" i="4"/>
  <c r="X328" i="4"/>
  <c r="W328" i="4"/>
  <c r="V328" i="4"/>
  <c r="U327" i="4"/>
  <c r="Y324" i="4"/>
  <c r="X324" i="4"/>
  <c r="W324" i="4"/>
  <c r="V324" i="4"/>
  <c r="U324" i="4"/>
  <c r="Y323" i="4"/>
  <c r="X323" i="4"/>
  <c r="W323" i="4"/>
  <c r="V323" i="4"/>
  <c r="U323" i="4"/>
  <c r="Y322" i="4"/>
  <c r="X322" i="4"/>
  <c r="W322" i="4"/>
  <c r="V322" i="4"/>
  <c r="U322" i="4"/>
  <c r="Y321" i="4"/>
  <c r="X321" i="4"/>
  <c r="W321" i="4"/>
  <c r="V321" i="4"/>
  <c r="U321" i="4"/>
  <c r="Y320" i="4"/>
  <c r="X320" i="4"/>
  <c r="W320" i="4"/>
  <c r="V320" i="4"/>
  <c r="U320" i="4"/>
  <c r="Y319" i="4"/>
  <c r="X319" i="4"/>
  <c r="W319" i="4"/>
  <c r="V319" i="4"/>
  <c r="U319" i="4"/>
  <c r="Y318" i="4"/>
  <c r="X318" i="4"/>
  <c r="W318" i="4"/>
  <c r="V318" i="4"/>
  <c r="U318" i="4"/>
  <c r="Y317" i="4"/>
  <c r="X317" i="4"/>
  <c r="W317" i="4"/>
  <c r="V317" i="4"/>
  <c r="U317" i="4"/>
  <c r="Y316" i="4"/>
  <c r="X316" i="4"/>
  <c r="W316" i="4"/>
  <c r="V316" i="4"/>
  <c r="U316" i="4"/>
  <c r="Y315" i="4"/>
  <c r="X315" i="4"/>
  <c r="W315" i="4"/>
  <c r="V315" i="4"/>
  <c r="U315" i="4"/>
  <c r="Y314" i="4"/>
  <c r="X314" i="4"/>
  <c r="W314" i="4"/>
  <c r="V314" i="4"/>
  <c r="U314" i="4"/>
  <c r="Y313" i="4"/>
  <c r="X313" i="4"/>
  <c r="W313" i="4"/>
  <c r="V313" i="4"/>
  <c r="U313" i="4"/>
  <c r="Y312" i="4"/>
  <c r="X312" i="4"/>
  <c r="W312" i="4"/>
  <c r="V312" i="4"/>
  <c r="U312" i="4"/>
  <c r="Y311" i="4"/>
  <c r="X311" i="4"/>
  <c r="W311" i="4"/>
  <c r="V311" i="4"/>
  <c r="U311" i="4"/>
  <c r="Y310" i="4"/>
  <c r="X310" i="4"/>
  <c r="W310" i="4"/>
  <c r="V310" i="4"/>
  <c r="U310" i="4"/>
  <c r="Y309" i="4"/>
  <c r="X309" i="4"/>
  <c r="W309" i="4"/>
  <c r="V309" i="4"/>
  <c r="U309" i="4"/>
  <c r="Y308" i="4"/>
  <c r="X308" i="4"/>
  <c r="W308" i="4"/>
  <c r="V308" i="4"/>
  <c r="U308" i="4"/>
  <c r="Y307" i="4"/>
  <c r="X307" i="4"/>
  <c r="W307" i="4"/>
  <c r="V307" i="4"/>
  <c r="U307" i="4"/>
  <c r="Y306" i="4"/>
  <c r="X306" i="4"/>
  <c r="W306" i="4"/>
  <c r="V306" i="4"/>
  <c r="U306" i="4"/>
  <c r="Y305" i="4"/>
  <c r="X305" i="4"/>
  <c r="W305" i="4"/>
  <c r="V305" i="4"/>
  <c r="U305" i="4"/>
  <c r="Y304" i="4"/>
  <c r="X304" i="4"/>
  <c r="W304" i="4"/>
  <c r="V304" i="4"/>
  <c r="U304" i="4"/>
  <c r="Y303" i="4"/>
  <c r="X303" i="4"/>
  <c r="W303" i="4"/>
  <c r="V303" i="4"/>
  <c r="U303" i="4"/>
  <c r="Y302" i="4"/>
  <c r="X302" i="4"/>
  <c r="W302" i="4"/>
  <c r="V302" i="4"/>
  <c r="U302" i="4"/>
  <c r="Y301" i="4"/>
  <c r="X301" i="4"/>
  <c r="W301" i="4"/>
  <c r="V301" i="4"/>
  <c r="U301" i="4"/>
  <c r="Y300" i="4"/>
  <c r="X300" i="4"/>
  <c r="W300" i="4"/>
  <c r="V300" i="4"/>
  <c r="U300" i="4"/>
  <c r="Y299" i="4"/>
  <c r="X299" i="4"/>
  <c r="W299" i="4"/>
  <c r="V299" i="4"/>
  <c r="U299" i="4"/>
  <c r="Y298" i="4"/>
  <c r="X298" i="4"/>
  <c r="W298" i="4"/>
  <c r="V298" i="4"/>
  <c r="U298" i="4"/>
  <c r="Y297" i="4"/>
  <c r="X297" i="4"/>
  <c r="W297" i="4"/>
  <c r="V297" i="4"/>
  <c r="U297" i="4"/>
  <c r="Y296" i="4"/>
  <c r="X296" i="4"/>
  <c r="W296" i="4"/>
  <c r="V296" i="4"/>
  <c r="U296" i="4"/>
  <c r="Y295" i="4"/>
  <c r="X295" i="4"/>
  <c r="W295" i="4"/>
  <c r="V295" i="4"/>
  <c r="U295" i="4"/>
  <c r="Y294" i="4"/>
  <c r="X294" i="4"/>
  <c r="W294" i="4"/>
  <c r="V294" i="4"/>
  <c r="U294" i="4"/>
  <c r="Y293" i="4"/>
  <c r="X293" i="4"/>
  <c r="W293" i="4"/>
  <c r="V293" i="4"/>
  <c r="U293" i="4"/>
  <c r="Y292" i="4"/>
  <c r="X292" i="4"/>
  <c r="W292" i="4"/>
  <c r="V292" i="4"/>
  <c r="U291" i="4"/>
  <c r="M6" i="5" l="1"/>
  <c r="I1159" i="2" s="1"/>
  <c r="O6" i="5"/>
  <c r="L6" i="5"/>
  <c r="I1031" i="2" s="1"/>
  <c r="F1672" i="2"/>
  <c r="C17" i="3" l="1"/>
  <c r="F16" i="3" l="1"/>
  <c r="Y256" i="4" l="1"/>
  <c r="X256" i="4"/>
  <c r="W256" i="4"/>
  <c r="V256" i="4"/>
  <c r="Y220" i="4"/>
  <c r="X220" i="4"/>
  <c r="W220" i="4"/>
  <c r="V220" i="4"/>
  <c r="Y184" i="4"/>
  <c r="X184" i="4"/>
  <c r="W184" i="4"/>
  <c r="V184" i="4"/>
  <c r="Y148" i="4"/>
  <c r="X148" i="4"/>
  <c r="W148" i="4"/>
  <c r="V148" i="4"/>
  <c r="Y112" i="4"/>
  <c r="X112" i="4"/>
  <c r="W112" i="4"/>
  <c r="V112" i="4"/>
  <c r="Y76" i="4"/>
  <c r="X76" i="4"/>
  <c r="W76" i="4"/>
  <c r="V76" i="4"/>
  <c r="Y40" i="4"/>
  <c r="X40" i="4"/>
  <c r="W40" i="4"/>
  <c r="V40" i="4"/>
  <c r="V41" i="4"/>
  <c r="W41" i="4"/>
  <c r="X41" i="4"/>
  <c r="Y41" i="4"/>
  <c r="V42" i="4"/>
  <c r="W42" i="4"/>
  <c r="X42" i="4"/>
  <c r="Y42" i="4"/>
  <c r="V43" i="4"/>
  <c r="W43" i="4"/>
  <c r="X43" i="4"/>
  <c r="Y43" i="4"/>
  <c r="V44" i="4"/>
  <c r="W44" i="4"/>
  <c r="X44" i="4"/>
  <c r="Y44" i="4"/>
  <c r="V45" i="4"/>
  <c r="W45" i="4"/>
  <c r="X45" i="4"/>
  <c r="Y45" i="4"/>
  <c r="V46" i="4"/>
  <c r="W46" i="4"/>
  <c r="X46" i="4"/>
  <c r="Y46" i="4"/>
  <c r="V47" i="4"/>
  <c r="W47" i="4"/>
  <c r="X47" i="4"/>
  <c r="Y47" i="4"/>
  <c r="V48" i="4"/>
  <c r="W48" i="4"/>
  <c r="X48" i="4"/>
  <c r="Y48" i="4"/>
  <c r="V49" i="4"/>
  <c r="W49" i="4"/>
  <c r="X49" i="4"/>
  <c r="Y49" i="4"/>
  <c r="V50" i="4"/>
  <c r="W50" i="4"/>
  <c r="X50" i="4"/>
  <c r="Y50" i="4"/>
  <c r="V51" i="4"/>
  <c r="W51" i="4"/>
  <c r="X51" i="4"/>
  <c r="Y51" i="4"/>
  <c r="V52" i="4"/>
  <c r="W52" i="4"/>
  <c r="X52" i="4"/>
  <c r="Y52" i="4"/>
  <c r="V53" i="4"/>
  <c r="W53" i="4"/>
  <c r="X53" i="4"/>
  <c r="Y53" i="4"/>
  <c r="V54" i="4"/>
  <c r="W54" i="4"/>
  <c r="X54" i="4"/>
  <c r="Y54" i="4"/>
  <c r="V55" i="4"/>
  <c r="W55" i="4"/>
  <c r="X55" i="4"/>
  <c r="Y55" i="4"/>
  <c r="V56" i="4"/>
  <c r="W56" i="4"/>
  <c r="X56" i="4"/>
  <c r="Y56" i="4"/>
  <c r="V57" i="4"/>
  <c r="W57" i="4"/>
  <c r="X57" i="4"/>
  <c r="Y57" i="4"/>
  <c r="V58" i="4"/>
  <c r="W58" i="4"/>
  <c r="X58" i="4"/>
  <c r="Y58" i="4"/>
  <c r="V59" i="4"/>
  <c r="W59" i="4"/>
  <c r="X59" i="4"/>
  <c r="Y59" i="4"/>
  <c r="V60" i="4"/>
  <c r="W60" i="4"/>
  <c r="X60" i="4"/>
  <c r="Y60" i="4"/>
  <c r="V61" i="4"/>
  <c r="W61" i="4"/>
  <c r="X61" i="4"/>
  <c r="Y61" i="4"/>
  <c r="V62" i="4"/>
  <c r="W62" i="4"/>
  <c r="X62" i="4"/>
  <c r="Y62" i="4"/>
  <c r="V63" i="4"/>
  <c r="W63" i="4"/>
  <c r="X63" i="4"/>
  <c r="Y63" i="4"/>
  <c r="V64" i="4"/>
  <c r="W64" i="4"/>
  <c r="X64" i="4"/>
  <c r="Y64" i="4"/>
  <c r="V65" i="4"/>
  <c r="W65" i="4"/>
  <c r="X65" i="4"/>
  <c r="Y65" i="4"/>
  <c r="V66" i="4"/>
  <c r="W66" i="4"/>
  <c r="X66" i="4"/>
  <c r="Y66" i="4"/>
  <c r="V67" i="4"/>
  <c r="W67" i="4"/>
  <c r="X67" i="4"/>
  <c r="Y67" i="4"/>
  <c r="V68" i="4"/>
  <c r="W68" i="4"/>
  <c r="X68" i="4"/>
  <c r="Y68" i="4"/>
  <c r="V69" i="4"/>
  <c r="W69" i="4"/>
  <c r="X69" i="4"/>
  <c r="Y69" i="4"/>
  <c r="V70" i="4"/>
  <c r="W70" i="4"/>
  <c r="X70" i="4"/>
  <c r="Y70" i="4"/>
  <c r="V71" i="4"/>
  <c r="W71" i="4"/>
  <c r="X71" i="4"/>
  <c r="Y71" i="4"/>
  <c r="V72" i="4"/>
  <c r="W72" i="4"/>
  <c r="X72" i="4"/>
  <c r="Y72" i="4"/>
  <c r="V77" i="4"/>
  <c r="W77" i="4"/>
  <c r="X77" i="4"/>
  <c r="Y77" i="4"/>
  <c r="V78" i="4"/>
  <c r="W78" i="4"/>
  <c r="X78" i="4"/>
  <c r="Y78" i="4"/>
  <c r="V79" i="4"/>
  <c r="W79" i="4"/>
  <c r="X79" i="4"/>
  <c r="Y79" i="4"/>
  <c r="V80" i="4"/>
  <c r="W80" i="4"/>
  <c r="X80" i="4"/>
  <c r="Y80" i="4"/>
  <c r="V81" i="4"/>
  <c r="W81" i="4"/>
  <c r="X81" i="4"/>
  <c r="Y81" i="4"/>
  <c r="V82" i="4"/>
  <c r="W82" i="4"/>
  <c r="X82" i="4"/>
  <c r="Y82" i="4"/>
  <c r="V83" i="4"/>
  <c r="W83" i="4"/>
  <c r="X83" i="4"/>
  <c r="Y83" i="4"/>
  <c r="V84" i="4"/>
  <c r="W84" i="4"/>
  <c r="X84" i="4"/>
  <c r="Y84" i="4"/>
  <c r="V85" i="4"/>
  <c r="W85" i="4"/>
  <c r="X85" i="4"/>
  <c r="Y85" i="4"/>
  <c r="V86" i="4"/>
  <c r="W86" i="4"/>
  <c r="X86" i="4"/>
  <c r="Y86" i="4"/>
  <c r="V87" i="4"/>
  <c r="W87" i="4"/>
  <c r="X87" i="4"/>
  <c r="Y87" i="4"/>
  <c r="V88" i="4"/>
  <c r="W88" i="4"/>
  <c r="X88" i="4"/>
  <c r="Y88" i="4"/>
  <c r="V89" i="4"/>
  <c r="W89" i="4"/>
  <c r="X89" i="4"/>
  <c r="Y89" i="4"/>
  <c r="V90" i="4"/>
  <c r="W90" i="4"/>
  <c r="X90" i="4"/>
  <c r="Y90" i="4"/>
  <c r="V91" i="4"/>
  <c r="W91" i="4"/>
  <c r="X91" i="4"/>
  <c r="Y91" i="4"/>
  <c r="V92" i="4"/>
  <c r="W92" i="4"/>
  <c r="X92" i="4"/>
  <c r="Y92" i="4"/>
  <c r="V93" i="4"/>
  <c r="W93" i="4"/>
  <c r="X93" i="4"/>
  <c r="Y93" i="4"/>
  <c r="V94" i="4"/>
  <c r="W94" i="4"/>
  <c r="X94" i="4"/>
  <c r="Y94" i="4"/>
  <c r="V95" i="4"/>
  <c r="W95" i="4"/>
  <c r="X95" i="4"/>
  <c r="Y95" i="4"/>
  <c r="V96" i="4"/>
  <c r="W96" i="4"/>
  <c r="X96" i="4"/>
  <c r="Y96" i="4"/>
  <c r="V97" i="4"/>
  <c r="W97" i="4"/>
  <c r="X97" i="4"/>
  <c r="Y97" i="4"/>
  <c r="V98" i="4"/>
  <c r="W98" i="4"/>
  <c r="X98" i="4"/>
  <c r="Y98" i="4"/>
  <c r="V99" i="4"/>
  <c r="W99" i="4"/>
  <c r="X99" i="4"/>
  <c r="Y99" i="4"/>
  <c r="V100" i="4"/>
  <c r="W100" i="4"/>
  <c r="X100" i="4"/>
  <c r="Y100" i="4"/>
  <c r="V101" i="4"/>
  <c r="W101" i="4"/>
  <c r="X101" i="4"/>
  <c r="Y101" i="4"/>
  <c r="V102" i="4"/>
  <c r="W102" i="4"/>
  <c r="X102" i="4"/>
  <c r="Y102" i="4"/>
  <c r="V103" i="4"/>
  <c r="W103" i="4"/>
  <c r="X103" i="4"/>
  <c r="Y103" i="4"/>
  <c r="V104" i="4"/>
  <c r="W104" i="4"/>
  <c r="X104" i="4"/>
  <c r="Y104" i="4"/>
  <c r="V105" i="4"/>
  <c r="W105" i="4"/>
  <c r="X105" i="4"/>
  <c r="Y105" i="4"/>
  <c r="V106" i="4"/>
  <c r="W106" i="4"/>
  <c r="X106" i="4"/>
  <c r="Y106" i="4"/>
  <c r="V107" i="4"/>
  <c r="W107" i="4"/>
  <c r="X107" i="4"/>
  <c r="Y107" i="4"/>
  <c r="V108" i="4"/>
  <c r="W108" i="4"/>
  <c r="X108" i="4"/>
  <c r="Y108" i="4"/>
  <c r="V113" i="4"/>
  <c r="W113" i="4"/>
  <c r="X113" i="4"/>
  <c r="Y113" i="4"/>
  <c r="V114" i="4"/>
  <c r="W114" i="4"/>
  <c r="X114" i="4"/>
  <c r="Y114" i="4"/>
  <c r="V115" i="4"/>
  <c r="W115" i="4"/>
  <c r="X115" i="4"/>
  <c r="Y115" i="4"/>
  <c r="V116" i="4"/>
  <c r="W116" i="4"/>
  <c r="X116" i="4"/>
  <c r="Y116" i="4"/>
  <c r="V117" i="4"/>
  <c r="W117" i="4"/>
  <c r="X117" i="4"/>
  <c r="Y117" i="4"/>
  <c r="V118" i="4"/>
  <c r="W118" i="4"/>
  <c r="X118" i="4"/>
  <c r="Y118" i="4"/>
  <c r="V119" i="4"/>
  <c r="W119" i="4"/>
  <c r="X119" i="4"/>
  <c r="Y119" i="4"/>
  <c r="V120" i="4"/>
  <c r="W120" i="4"/>
  <c r="X120" i="4"/>
  <c r="Y120" i="4"/>
  <c r="V121" i="4"/>
  <c r="W121" i="4"/>
  <c r="X121" i="4"/>
  <c r="Y121" i="4"/>
  <c r="V122" i="4"/>
  <c r="W122" i="4"/>
  <c r="X122" i="4"/>
  <c r="Y122" i="4"/>
  <c r="V123" i="4"/>
  <c r="W123" i="4"/>
  <c r="X123" i="4"/>
  <c r="Y123" i="4"/>
  <c r="V124" i="4"/>
  <c r="W124" i="4"/>
  <c r="X124" i="4"/>
  <c r="Y124" i="4"/>
  <c r="V125" i="4"/>
  <c r="W125" i="4"/>
  <c r="X125" i="4"/>
  <c r="Y125" i="4"/>
  <c r="V126" i="4"/>
  <c r="W126" i="4"/>
  <c r="X126" i="4"/>
  <c r="Y126" i="4"/>
  <c r="V127" i="4"/>
  <c r="W127" i="4"/>
  <c r="X127" i="4"/>
  <c r="Y127" i="4"/>
  <c r="V128" i="4"/>
  <c r="W128" i="4"/>
  <c r="X128" i="4"/>
  <c r="Y128" i="4"/>
  <c r="V129" i="4"/>
  <c r="W129" i="4"/>
  <c r="X129" i="4"/>
  <c r="Y129" i="4"/>
  <c r="V130" i="4"/>
  <c r="W130" i="4"/>
  <c r="X130" i="4"/>
  <c r="Y130" i="4"/>
  <c r="V131" i="4"/>
  <c r="W131" i="4"/>
  <c r="X131" i="4"/>
  <c r="Y131" i="4"/>
  <c r="V132" i="4"/>
  <c r="W132" i="4"/>
  <c r="X132" i="4"/>
  <c r="Y132" i="4"/>
  <c r="V133" i="4"/>
  <c r="W133" i="4"/>
  <c r="X133" i="4"/>
  <c r="Y133" i="4"/>
  <c r="V134" i="4"/>
  <c r="W134" i="4"/>
  <c r="X134" i="4"/>
  <c r="Y134" i="4"/>
  <c r="V135" i="4"/>
  <c r="W135" i="4"/>
  <c r="X135" i="4"/>
  <c r="Y135" i="4"/>
  <c r="V136" i="4"/>
  <c r="W136" i="4"/>
  <c r="X136" i="4"/>
  <c r="Y136" i="4"/>
  <c r="V137" i="4"/>
  <c r="W137" i="4"/>
  <c r="X137" i="4"/>
  <c r="Y137" i="4"/>
  <c r="V138" i="4"/>
  <c r="W138" i="4"/>
  <c r="X138" i="4"/>
  <c r="Y138" i="4"/>
  <c r="V139" i="4"/>
  <c r="W139" i="4"/>
  <c r="X139" i="4"/>
  <c r="Y139" i="4"/>
  <c r="V140" i="4"/>
  <c r="W140" i="4"/>
  <c r="X140" i="4"/>
  <c r="Y140" i="4"/>
  <c r="V141" i="4"/>
  <c r="W141" i="4"/>
  <c r="X141" i="4"/>
  <c r="Y141" i="4"/>
  <c r="V142" i="4"/>
  <c r="W142" i="4"/>
  <c r="X142" i="4"/>
  <c r="Y142" i="4"/>
  <c r="V143" i="4"/>
  <c r="W143" i="4"/>
  <c r="X143" i="4"/>
  <c r="Y143" i="4"/>
  <c r="V144" i="4"/>
  <c r="W144" i="4"/>
  <c r="X144" i="4"/>
  <c r="Y144" i="4"/>
  <c r="V149" i="4"/>
  <c r="W149" i="4"/>
  <c r="X149" i="4"/>
  <c r="Y149" i="4"/>
  <c r="V150" i="4"/>
  <c r="W150" i="4"/>
  <c r="X150" i="4"/>
  <c r="Y150" i="4"/>
  <c r="V151" i="4"/>
  <c r="W151" i="4"/>
  <c r="X151" i="4"/>
  <c r="Y151" i="4"/>
  <c r="V152" i="4"/>
  <c r="W152" i="4"/>
  <c r="X152" i="4"/>
  <c r="Y152" i="4"/>
  <c r="V153" i="4"/>
  <c r="W153" i="4"/>
  <c r="X153" i="4"/>
  <c r="Y153" i="4"/>
  <c r="V154" i="4"/>
  <c r="W154" i="4"/>
  <c r="X154" i="4"/>
  <c r="Y154" i="4"/>
  <c r="V155" i="4"/>
  <c r="W155" i="4"/>
  <c r="X155" i="4"/>
  <c r="Y155" i="4"/>
  <c r="V156" i="4"/>
  <c r="W156" i="4"/>
  <c r="X156" i="4"/>
  <c r="Y156" i="4"/>
  <c r="V157" i="4"/>
  <c r="W157" i="4"/>
  <c r="X157" i="4"/>
  <c r="Y157" i="4"/>
  <c r="V158" i="4"/>
  <c r="W158" i="4"/>
  <c r="X158" i="4"/>
  <c r="Y158" i="4"/>
  <c r="V159" i="4"/>
  <c r="W159" i="4"/>
  <c r="X159" i="4"/>
  <c r="Y159" i="4"/>
  <c r="V160" i="4"/>
  <c r="W160" i="4"/>
  <c r="X160" i="4"/>
  <c r="Y160" i="4"/>
  <c r="V161" i="4"/>
  <c r="W161" i="4"/>
  <c r="X161" i="4"/>
  <c r="Y161" i="4"/>
  <c r="V162" i="4"/>
  <c r="W162" i="4"/>
  <c r="X162" i="4"/>
  <c r="Y162" i="4"/>
  <c r="V163" i="4"/>
  <c r="W163" i="4"/>
  <c r="X163" i="4"/>
  <c r="Y163" i="4"/>
  <c r="V164" i="4"/>
  <c r="W164" i="4"/>
  <c r="X164" i="4"/>
  <c r="Y164" i="4"/>
  <c r="V165" i="4"/>
  <c r="W165" i="4"/>
  <c r="X165" i="4"/>
  <c r="Y165" i="4"/>
  <c r="V166" i="4"/>
  <c r="W166" i="4"/>
  <c r="X166" i="4"/>
  <c r="Y166" i="4"/>
  <c r="V167" i="4"/>
  <c r="W167" i="4"/>
  <c r="X167" i="4"/>
  <c r="Y167" i="4"/>
  <c r="V168" i="4"/>
  <c r="W168" i="4"/>
  <c r="X168" i="4"/>
  <c r="Y168" i="4"/>
  <c r="V169" i="4"/>
  <c r="W169" i="4"/>
  <c r="X169" i="4"/>
  <c r="Y169" i="4"/>
  <c r="V170" i="4"/>
  <c r="W170" i="4"/>
  <c r="X170" i="4"/>
  <c r="Y170" i="4"/>
  <c r="V171" i="4"/>
  <c r="W171" i="4"/>
  <c r="X171" i="4"/>
  <c r="Y171" i="4"/>
  <c r="V172" i="4"/>
  <c r="W172" i="4"/>
  <c r="X172" i="4"/>
  <c r="Y172" i="4"/>
  <c r="V173" i="4"/>
  <c r="W173" i="4"/>
  <c r="X173" i="4"/>
  <c r="Y173" i="4"/>
  <c r="V174" i="4"/>
  <c r="W174" i="4"/>
  <c r="X174" i="4"/>
  <c r="Y174" i="4"/>
  <c r="V175" i="4"/>
  <c r="W175" i="4"/>
  <c r="X175" i="4"/>
  <c r="Y175" i="4"/>
  <c r="V176" i="4"/>
  <c r="W176" i="4"/>
  <c r="X176" i="4"/>
  <c r="Y176" i="4"/>
  <c r="V177" i="4"/>
  <c r="W177" i="4"/>
  <c r="X177" i="4"/>
  <c r="Y177" i="4"/>
  <c r="V178" i="4"/>
  <c r="W178" i="4"/>
  <c r="X178" i="4"/>
  <c r="Y178" i="4"/>
  <c r="V179" i="4"/>
  <c r="W179" i="4"/>
  <c r="X179" i="4"/>
  <c r="Y179" i="4"/>
  <c r="V180" i="4"/>
  <c r="W180" i="4"/>
  <c r="X180" i="4"/>
  <c r="Y180" i="4"/>
  <c r="V185" i="4"/>
  <c r="W185" i="4"/>
  <c r="X185" i="4"/>
  <c r="Y185" i="4"/>
  <c r="V186" i="4"/>
  <c r="W186" i="4"/>
  <c r="X186" i="4"/>
  <c r="Y186" i="4"/>
  <c r="V187" i="4"/>
  <c r="W187" i="4"/>
  <c r="X187" i="4"/>
  <c r="Y187" i="4"/>
  <c r="V188" i="4"/>
  <c r="W188" i="4"/>
  <c r="X188" i="4"/>
  <c r="Y188" i="4"/>
  <c r="V189" i="4"/>
  <c r="W189" i="4"/>
  <c r="X189" i="4"/>
  <c r="Y189" i="4"/>
  <c r="V190" i="4"/>
  <c r="W190" i="4"/>
  <c r="X190" i="4"/>
  <c r="Y190" i="4"/>
  <c r="V191" i="4"/>
  <c r="W191" i="4"/>
  <c r="X191" i="4"/>
  <c r="Y191" i="4"/>
  <c r="V192" i="4"/>
  <c r="W192" i="4"/>
  <c r="X192" i="4"/>
  <c r="Y192" i="4"/>
  <c r="V193" i="4"/>
  <c r="W193" i="4"/>
  <c r="X193" i="4"/>
  <c r="Y193" i="4"/>
  <c r="V194" i="4"/>
  <c r="W194" i="4"/>
  <c r="X194" i="4"/>
  <c r="Y194" i="4"/>
  <c r="V195" i="4"/>
  <c r="W195" i="4"/>
  <c r="X195" i="4"/>
  <c r="Y195" i="4"/>
  <c r="V196" i="4"/>
  <c r="W196" i="4"/>
  <c r="X196" i="4"/>
  <c r="Y196" i="4"/>
  <c r="V197" i="4"/>
  <c r="W197" i="4"/>
  <c r="X197" i="4"/>
  <c r="Y197" i="4"/>
  <c r="V198" i="4"/>
  <c r="W198" i="4"/>
  <c r="X198" i="4"/>
  <c r="Y198" i="4"/>
  <c r="V199" i="4"/>
  <c r="W199" i="4"/>
  <c r="X199" i="4"/>
  <c r="Y199" i="4"/>
  <c r="V200" i="4"/>
  <c r="W200" i="4"/>
  <c r="X200" i="4"/>
  <c r="Y200" i="4"/>
  <c r="V201" i="4"/>
  <c r="W201" i="4"/>
  <c r="X201" i="4"/>
  <c r="Y201" i="4"/>
  <c r="V202" i="4"/>
  <c r="W202" i="4"/>
  <c r="X202" i="4"/>
  <c r="Y202" i="4"/>
  <c r="V203" i="4"/>
  <c r="W203" i="4"/>
  <c r="X203" i="4"/>
  <c r="Y203" i="4"/>
  <c r="V204" i="4"/>
  <c r="W204" i="4"/>
  <c r="X204" i="4"/>
  <c r="Y204" i="4"/>
  <c r="V205" i="4"/>
  <c r="W205" i="4"/>
  <c r="X205" i="4"/>
  <c r="Y205" i="4"/>
  <c r="V206" i="4"/>
  <c r="W206" i="4"/>
  <c r="X206" i="4"/>
  <c r="Y206" i="4"/>
  <c r="V207" i="4"/>
  <c r="W207" i="4"/>
  <c r="X207" i="4"/>
  <c r="Y207" i="4"/>
  <c r="V208" i="4"/>
  <c r="W208" i="4"/>
  <c r="X208" i="4"/>
  <c r="Y208" i="4"/>
  <c r="V209" i="4"/>
  <c r="W209" i="4"/>
  <c r="X209" i="4"/>
  <c r="Y209" i="4"/>
  <c r="V210" i="4"/>
  <c r="W210" i="4"/>
  <c r="X210" i="4"/>
  <c r="Y210" i="4"/>
  <c r="V211" i="4"/>
  <c r="W211" i="4"/>
  <c r="X211" i="4"/>
  <c r="Y211" i="4"/>
  <c r="V212" i="4"/>
  <c r="W212" i="4"/>
  <c r="X212" i="4"/>
  <c r="Y212" i="4"/>
  <c r="V213" i="4"/>
  <c r="W213" i="4"/>
  <c r="X213" i="4"/>
  <c r="Y213" i="4"/>
  <c r="V214" i="4"/>
  <c r="W214" i="4"/>
  <c r="X214" i="4"/>
  <c r="Y214" i="4"/>
  <c r="V215" i="4"/>
  <c r="W215" i="4"/>
  <c r="X215" i="4"/>
  <c r="Y215" i="4"/>
  <c r="V216" i="4"/>
  <c r="W216" i="4"/>
  <c r="X216" i="4"/>
  <c r="Y216" i="4"/>
  <c r="V221" i="4"/>
  <c r="W221" i="4"/>
  <c r="X221" i="4"/>
  <c r="Y221" i="4"/>
  <c r="V222" i="4"/>
  <c r="W222" i="4"/>
  <c r="X222" i="4"/>
  <c r="Y222" i="4"/>
  <c r="V223" i="4"/>
  <c r="W223" i="4"/>
  <c r="X223" i="4"/>
  <c r="Y223" i="4"/>
  <c r="V224" i="4"/>
  <c r="W224" i="4"/>
  <c r="X224" i="4"/>
  <c r="Y224" i="4"/>
  <c r="V225" i="4"/>
  <c r="W225" i="4"/>
  <c r="X225" i="4"/>
  <c r="Y225" i="4"/>
  <c r="V226" i="4"/>
  <c r="W226" i="4"/>
  <c r="X226" i="4"/>
  <c r="Y226" i="4"/>
  <c r="V227" i="4"/>
  <c r="W227" i="4"/>
  <c r="X227" i="4"/>
  <c r="Y227" i="4"/>
  <c r="V228" i="4"/>
  <c r="W228" i="4"/>
  <c r="X228" i="4"/>
  <c r="Y228" i="4"/>
  <c r="V229" i="4"/>
  <c r="W229" i="4"/>
  <c r="X229" i="4"/>
  <c r="Y229" i="4"/>
  <c r="V230" i="4"/>
  <c r="W230" i="4"/>
  <c r="X230" i="4"/>
  <c r="Y230" i="4"/>
  <c r="V231" i="4"/>
  <c r="W231" i="4"/>
  <c r="X231" i="4"/>
  <c r="Y231" i="4"/>
  <c r="V232" i="4"/>
  <c r="W232" i="4"/>
  <c r="X232" i="4"/>
  <c r="Y232" i="4"/>
  <c r="V233" i="4"/>
  <c r="W233" i="4"/>
  <c r="X233" i="4"/>
  <c r="Y233" i="4"/>
  <c r="V234" i="4"/>
  <c r="W234" i="4"/>
  <c r="X234" i="4"/>
  <c r="Y234" i="4"/>
  <c r="V235" i="4"/>
  <c r="W235" i="4"/>
  <c r="X235" i="4"/>
  <c r="Y235" i="4"/>
  <c r="V236" i="4"/>
  <c r="W236" i="4"/>
  <c r="X236" i="4"/>
  <c r="Y236" i="4"/>
  <c r="V237" i="4"/>
  <c r="W237" i="4"/>
  <c r="X237" i="4"/>
  <c r="Y237" i="4"/>
  <c r="V238" i="4"/>
  <c r="W238" i="4"/>
  <c r="X238" i="4"/>
  <c r="Y238" i="4"/>
  <c r="V239" i="4"/>
  <c r="W239" i="4"/>
  <c r="X239" i="4"/>
  <c r="Y239" i="4"/>
  <c r="V240" i="4"/>
  <c r="W240" i="4"/>
  <c r="X240" i="4"/>
  <c r="Y240" i="4"/>
  <c r="V241" i="4"/>
  <c r="W241" i="4"/>
  <c r="X241" i="4"/>
  <c r="Y241" i="4"/>
  <c r="V242" i="4"/>
  <c r="W242" i="4"/>
  <c r="X242" i="4"/>
  <c r="Y242" i="4"/>
  <c r="V243" i="4"/>
  <c r="W243" i="4"/>
  <c r="X243" i="4"/>
  <c r="Y243" i="4"/>
  <c r="V244" i="4"/>
  <c r="W244" i="4"/>
  <c r="X244" i="4"/>
  <c r="Y244" i="4"/>
  <c r="V245" i="4"/>
  <c r="W245" i="4"/>
  <c r="X245" i="4"/>
  <c r="Y245" i="4"/>
  <c r="V246" i="4"/>
  <c r="W246" i="4"/>
  <c r="X246" i="4"/>
  <c r="Y246" i="4"/>
  <c r="V247" i="4"/>
  <c r="W247" i="4"/>
  <c r="X247" i="4"/>
  <c r="Y247" i="4"/>
  <c r="V248" i="4"/>
  <c r="W248" i="4"/>
  <c r="X248" i="4"/>
  <c r="Y248" i="4"/>
  <c r="V249" i="4"/>
  <c r="W249" i="4"/>
  <c r="X249" i="4"/>
  <c r="Y249" i="4"/>
  <c r="V250" i="4"/>
  <c r="W250" i="4"/>
  <c r="X250" i="4"/>
  <c r="Y250" i="4"/>
  <c r="V251" i="4"/>
  <c r="W251" i="4"/>
  <c r="X251" i="4"/>
  <c r="Y251" i="4"/>
  <c r="V252" i="4"/>
  <c r="W252" i="4"/>
  <c r="X252" i="4"/>
  <c r="Y252" i="4"/>
  <c r="V257" i="4"/>
  <c r="W257" i="4"/>
  <c r="X257" i="4"/>
  <c r="Y257" i="4"/>
  <c r="V258" i="4"/>
  <c r="W258" i="4"/>
  <c r="X258" i="4"/>
  <c r="Y258" i="4"/>
  <c r="V259" i="4"/>
  <c r="W259" i="4"/>
  <c r="X259" i="4"/>
  <c r="Y259" i="4"/>
  <c r="V260" i="4"/>
  <c r="W260" i="4"/>
  <c r="X260" i="4"/>
  <c r="Y260" i="4"/>
  <c r="V261" i="4"/>
  <c r="W261" i="4"/>
  <c r="X261" i="4"/>
  <c r="Y261" i="4"/>
  <c r="V262" i="4"/>
  <c r="W262" i="4"/>
  <c r="X262" i="4"/>
  <c r="Y262" i="4"/>
  <c r="V263" i="4"/>
  <c r="W263" i="4"/>
  <c r="X263" i="4"/>
  <c r="Y263" i="4"/>
  <c r="V264" i="4"/>
  <c r="W264" i="4"/>
  <c r="X264" i="4"/>
  <c r="Y264" i="4"/>
  <c r="V265" i="4"/>
  <c r="W265" i="4"/>
  <c r="X265" i="4"/>
  <c r="Y265" i="4"/>
  <c r="V266" i="4"/>
  <c r="W266" i="4"/>
  <c r="X266" i="4"/>
  <c r="Y266" i="4"/>
  <c r="V267" i="4"/>
  <c r="W267" i="4"/>
  <c r="X267" i="4"/>
  <c r="Y267" i="4"/>
  <c r="V268" i="4"/>
  <c r="W268" i="4"/>
  <c r="X268" i="4"/>
  <c r="Y268" i="4"/>
  <c r="V269" i="4"/>
  <c r="W269" i="4"/>
  <c r="X269" i="4"/>
  <c r="Y269" i="4"/>
  <c r="V270" i="4"/>
  <c r="W270" i="4"/>
  <c r="X270" i="4"/>
  <c r="Y270" i="4"/>
  <c r="V271" i="4"/>
  <c r="W271" i="4"/>
  <c r="X271" i="4"/>
  <c r="Y271" i="4"/>
  <c r="V272" i="4"/>
  <c r="W272" i="4"/>
  <c r="X272" i="4"/>
  <c r="Y272" i="4"/>
  <c r="V273" i="4"/>
  <c r="W273" i="4"/>
  <c r="X273" i="4"/>
  <c r="Y273" i="4"/>
  <c r="V274" i="4"/>
  <c r="W274" i="4"/>
  <c r="X274" i="4"/>
  <c r="Y274" i="4"/>
  <c r="V275" i="4"/>
  <c r="W275" i="4"/>
  <c r="X275" i="4"/>
  <c r="Y275" i="4"/>
  <c r="V276" i="4"/>
  <c r="W276" i="4"/>
  <c r="X276" i="4"/>
  <c r="Y276" i="4"/>
  <c r="V277" i="4"/>
  <c r="W277" i="4"/>
  <c r="X277" i="4"/>
  <c r="Y277" i="4"/>
  <c r="V278" i="4"/>
  <c r="W278" i="4"/>
  <c r="X278" i="4"/>
  <c r="Y278" i="4"/>
  <c r="V279" i="4"/>
  <c r="W279" i="4"/>
  <c r="X279" i="4"/>
  <c r="Y279" i="4"/>
  <c r="V280" i="4"/>
  <c r="W280" i="4"/>
  <c r="X280" i="4"/>
  <c r="Y280" i="4"/>
  <c r="V281" i="4"/>
  <c r="W281" i="4"/>
  <c r="X281" i="4"/>
  <c r="Y281" i="4"/>
  <c r="V282" i="4"/>
  <c r="W282" i="4"/>
  <c r="X282" i="4"/>
  <c r="Y282" i="4"/>
  <c r="V283" i="4"/>
  <c r="W283" i="4"/>
  <c r="X283" i="4"/>
  <c r="Y283" i="4"/>
  <c r="V284" i="4"/>
  <c r="W284" i="4"/>
  <c r="X284" i="4"/>
  <c r="Y284" i="4"/>
  <c r="V285" i="4"/>
  <c r="W285" i="4"/>
  <c r="X285" i="4"/>
  <c r="Y285" i="4"/>
  <c r="V286" i="4"/>
  <c r="W286" i="4"/>
  <c r="X286" i="4"/>
  <c r="Y286" i="4"/>
  <c r="V287" i="4"/>
  <c r="W287" i="4"/>
  <c r="X287" i="4"/>
  <c r="Y287" i="4"/>
  <c r="V288" i="4"/>
  <c r="W288" i="4"/>
  <c r="X288" i="4"/>
  <c r="Y288" i="4"/>
  <c r="V36" i="4"/>
  <c r="Y36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Y5" i="4"/>
  <c r="X5" i="4"/>
  <c r="W5" i="4"/>
  <c r="V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6" i="4"/>
  <c r="V7" i="4"/>
  <c r="V8" i="4"/>
  <c r="V9" i="4"/>
  <c r="V10" i="4"/>
  <c r="V11" i="4"/>
  <c r="V12" i="4"/>
  <c r="V13" i="4"/>
  <c r="V14" i="4"/>
  <c r="V15" i="4"/>
  <c r="C16" i="3" l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B7" i="5"/>
  <c r="B10" i="5"/>
  <c r="U2" i="4"/>
  <c r="U3" i="4"/>
  <c r="V4" i="4"/>
  <c r="W4" i="4"/>
  <c r="X4" i="4"/>
  <c r="Y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9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5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11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7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3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9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5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B11" i="5" l="1"/>
  <c r="N10" i="5"/>
  <c r="P10" i="5"/>
  <c r="I1547" i="2" s="1"/>
  <c r="O10" i="5"/>
  <c r="L10" i="5"/>
  <c r="I1035" i="2" s="1"/>
  <c r="M10" i="5"/>
  <c r="I1163" i="2" s="1"/>
  <c r="N7" i="5"/>
  <c r="P7" i="5"/>
  <c r="I1544" i="2" s="1"/>
  <c r="O7" i="5"/>
  <c r="L7" i="5"/>
  <c r="I1032" i="2" s="1"/>
  <c r="M7" i="5"/>
  <c r="I1160" i="2" s="1"/>
  <c r="C23" i="3"/>
  <c r="C24" i="3" s="1"/>
  <c r="J7" i="5"/>
  <c r="I776" i="2" s="1"/>
  <c r="J11" i="5"/>
  <c r="I780" i="2" s="1"/>
  <c r="H11" i="5"/>
  <c r="I524" i="2" s="1"/>
  <c r="K11" i="5"/>
  <c r="I908" i="2" s="1"/>
  <c r="D10" i="5"/>
  <c r="I11" i="2" s="1"/>
  <c r="H6" i="5"/>
  <c r="I519" i="2" s="1"/>
  <c r="D6" i="5"/>
  <c r="I7" i="2" s="1"/>
  <c r="I11" i="5"/>
  <c r="I652" i="2" s="1"/>
  <c r="D11" i="5"/>
  <c r="I12" i="2" s="1"/>
  <c r="E6" i="5"/>
  <c r="I135" i="2" s="1"/>
  <c r="J10" i="5"/>
  <c r="I779" i="2" s="1"/>
  <c r="E10" i="5"/>
  <c r="I139" i="2" s="1"/>
  <c r="I10" i="5"/>
  <c r="I651" i="2" s="1"/>
  <c r="B14" i="5"/>
  <c r="I6" i="5"/>
  <c r="I647" i="2" s="1"/>
  <c r="B8" i="5"/>
  <c r="G7" i="5"/>
  <c r="I392" i="2" s="1"/>
  <c r="F7" i="5"/>
  <c r="I264" i="2" s="1"/>
  <c r="E7" i="5"/>
  <c r="I136" i="2" s="1"/>
  <c r="H7" i="5"/>
  <c r="I520" i="2" s="1"/>
  <c r="D7" i="5"/>
  <c r="I8" i="2" s="1"/>
  <c r="B12" i="5"/>
  <c r="G11" i="5"/>
  <c r="I396" i="2" s="1"/>
  <c r="F11" i="5"/>
  <c r="I268" i="2" s="1"/>
  <c r="E11" i="5"/>
  <c r="I140" i="2" s="1"/>
  <c r="H10" i="5"/>
  <c r="I523" i="2" s="1"/>
  <c r="G6" i="5"/>
  <c r="I391" i="2" s="1"/>
  <c r="G10" i="5"/>
  <c r="I395" i="2" s="1"/>
  <c r="F6" i="5"/>
  <c r="I263" i="2" s="1"/>
  <c r="F10" i="5"/>
  <c r="I267" i="2" s="1"/>
  <c r="K7" i="5"/>
  <c r="I904" i="2" s="1"/>
  <c r="I7" i="5"/>
  <c r="I648" i="2" s="1"/>
  <c r="K10" i="5"/>
  <c r="I907" i="2" s="1"/>
  <c r="K6" i="5"/>
  <c r="I903" i="2" s="1"/>
  <c r="J6" i="5"/>
  <c r="I775" i="2" s="1"/>
  <c r="N8" i="5" l="1"/>
  <c r="P8" i="5"/>
  <c r="I1545" i="2" s="1"/>
  <c r="O8" i="5"/>
  <c r="M8" i="5"/>
  <c r="I1161" i="2" s="1"/>
  <c r="L8" i="5"/>
  <c r="I1033" i="2" s="1"/>
  <c r="N12" i="5"/>
  <c r="P12" i="5"/>
  <c r="I1549" i="2" s="1"/>
  <c r="O12" i="5"/>
  <c r="M12" i="5"/>
  <c r="I1165" i="2" s="1"/>
  <c r="L12" i="5"/>
  <c r="I1037" i="2" s="1"/>
  <c r="G14" i="5"/>
  <c r="I399" i="2" s="1"/>
  <c r="N14" i="5"/>
  <c r="P14" i="5"/>
  <c r="I1551" i="2" s="1"/>
  <c r="O14" i="5"/>
  <c r="L14" i="5"/>
  <c r="I1039" i="2" s="1"/>
  <c r="M14" i="5"/>
  <c r="I1167" i="2" s="1"/>
  <c r="N11" i="5"/>
  <c r="P11" i="5"/>
  <c r="I1548" i="2" s="1"/>
  <c r="O11" i="5"/>
  <c r="M11" i="5"/>
  <c r="I1164" i="2" s="1"/>
  <c r="L11" i="5"/>
  <c r="I1036" i="2" s="1"/>
  <c r="F14" i="5"/>
  <c r="I271" i="2" s="1"/>
  <c r="K14" i="5"/>
  <c r="I911" i="2" s="1"/>
  <c r="B18" i="5"/>
  <c r="H14" i="5"/>
  <c r="I527" i="2" s="1"/>
  <c r="D14" i="5"/>
  <c r="I15" i="2" s="1"/>
  <c r="B15" i="5"/>
  <c r="I14" i="5"/>
  <c r="I655" i="2" s="1"/>
  <c r="E14" i="5"/>
  <c r="I143" i="2" s="1"/>
  <c r="J14" i="5"/>
  <c r="I783" i="2" s="1"/>
  <c r="K12" i="5"/>
  <c r="I909" i="2" s="1"/>
  <c r="B13" i="5"/>
  <c r="I12" i="5"/>
  <c r="I653" i="2" s="1"/>
  <c r="H12" i="5"/>
  <c r="I525" i="2" s="1"/>
  <c r="G12" i="5"/>
  <c r="I397" i="2" s="1"/>
  <c r="F12" i="5"/>
  <c r="I269" i="2" s="1"/>
  <c r="E12" i="5"/>
  <c r="I141" i="2" s="1"/>
  <c r="D12" i="5"/>
  <c r="I13" i="2" s="1"/>
  <c r="J12" i="5"/>
  <c r="I781" i="2" s="1"/>
  <c r="I8" i="5"/>
  <c r="I649" i="2" s="1"/>
  <c r="B9" i="5"/>
  <c r="H8" i="5"/>
  <c r="I521" i="2" s="1"/>
  <c r="K8" i="5"/>
  <c r="I905" i="2" s="1"/>
  <c r="J8" i="5"/>
  <c r="I777" i="2" s="1"/>
  <c r="G8" i="5"/>
  <c r="I393" i="2" s="1"/>
  <c r="E8" i="5"/>
  <c r="I137" i="2" s="1"/>
  <c r="D8" i="5"/>
  <c r="I9" i="2" s="1"/>
  <c r="F8" i="5"/>
  <c r="I265" i="2" s="1"/>
  <c r="N13" i="5" l="1"/>
  <c r="P13" i="5"/>
  <c r="I1550" i="2" s="1"/>
  <c r="O13" i="5"/>
  <c r="M13" i="5"/>
  <c r="I1166" i="2" s="1"/>
  <c r="L13" i="5"/>
  <c r="I1038" i="2" s="1"/>
  <c r="N18" i="5"/>
  <c r="P18" i="5"/>
  <c r="I1555" i="2" s="1"/>
  <c r="O18" i="5"/>
  <c r="L18" i="5"/>
  <c r="I1043" i="2" s="1"/>
  <c r="M18" i="5"/>
  <c r="I1171" i="2" s="1"/>
  <c r="N15" i="5"/>
  <c r="P15" i="5"/>
  <c r="I1552" i="2" s="1"/>
  <c r="O15" i="5"/>
  <c r="L15" i="5"/>
  <c r="I1040" i="2" s="1"/>
  <c r="M15" i="5"/>
  <c r="I1168" i="2" s="1"/>
  <c r="N9" i="5"/>
  <c r="P9" i="5"/>
  <c r="I1546" i="2" s="1"/>
  <c r="O9" i="5"/>
  <c r="M9" i="5"/>
  <c r="I1162" i="2" s="1"/>
  <c r="L9" i="5"/>
  <c r="I1034" i="2" s="1"/>
  <c r="B16" i="5"/>
  <c r="D15" i="5"/>
  <c r="I16" i="2" s="1"/>
  <c r="E15" i="5"/>
  <c r="I144" i="2" s="1"/>
  <c r="J15" i="5"/>
  <c r="I784" i="2" s="1"/>
  <c r="K15" i="5"/>
  <c r="I912" i="2" s="1"/>
  <c r="H15" i="5"/>
  <c r="I528" i="2" s="1"/>
  <c r="I15" i="5"/>
  <c r="I656" i="2" s="1"/>
  <c r="G15" i="5"/>
  <c r="I400" i="2" s="1"/>
  <c r="F15" i="5"/>
  <c r="I272" i="2" s="1"/>
  <c r="B22" i="5"/>
  <c r="D18" i="5"/>
  <c r="I19" i="2" s="1"/>
  <c r="B19" i="5"/>
  <c r="H18" i="5"/>
  <c r="I531" i="2" s="1"/>
  <c r="E18" i="5"/>
  <c r="I147" i="2" s="1"/>
  <c r="J18" i="5"/>
  <c r="I787" i="2" s="1"/>
  <c r="I18" i="5"/>
  <c r="I659" i="2" s="1"/>
  <c r="F18" i="5"/>
  <c r="I275" i="2" s="1"/>
  <c r="G18" i="5"/>
  <c r="I403" i="2" s="1"/>
  <c r="K18" i="5"/>
  <c r="I915" i="2" s="1"/>
  <c r="E13" i="5"/>
  <c r="I142" i="2" s="1"/>
  <c r="J13" i="5"/>
  <c r="I782" i="2" s="1"/>
  <c r="K13" i="5"/>
  <c r="I910" i="2" s="1"/>
  <c r="G13" i="5"/>
  <c r="I398" i="2" s="1"/>
  <c r="F13" i="5"/>
  <c r="I270" i="2" s="1"/>
  <c r="D13" i="5"/>
  <c r="I14" i="2" s="1"/>
  <c r="H13" i="5"/>
  <c r="I526" i="2" s="1"/>
  <c r="I13" i="5"/>
  <c r="I654" i="2" s="1"/>
  <c r="G9" i="5"/>
  <c r="I394" i="2" s="1"/>
  <c r="F9" i="5"/>
  <c r="I266" i="2" s="1"/>
  <c r="E9" i="5"/>
  <c r="I138" i="2" s="1"/>
  <c r="I9" i="5"/>
  <c r="I650" i="2" s="1"/>
  <c r="D9" i="5"/>
  <c r="I10" i="2" s="1"/>
  <c r="J9" i="5"/>
  <c r="I778" i="2" s="1"/>
  <c r="H9" i="5"/>
  <c r="I522" i="2" s="1"/>
  <c r="K9" i="5"/>
  <c r="I906" i="2" s="1"/>
  <c r="N19" i="5" l="1"/>
  <c r="P19" i="5"/>
  <c r="I1556" i="2" s="1"/>
  <c r="O19" i="5"/>
  <c r="M19" i="5"/>
  <c r="I1172" i="2" s="1"/>
  <c r="L19" i="5"/>
  <c r="I1044" i="2" s="1"/>
  <c r="N22" i="5"/>
  <c r="P22" i="5"/>
  <c r="I1559" i="2" s="1"/>
  <c r="O22" i="5"/>
  <c r="L22" i="5"/>
  <c r="I1047" i="2" s="1"/>
  <c r="M22" i="5"/>
  <c r="I1175" i="2" s="1"/>
  <c r="N16" i="5"/>
  <c r="P16" i="5"/>
  <c r="I1553" i="2" s="1"/>
  <c r="O16" i="5"/>
  <c r="M16" i="5"/>
  <c r="I1169" i="2" s="1"/>
  <c r="L16" i="5"/>
  <c r="I1041" i="2" s="1"/>
  <c r="B20" i="5"/>
  <c r="D19" i="5"/>
  <c r="I20" i="2" s="1"/>
  <c r="E19" i="5"/>
  <c r="I148" i="2" s="1"/>
  <c r="H19" i="5"/>
  <c r="I532" i="2" s="1"/>
  <c r="I19" i="5"/>
  <c r="I660" i="2" s="1"/>
  <c r="K19" i="5"/>
  <c r="I916" i="2" s="1"/>
  <c r="J19" i="5"/>
  <c r="I788" i="2" s="1"/>
  <c r="G19" i="5"/>
  <c r="I404" i="2" s="1"/>
  <c r="F19" i="5"/>
  <c r="I276" i="2" s="1"/>
  <c r="B23" i="5"/>
  <c r="D22" i="5"/>
  <c r="I23" i="2" s="1"/>
  <c r="B26" i="5"/>
  <c r="E22" i="5"/>
  <c r="I151" i="2" s="1"/>
  <c r="I22" i="5"/>
  <c r="I663" i="2" s="1"/>
  <c r="H22" i="5"/>
  <c r="I535" i="2" s="1"/>
  <c r="J22" i="5"/>
  <c r="I791" i="2" s="1"/>
  <c r="K22" i="5"/>
  <c r="I919" i="2" s="1"/>
  <c r="F22" i="5"/>
  <c r="I279" i="2" s="1"/>
  <c r="G22" i="5"/>
  <c r="I407" i="2" s="1"/>
  <c r="B17" i="5"/>
  <c r="E16" i="5"/>
  <c r="I145" i="2" s="1"/>
  <c r="G16" i="5"/>
  <c r="I401" i="2" s="1"/>
  <c r="J16" i="5"/>
  <c r="I785" i="2" s="1"/>
  <c r="K16" i="5"/>
  <c r="I913" i="2" s="1"/>
  <c r="F16" i="5"/>
  <c r="I273" i="2" s="1"/>
  <c r="D16" i="5"/>
  <c r="I17" i="2" s="1"/>
  <c r="I16" i="5"/>
  <c r="I657" i="2" s="1"/>
  <c r="H16" i="5"/>
  <c r="I529" i="2" s="1"/>
  <c r="N17" i="5" l="1"/>
  <c r="P17" i="5"/>
  <c r="I1554" i="2" s="1"/>
  <c r="O17" i="5"/>
  <c r="M17" i="5"/>
  <c r="I1170" i="2" s="1"/>
  <c r="L17" i="5"/>
  <c r="I1042" i="2" s="1"/>
  <c r="N26" i="5"/>
  <c r="P26" i="5"/>
  <c r="I1563" i="2" s="1"/>
  <c r="O26" i="5"/>
  <c r="L26" i="5"/>
  <c r="I1051" i="2" s="1"/>
  <c r="M26" i="5"/>
  <c r="I1179" i="2" s="1"/>
  <c r="N20" i="5"/>
  <c r="P20" i="5"/>
  <c r="I1557" i="2" s="1"/>
  <c r="O20" i="5"/>
  <c r="M20" i="5"/>
  <c r="I1173" i="2" s="1"/>
  <c r="L20" i="5"/>
  <c r="I1045" i="2" s="1"/>
  <c r="N23" i="5"/>
  <c r="P23" i="5"/>
  <c r="I1560" i="2" s="1"/>
  <c r="O23" i="5"/>
  <c r="L23" i="5"/>
  <c r="I1048" i="2" s="1"/>
  <c r="M23" i="5"/>
  <c r="I1176" i="2" s="1"/>
  <c r="E17" i="5"/>
  <c r="I146" i="2" s="1"/>
  <c r="G17" i="5"/>
  <c r="I402" i="2" s="1"/>
  <c r="F17" i="5"/>
  <c r="I274" i="2" s="1"/>
  <c r="K17" i="5"/>
  <c r="I914" i="2" s="1"/>
  <c r="I17" i="5"/>
  <c r="I658" i="2" s="1"/>
  <c r="D17" i="5"/>
  <c r="I18" i="2" s="1"/>
  <c r="J17" i="5"/>
  <c r="I786" i="2" s="1"/>
  <c r="H17" i="5"/>
  <c r="I530" i="2" s="1"/>
  <c r="B30" i="5"/>
  <c r="I26" i="5"/>
  <c r="I667" i="2" s="1"/>
  <c r="E26" i="5"/>
  <c r="I155" i="2" s="1"/>
  <c r="D26" i="5"/>
  <c r="I27" i="2" s="1"/>
  <c r="B27" i="5"/>
  <c r="J26" i="5"/>
  <c r="I795" i="2" s="1"/>
  <c r="G26" i="5"/>
  <c r="I411" i="2" s="1"/>
  <c r="H26" i="5"/>
  <c r="I539" i="2" s="1"/>
  <c r="K26" i="5"/>
  <c r="I923" i="2" s="1"/>
  <c r="F26" i="5"/>
  <c r="I283" i="2" s="1"/>
  <c r="D23" i="5"/>
  <c r="I24" i="2" s="1"/>
  <c r="E23" i="5"/>
  <c r="I152" i="2" s="1"/>
  <c r="I23" i="5"/>
  <c r="I664" i="2" s="1"/>
  <c r="J23" i="5"/>
  <c r="I792" i="2" s="1"/>
  <c r="H23" i="5"/>
  <c r="I536" i="2" s="1"/>
  <c r="K23" i="5"/>
  <c r="I920" i="2" s="1"/>
  <c r="B24" i="5"/>
  <c r="F23" i="5"/>
  <c r="I280" i="2" s="1"/>
  <c r="G23" i="5"/>
  <c r="I408" i="2" s="1"/>
  <c r="F20" i="5"/>
  <c r="I277" i="2" s="1"/>
  <c r="E20" i="5"/>
  <c r="I149" i="2" s="1"/>
  <c r="G20" i="5"/>
  <c r="I405" i="2" s="1"/>
  <c r="H20" i="5"/>
  <c r="I533" i="2" s="1"/>
  <c r="D20" i="5"/>
  <c r="I21" i="2" s="1"/>
  <c r="B21" i="5"/>
  <c r="K20" i="5"/>
  <c r="I917" i="2" s="1"/>
  <c r="I20" i="5"/>
  <c r="I661" i="2" s="1"/>
  <c r="J20" i="5"/>
  <c r="I789" i="2" s="1"/>
  <c r="N21" i="5" l="1"/>
  <c r="P21" i="5"/>
  <c r="I1558" i="2" s="1"/>
  <c r="O21" i="5"/>
  <c r="M21" i="5"/>
  <c r="I1174" i="2" s="1"/>
  <c r="L21" i="5"/>
  <c r="I1046" i="2" s="1"/>
  <c r="N24" i="5"/>
  <c r="P24" i="5"/>
  <c r="I1561" i="2" s="1"/>
  <c r="O24" i="5"/>
  <c r="M24" i="5"/>
  <c r="I1177" i="2" s="1"/>
  <c r="L24" i="5"/>
  <c r="I1049" i="2" s="1"/>
  <c r="N27" i="5"/>
  <c r="P27" i="5"/>
  <c r="I1564" i="2" s="1"/>
  <c r="O27" i="5"/>
  <c r="M27" i="5"/>
  <c r="I1180" i="2" s="1"/>
  <c r="L27" i="5"/>
  <c r="I1052" i="2" s="1"/>
  <c r="P30" i="5"/>
  <c r="I1567" i="2" s="1"/>
  <c r="N30" i="5"/>
  <c r="M30" i="5"/>
  <c r="I1183" i="2" s="1"/>
  <c r="L30" i="5"/>
  <c r="I1055" i="2" s="1"/>
  <c r="O30" i="5"/>
  <c r="I21" i="5"/>
  <c r="I662" i="2" s="1"/>
  <c r="G21" i="5"/>
  <c r="I406" i="2" s="1"/>
  <c r="F21" i="5"/>
  <c r="I278" i="2" s="1"/>
  <c r="E21" i="5"/>
  <c r="I150" i="2" s="1"/>
  <c r="D21" i="5"/>
  <c r="I22" i="2" s="1"/>
  <c r="H21" i="5"/>
  <c r="I534" i="2" s="1"/>
  <c r="K21" i="5"/>
  <c r="I918" i="2" s="1"/>
  <c r="J21" i="5"/>
  <c r="I790" i="2" s="1"/>
  <c r="H24" i="5"/>
  <c r="I537" i="2" s="1"/>
  <c r="G24" i="5"/>
  <c r="I409" i="2" s="1"/>
  <c r="I24" i="5"/>
  <c r="I665" i="2" s="1"/>
  <c r="D24" i="5"/>
  <c r="I25" i="2" s="1"/>
  <c r="F24" i="5"/>
  <c r="I281" i="2" s="1"/>
  <c r="K24" i="5"/>
  <c r="I921" i="2" s="1"/>
  <c r="J24" i="5"/>
  <c r="I793" i="2" s="1"/>
  <c r="E24" i="5"/>
  <c r="I153" i="2" s="1"/>
  <c r="B25" i="5"/>
  <c r="B28" i="5"/>
  <c r="E27" i="5"/>
  <c r="I156" i="2" s="1"/>
  <c r="H27" i="5"/>
  <c r="I540" i="2" s="1"/>
  <c r="F27" i="5"/>
  <c r="I284" i="2" s="1"/>
  <c r="G27" i="5"/>
  <c r="I412" i="2" s="1"/>
  <c r="I27" i="5"/>
  <c r="I668" i="2" s="1"/>
  <c r="D27" i="5"/>
  <c r="I28" i="2" s="1"/>
  <c r="J27" i="5"/>
  <c r="I796" i="2" s="1"/>
  <c r="K27" i="5"/>
  <c r="I924" i="2" s="1"/>
  <c r="B31" i="5"/>
  <c r="H30" i="5"/>
  <c r="I543" i="2" s="1"/>
  <c r="E30" i="5"/>
  <c r="I159" i="2" s="1"/>
  <c r="B34" i="5"/>
  <c r="D30" i="5"/>
  <c r="I31" i="2" s="1"/>
  <c r="J30" i="5"/>
  <c r="I799" i="2" s="1"/>
  <c r="G30" i="5"/>
  <c r="I415" i="2" s="1"/>
  <c r="I30" i="5"/>
  <c r="I671" i="2" s="1"/>
  <c r="F30" i="5"/>
  <c r="I287" i="2" s="1"/>
  <c r="K30" i="5"/>
  <c r="I927" i="2" s="1"/>
  <c r="P34" i="5" l="1"/>
  <c r="I1571" i="2" s="1"/>
  <c r="N34" i="5"/>
  <c r="M34" i="5"/>
  <c r="I1187" i="2" s="1"/>
  <c r="L34" i="5"/>
  <c r="I1059" i="2" s="1"/>
  <c r="O34" i="5"/>
  <c r="P31" i="5"/>
  <c r="I1568" i="2" s="1"/>
  <c r="N31" i="5"/>
  <c r="M31" i="5"/>
  <c r="I1184" i="2" s="1"/>
  <c r="L31" i="5"/>
  <c r="I1056" i="2" s="1"/>
  <c r="O31" i="5"/>
  <c r="P28" i="5"/>
  <c r="I1565" i="2" s="1"/>
  <c r="N28" i="5"/>
  <c r="M28" i="5"/>
  <c r="I1181" i="2" s="1"/>
  <c r="L28" i="5"/>
  <c r="I1053" i="2" s="1"/>
  <c r="O28" i="5"/>
  <c r="N25" i="5"/>
  <c r="P25" i="5"/>
  <c r="I1562" i="2" s="1"/>
  <c r="O25" i="5"/>
  <c r="M25" i="5"/>
  <c r="I1178" i="2" s="1"/>
  <c r="L25" i="5"/>
  <c r="I1050" i="2" s="1"/>
  <c r="B32" i="5"/>
  <c r="D31" i="5"/>
  <c r="I32" i="2" s="1"/>
  <c r="E31" i="5"/>
  <c r="I160" i="2" s="1"/>
  <c r="J31" i="5"/>
  <c r="I800" i="2" s="1"/>
  <c r="K31" i="5"/>
  <c r="I928" i="2" s="1"/>
  <c r="I31" i="5"/>
  <c r="I672" i="2" s="1"/>
  <c r="H31" i="5"/>
  <c r="I544" i="2" s="1"/>
  <c r="G31" i="5"/>
  <c r="I416" i="2" s="1"/>
  <c r="F31" i="5"/>
  <c r="I288" i="2" s="1"/>
  <c r="B35" i="5"/>
  <c r="B38" i="5"/>
  <c r="I34" i="5"/>
  <c r="I675" i="2" s="1"/>
  <c r="H34" i="5"/>
  <c r="I547" i="2" s="1"/>
  <c r="E34" i="5"/>
  <c r="I163" i="2" s="1"/>
  <c r="D34" i="5"/>
  <c r="I35" i="2" s="1"/>
  <c r="J34" i="5"/>
  <c r="I803" i="2" s="1"/>
  <c r="F34" i="5"/>
  <c r="I291" i="2" s="1"/>
  <c r="K34" i="5"/>
  <c r="I931" i="2" s="1"/>
  <c r="G34" i="5"/>
  <c r="I419" i="2" s="1"/>
  <c r="I28" i="5"/>
  <c r="I669" i="2" s="1"/>
  <c r="G28" i="5"/>
  <c r="I413" i="2" s="1"/>
  <c r="B29" i="5"/>
  <c r="F28" i="5"/>
  <c r="I285" i="2" s="1"/>
  <c r="K28" i="5"/>
  <c r="I925" i="2" s="1"/>
  <c r="H28" i="5"/>
  <c r="I541" i="2" s="1"/>
  <c r="J28" i="5"/>
  <c r="I797" i="2" s="1"/>
  <c r="D28" i="5"/>
  <c r="I29" i="2" s="1"/>
  <c r="E28" i="5"/>
  <c r="I157" i="2" s="1"/>
  <c r="I25" i="5"/>
  <c r="I666" i="2" s="1"/>
  <c r="J25" i="5"/>
  <c r="I794" i="2" s="1"/>
  <c r="D25" i="5"/>
  <c r="I26" i="2" s="1"/>
  <c r="G25" i="5"/>
  <c r="I410" i="2" s="1"/>
  <c r="E25" i="5"/>
  <c r="I154" i="2" s="1"/>
  <c r="F25" i="5"/>
  <c r="I282" i="2" s="1"/>
  <c r="K25" i="5"/>
  <c r="I922" i="2" s="1"/>
  <c r="H25" i="5"/>
  <c r="I538" i="2" s="1"/>
  <c r="P38" i="5" l="1"/>
  <c r="I1575" i="2" s="1"/>
  <c r="N38" i="5"/>
  <c r="M38" i="5"/>
  <c r="I1191" i="2" s="1"/>
  <c r="L38" i="5"/>
  <c r="I1063" i="2" s="1"/>
  <c r="O38" i="5"/>
  <c r="P29" i="5"/>
  <c r="I1566" i="2" s="1"/>
  <c r="N29" i="5"/>
  <c r="M29" i="5"/>
  <c r="I1182" i="2" s="1"/>
  <c r="O29" i="5"/>
  <c r="L29" i="5"/>
  <c r="I1054" i="2" s="1"/>
  <c r="P35" i="5"/>
  <c r="I1572" i="2" s="1"/>
  <c r="N35" i="5"/>
  <c r="M35" i="5"/>
  <c r="I1188" i="2" s="1"/>
  <c r="O35" i="5"/>
  <c r="L35" i="5"/>
  <c r="I1060" i="2" s="1"/>
  <c r="P32" i="5"/>
  <c r="I1569" i="2" s="1"/>
  <c r="N32" i="5"/>
  <c r="M32" i="5"/>
  <c r="I1185" i="2" s="1"/>
  <c r="L32" i="5"/>
  <c r="I1057" i="2" s="1"/>
  <c r="O32" i="5"/>
  <c r="B42" i="5"/>
  <c r="E38" i="5"/>
  <c r="I167" i="2" s="1"/>
  <c r="H38" i="5"/>
  <c r="I551" i="2" s="1"/>
  <c r="B39" i="5"/>
  <c r="D38" i="5"/>
  <c r="I39" i="2" s="1"/>
  <c r="J38" i="5"/>
  <c r="I807" i="2" s="1"/>
  <c r="K38" i="5"/>
  <c r="I935" i="2" s="1"/>
  <c r="I38" i="5"/>
  <c r="I679" i="2" s="1"/>
  <c r="F38" i="5"/>
  <c r="I295" i="2" s="1"/>
  <c r="G38" i="5"/>
  <c r="I423" i="2" s="1"/>
  <c r="I29" i="5"/>
  <c r="I670" i="2" s="1"/>
  <c r="K29" i="5"/>
  <c r="I926" i="2" s="1"/>
  <c r="F29" i="5"/>
  <c r="I286" i="2" s="1"/>
  <c r="G29" i="5"/>
  <c r="I414" i="2" s="1"/>
  <c r="J29" i="5"/>
  <c r="I798" i="2" s="1"/>
  <c r="H29" i="5"/>
  <c r="I542" i="2" s="1"/>
  <c r="D29" i="5"/>
  <c r="I30" i="2" s="1"/>
  <c r="E29" i="5"/>
  <c r="I158" i="2" s="1"/>
  <c r="B36" i="5"/>
  <c r="D35" i="5"/>
  <c r="I36" i="2" s="1"/>
  <c r="E35" i="5"/>
  <c r="I164" i="2" s="1"/>
  <c r="I35" i="5"/>
  <c r="I676" i="2" s="1"/>
  <c r="H35" i="5"/>
  <c r="I548" i="2" s="1"/>
  <c r="K35" i="5"/>
  <c r="I932" i="2" s="1"/>
  <c r="J35" i="5"/>
  <c r="I804" i="2" s="1"/>
  <c r="G35" i="5"/>
  <c r="I420" i="2" s="1"/>
  <c r="F35" i="5"/>
  <c r="I292" i="2" s="1"/>
  <c r="B33" i="5"/>
  <c r="G32" i="5"/>
  <c r="I417" i="2" s="1"/>
  <c r="D32" i="5"/>
  <c r="I33" i="2" s="1"/>
  <c r="F32" i="5"/>
  <c r="I289" i="2" s="1"/>
  <c r="E32" i="5"/>
  <c r="I161" i="2" s="1"/>
  <c r="I32" i="5"/>
  <c r="I673" i="2" s="1"/>
  <c r="H32" i="5"/>
  <c r="I545" i="2" s="1"/>
  <c r="K32" i="5"/>
  <c r="I929" i="2" s="1"/>
  <c r="J32" i="5"/>
  <c r="I801" i="2" s="1"/>
  <c r="P36" i="5" l="1"/>
  <c r="I1573" i="2" s="1"/>
  <c r="N36" i="5"/>
  <c r="M36" i="5"/>
  <c r="I1189" i="2" s="1"/>
  <c r="L36" i="5"/>
  <c r="I1061" i="2" s="1"/>
  <c r="O36" i="5"/>
  <c r="P33" i="5"/>
  <c r="I1570" i="2" s="1"/>
  <c r="N33" i="5"/>
  <c r="M33" i="5"/>
  <c r="I1186" i="2" s="1"/>
  <c r="L33" i="5"/>
  <c r="I1058" i="2" s="1"/>
  <c r="O33" i="5"/>
  <c r="P39" i="5"/>
  <c r="I1576" i="2" s="1"/>
  <c r="N39" i="5"/>
  <c r="M39" i="5"/>
  <c r="I1192" i="2" s="1"/>
  <c r="L39" i="5"/>
  <c r="I1064" i="2" s="1"/>
  <c r="O39" i="5"/>
  <c r="P42" i="5"/>
  <c r="I1579" i="2" s="1"/>
  <c r="N42" i="5"/>
  <c r="M42" i="5"/>
  <c r="I1195" i="2" s="1"/>
  <c r="L42" i="5"/>
  <c r="I1067" i="2" s="1"/>
  <c r="O42" i="5"/>
  <c r="G33" i="5"/>
  <c r="I418" i="2" s="1"/>
  <c r="E33" i="5"/>
  <c r="I162" i="2" s="1"/>
  <c r="D33" i="5"/>
  <c r="I34" i="2" s="1"/>
  <c r="J33" i="5"/>
  <c r="I802" i="2" s="1"/>
  <c r="I33" i="5"/>
  <c r="I674" i="2" s="1"/>
  <c r="K33" i="5"/>
  <c r="I930" i="2" s="1"/>
  <c r="H33" i="5"/>
  <c r="I546" i="2" s="1"/>
  <c r="F33" i="5"/>
  <c r="I290" i="2" s="1"/>
  <c r="H39" i="5"/>
  <c r="I552" i="2" s="1"/>
  <c r="K39" i="5"/>
  <c r="I936" i="2" s="1"/>
  <c r="F39" i="5"/>
  <c r="I296" i="2" s="1"/>
  <c r="B40" i="5"/>
  <c r="I39" i="5"/>
  <c r="I680" i="2" s="1"/>
  <c r="G39" i="5"/>
  <c r="I424" i="2" s="1"/>
  <c r="E39" i="5"/>
  <c r="I168" i="2" s="1"/>
  <c r="D39" i="5"/>
  <c r="I40" i="2" s="1"/>
  <c r="J39" i="5"/>
  <c r="I808" i="2" s="1"/>
  <c r="B37" i="5"/>
  <c r="K36" i="5"/>
  <c r="I933" i="2" s="1"/>
  <c r="D36" i="5"/>
  <c r="I37" i="2" s="1"/>
  <c r="F36" i="5"/>
  <c r="I293" i="2" s="1"/>
  <c r="E36" i="5"/>
  <c r="I165" i="2" s="1"/>
  <c r="G36" i="5"/>
  <c r="I421" i="2" s="1"/>
  <c r="I36" i="5"/>
  <c r="I677" i="2" s="1"/>
  <c r="H36" i="5"/>
  <c r="I549" i="2" s="1"/>
  <c r="J36" i="5"/>
  <c r="I805" i="2" s="1"/>
  <c r="B43" i="5"/>
  <c r="D42" i="5"/>
  <c r="I43" i="2" s="1"/>
  <c r="B46" i="5"/>
  <c r="F42" i="5"/>
  <c r="I299" i="2" s="1"/>
  <c r="E42" i="5"/>
  <c r="I171" i="2" s="1"/>
  <c r="J42" i="5"/>
  <c r="I811" i="2" s="1"/>
  <c r="H42" i="5"/>
  <c r="I555" i="2" s="1"/>
  <c r="G42" i="5"/>
  <c r="I427" i="2" s="1"/>
  <c r="I42" i="5"/>
  <c r="I683" i="2" s="1"/>
  <c r="K42" i="5"/>
  <c r="I939" i="2" s="1"/>
  <c r="P37" i="5" l="1"/>
  <c r="I1574" i="2" s="1"/>
  <c r="N37" i="5"/>
  <c r="M37" i="5"/>
  <c r="I1190" i="2" s="1"/>
  <c r="O37" i="5"/>
  <c r="L37" i="5"/>
  <c r="I1062" i="2" s="1"/>
  <c r="P40" i="5"/>
  <c r="I1577" i="2" s="1"/>
  <c r="N40" i="5"/>
  <c r="M40" i="5"/>
  <c r="I1193" i="2" s="1"/>
  <c r="L40" i="5"/>
  <c r="I1065" i="2" s="1"/>
  <c r="O40" i="5"/>
  <c r="P43" i="5"/>
  <c r="I1580" i="2" s="1"/>
  <c r="N43" i="5"/>
  <c r="M43" i="5"/>
  <c r="I1196" i="2" s="1"/>
  <c r="O43" i="5"/>
  <c r="L43" i="5"/>
  <c r="I1068" i="2" s="1"/>
  <c r="P46" i="5"/>
  <c r="I1583" i="2" s="1"/>
  <c r="N46" i="5"/>
  <c r="M46" i="5"/>
  <c r="I1199" i="2" s="1"/>
  <c r="L46" i="5"/>
  <c r="I1071" i="2" s="1"/>
  <c r="O46" i="5"/>
  <c r="D43" i="5"/>
  <c r="I44" i="2" s="1"/>
  <c r="J43" i="5"/>
  <c r="I812" i="2" s="1"/>
  <c r="K43" i="5"/>
  <c r="I940" i="2" s="1"/>
  <c r="E43" i="5"/>
  <c r="I172" i="2" s="1"/>
  <c r="I43" i="5"/>
  <c r="I684" i="2" s="1"/>
  <c r="H43" i="5"/>
  <c r="I556" i="2" s="1"/>
  <c r="B44" i="5"/>
  <c r="G43" i="5"/>
  <c r="I428" i="2" s="1"/>
  <c r="F43" i="5"/>
  <c r="I300" i="2" s="1"/>
  <c r="F37" i="5"/>
  <c r="I294" i="2" s="1"/>
  <c r="E37" i="5"/>
  <c r="I166" i="2" s="1"/>
  <c r="D37" i="5"/>
  <c r="I38" i="2" s="1"/>
  <c r="H37" i="5"/>
  <c r="I550" i="2" s="1"/>
  <c r="K37" i="5"/>
  <c r="I934" i="2" s="1"/>
  <c r="G37" i="5"/>
  <c r="I422" i="2" s="1"/>
  <c r="I37" i="5"/>
  <c r="I678" i="2" s="1"/>
  <c r="J37" i="5"/>
  <c r="I806" i="2" s="1"/>
  <c r="B41" i="5"/>
  <c r="G40" i="5"/>
  <c r="I425" i="2" s="1"/>
  <c r="J40" i="5"/>
  <c r="I809" i="2" s="1"/>
  <c r="F40" i="5"/>
  <c r="I297" i="2" s="1"/>
  <c r="I40" i="5"/>
  <c r="I681" i="2" s="1"/>
  <c r="D40" i="5"/>
  <c r="I41" i="2" s="1"/>
  <c r="E40" i="5"/>
  <c r="I169" i="2" s="1"/>
  <c r="H40" i="5"/>
  <c r="I553" i="2" s="1"/>
  <c r="K40" i="5"/>
  <c r="I937" i="2" s="1"/>
  <c r="B50" i="5"/>
  <c r="H46" i="5"/>
  <c r="I559" i="2" s="1"/>
  <c r="E46" i="5"/>
  <c r="I175" i="2" s="1"/>
  <c r="I46" i="5"/>
  <c r="I687" i="2" s="1"/>
  <c r="F46" i="5"/>
  <c r="I303" i="2" s="1"/>
  <c r="J46" i="5"/>
  <c r="I815" i="2" s="1"/>
  <c r="B47" i="5"/>
  <c r="D46" i="5"/>
  <c r="I47" i="2" s="1"/>
  <c r="G46" i="5"/>
  <c r="I431" i="2" s="1"/>
  <c r="K46" i="5"/>
  <c r="I943" i="2" s="1"/>
  <c r="P41" i="5" l="1"/>
  <c r="I1578" i="2" s="1"/>
  <c r="N41" i="5"/>
  <c r="M41" i="5"/>
  <c r="I1194" i="2" s="1"/>
  <c r="L41" i="5"/>
  <c r="I1066" i="2" s="1"/>
  <c r="O41" i="5"/>
  <c r="P47" i="5"/>
  <c r="I1584" i="2" s="1"/>
  <c r="N47" i="5"/>
  <c r="M47" i="5"/>
  <c r="I1200" i="2" s="1"/>
  <c r="L47" i="5"/>
  <c r="I1072" i="2" s="1"/>
  <c r="O47" i="5"/>
  <c r="P50" i="5"/>
  <c r="I1587" i="2" s="1"/>
  <c r="N50" i="5"/>
  <c r="M50" i="5"/>
  <c r="I1203" i="2" s="1"/>
  <c r="L50" i="5"/>
  <c r="I1075" i="2" s="1"/>
  <c r="O50" i="5"/>
  <c r="P44" i="5"/>
  <c r="I1581" i="2" s="1"/>
  <c r="N44" i="5"/>
  <c r="M44" i="5"/>
  <c r="I1197" i="2" s="1"/>
  <c r="L44" i="5"/>
  <c r="I1069" i="2" s="1"/>
  <c r="O44" i="5"/>
  <c r="B54" i="5"/>
  <c r="E50" i="5"/>
  <c r="I179" i="2" s="1"/>
  <c r="B51" i="5"/>
  <c r="H50" i="5"/>
  <c r="I563" i="2" s="1"/>
  <c r="F50" i="5"/>
  <c r="I307" i="2" s="1"/>
  <c r="D50" i="5"/>
  <c r="I51" i="2" s="1"/>
  <c r="J50" i="5"/>
  <c r="I819" i="2" s="1"/>
  <c r="I50" i="5"/>
  <c r="I691" i="2" s="1"/>
  <c r="K50" i="5"/>
  <c r="I947" i="2" s="1"/>
  <c r="G50" i="5"/>
  <c r="I435" i="2" s="1"/>
  <c r="J44" i="5"/>
  <c r="I813" i="2" s="1"/>
  <c r="B45" i="5"/>
  <c r="F44" i="5"/>
  <c r="I301" i="2" s="1"/>
  <c r="G44" i="5"/>
  <c r="I429" i="2" s="1"/>
  <c r="E44" i="5"/>
  <c r="I173" i="2" s="1"/>
  <c r="K44" i="5"/>
  <c r="I941" i="2" s="1"/>
  <c r="H44" i="5"/>
  <c r="I557" i="2" s="1"/>
  <c r="D44" i="5"/>
  <c r="I45" i="2" s="1"/>
  <c r="I44" i="5"/>
  <c r="I685" i="2" s="1"/>
  <c r="K41" i="5"/>
  <c r="I938" i="2" s="1"/>
  <c r="H41" i="5"/>
  <c r="I554" i="2" s="1"/>
  <c r="G41" i="5"/>
  <c r="I426" i="2" s="1"/>
  <c r="E41" i="5"/>
  <c r="I170" i="2" s="1"/>
  <c r="D41" i="5"/>
  <c r="I42" i="2" s="1"/>
  <c r="I41" i="5"/>
  <c r="I682" i="2" s="1"/>
  <c r="J41" i="5"/>
  <c r="I810" i="2" s="1"/>
  <c r="F41" i="5"/>
  <c r="I298" i="2" s="1"/>
  <c r="B48" i="5"/>
  <c r="E47" i="5"/>
  <c r="I176" i="2" s="1"/>
  <c r="D47" i="5"/>
  <c r="I48" i="2" s="1"/>
  <c r="I47" i="5"/>
  <c r="I688" i="2" s="1"/>
  <c r="H47" i="5"/>
  <c r="I560" i="2" s="1"/>
  <c r="J47" i="5"/>
  <c r="I816" i="2" s="1"/>
  <c r="K47" i="5"/>
  <c r="I944" i="2" s="1"/>
  <c r="G47" i="5"/>
  <c r="I432" i="2" s="1"/>
  <c r="F47" i="5"/>
  <c r="I304" i="2" s="1"/>
  <c r="P51" i="5" l="1"/>
  <c r="I1588" i="2" s="1"/>
  <c r="N51" i="5"/>
  <c r="M51" i="5"/>
  <c r="I1204" i="2" s="1"/>
  <c r="O51" i="5"/>
  <c r="L51" i="5"/>
  <c r="I1076" i="2" s="1"/>
  <c r="P48" i="5"/>
  <c r="I1585" i="2" s="1"/>
  <c r="N48" i="5"/>
  <c r="M48" i="5"/>
  <c r="I1201" i="2" s="1"/>
  <c r="L48" i="5"/>
  <c r="I1073" i="2" s="1"/>
  <c r="O48" i="5"/>
  <c r="P45" i="5"/>
  <c r="I1582" i="2" s="1"/>
  <c r="N45" i="5"/>
  <c r="M45" i="5"/>
  <c r="I1198" i="2" s="1"/>
  <c r="O45" i="5"/>
  <c r="L45" i="5"/>
  <c r="I1070" i="2" s="1"/>
  <c r="P54" i="5"/>
  <c r="I1591" i="2" s="1"/>
  <c r="N54" i="5"/>
  <c r="M54" i="5"/>
  <c r="I1207" i="2" s="1"/>
  <c r="L54" i="5"/>
  <c r="I1079" i="2" s="1"/>
  <c r="O54" i="5"/>
  <c r="B52" i="5"/>
  <c r="E51" i="5"/>
  <c r="I180" i="2" s="1"/>
  <c r="K51" i="5"/>
  <c r="I948" i="2" s="1"/>
  <c r="J51" i="5"/>
  <c r="I820" i="2" s="1"/>
  <c r="D51" i="5"/>
  <c r="I52" i="2" s="1"/>
  <c r="H51" i="5"/>
  <c r="I564" i="2" s="1"/>
  <c r="I51" i="5"/>
  <c r="I692" i="2" s="1"/>
  <c r="G51" i="5"/>
  <c r="I436" i="2" s="1"/>
  <c r="F51" i="5"/>
  <c r="I308" i="2" s="1"/>
  <c r="B49" i="5"/>
  <c r="G48" i="5"/>
  <c r="I433" i="2" s="1"/>
  <c r="D48" i="5"/>
  <c r="I49" i="2" s="1"/>
  <c r="E48" i="5"/>
  <c r="I177" i="2" s="1"/>
  <c r="F48" i="5"/>
  <c r="I305" i="2" s="1"/>
  <c r="K48" i="5"/>
  <c r="I945" i="2" s="1"/>
  <c r="J48" i="5"/>
  <c r="I817" i="2" s="1"/>
  <c r="I48" i="5"/>
  <c r="I689" i="2" s="1"/>
  <c r="H48" i="5"/>
  <c r="I561" i="2" s="1"/>
  <c r="K45" i="5"/>
  <c r="I942" i="2" s="1"/>
  <c r="H45" i="5"/>
  <c r="I558" i="2" s="1"/>
  <c r="D45" i="5"/>
  <c r="I46" i="2" s="1"/>
  <c r="G45" i="5"/>
  <c r="I430" i="2" s="1"/>
  <c r="F45" i="5"/>
  <c r="I302" i="2" s="1"/>
  <c r="J45" i="5"/>
  <c r="I814" i="2" s="1"/>
  <c r="E45" i="5"/>
  <c r="I174" i="2" s="1"/>
  <c r="I45" i="5"/>
  <c r="I686" i="2" s="1"/>
  <c r="B55" i="5"/>
  <c r="I54" i="5"/>
  <c r="I695" i="2" s="1"/>
  <c r="E54" i="5"/>
  <c r="I183" i="2" s="1"/>
  <c r="B58" i="5"/>
  <c r="F54" i="5"/>
  <c r="I311" i="2" s="1"/>
  <c r="D54" i="5"/>
  <c r="I55" i="2" s="1"/>
  <c r="H54" i="5"/>
  <c r="I567" i="2" s="1"/>
  <c r="J54" i="5"/>
  <c r="I823" i="2" s="1"/>
  <c r="K54" i="5"/>
  <c r="I951" i="2" s="1"/>
  <c r="G54" i="5"/>
  <c r="I439" i="2" s="1"/>
  <c r="P55" i="5" l="1"/>
  <c r="I1592" i="2" s="1"/>
  <c r="N55" i="5"/>
  <c r="M55" i="5"/>
  <c r="I1208" i="2" s="1"/>
  <c r="L55" i="5"/>
  <c r="I1080" i="2" s="1"/>
  <c r="O55" i="5"/>
  <c r="P58" i="5"/>
  <c r="I1595" i="2" s="1"/>
  <c r="N58" i="5"/>
  <c r="M58" i="5"/>
  <c r="I1211" i="2" s="1"/>
  <c r="L58" i="5"/>
  <c r="I1083" i="2" s="1"/>
  <c r="O58" i="5"/>
  <c r="P49" i="5"/>
  <c r="I1586" i="2" s="1"/>
  <c r="N49" i="5"/>
  <c r="M49" i="5"/>
  <c r="I1202" i="2" s="1"/>
  <c r="L49" i="5"/>
  <c r="I1074" i="2" s="1"/>
  <c r="O49" i="5"/>
  <c r="P52" i="5"/>
  <c r="I1589" i="2" s="1"/>
  <c r="N52" i="5"/>
  <c r="M52" i="5"/>
  <c r="I1205" i="2" s="1"/>
  <c r="L52" i="5"/>
  <c r="I1077" i="2" s="1"/>
  <c r="O52" i="5"/>
  <c r="B62" i="5"/>
  <c r="F58" i="5"/>
  <c r="I315" i="2" s="1"/>
  <c r="D58" i="5"/>
  <c r="I59" i="2" s="1"/>
  <c r="I58" i="5"/>
  <c r="I699" i="2" s="1"/>
  <c r="B59" i="5"/>
  <c r="E58" i="5"/>
  <c r="I187" i="2" s="1"/>
  <c r="J58" i="5"/>
  <c r="I827" i="2" s="1"/>
  <c r="G58" i="5"/>
  <c r="I443" i="2" s="1"/>
  <c r="H58" i="5"/>
  <c r="I571" i="2" s="1"/>
  <c r="K58" i="5"/>
  <c r="I955" i="2" s="1"/>
  <c r="F49" i="5"/>
  <c r="I306" i="2" s="1"/>
  <c r="G49" i="5"/>
  <c r="I434" i="2" s="1"/>
  <c r="D49" i="5"/>
  <c r="I50" i="2" s="1"/>
  <c r="E49" i="5"/>
  <c r="I178" i="2" s="1"/>
  <c r="H49" i="5"/>
  <c r="I562" i="2" s="1"/>
  <c r="K49" i="5"/>
  <c r="I946" i="2" s="1"/>
  <c r="I49" i="5"/>
  <c r="I690" i="2" s="1"/>
  <c r="J49" i="5"/>
  <c r="I818" i="2" s="1"/>
  <c r="E55" i="5"/>
  <c r="I184" i="2" s="1"/>
  <c r="D55" i="5"/>
  <c r="I56" i="2" s="1"/>
  <c r="J55" i="5"/>
  <c r="I824" i="2" s="1"/>
  <c r="H55" i="5"/>
  <c r="I568" i="2" s="1"/>
  <c r="K55" i="5"/>
  <c r="I952" i="2" s="1"/>
  <c r="I55" i="5"/>
  <c r="I696" i="2" s="1"/>
  <c r="F55" i="5"/>
  <c r="I312" i="2" s="1"/>
  <c r="B56" i="5"/>
  <c r="G55" i="5"/>
  <c r="I440" i="2" s="1"/>
  <c r="D52" i="5"/>
  <c r="I53" i="2" s="1"/>
  <c r="H52" i="5"/>
  <c r="I565" i="2" s="1"/>
  <c r="E52" i="5"/>
  <c r="I181" i="2" s="1"/>
  <c r="B53" i="5"/>
  <c r="G52" i="5"/>
  <c r="I437" i="2" s="1"/>
  <c r="F52" i="5"/>
  <c r="I309" i="2" s="1"/>
  <c r="K52" i="5"/>
  <c r="I949" i="2" s="1"/>
  <c r="J52" i="5"/>
  <c r="I821" i="2" s="1"/>
  <c r="I52" i="5"/>
  <c r="I693" i="2" s="1"/>
  <c r="P53" i="5" l="1"/>
  <c r="I1590" i="2" s="1"/>
  <c r="N53" i="5"/>
  <c r="M53" i="5"/>
  <c r="I1206" i="2" s="1"/>
  <c r="O53" i="5"/>
  <c r="L53" i="5"/>
  <c r="I1078" i="2" s="1"/>
  <c r="P56" i="5"/>
  <c r="I1593" i="2" s="1"/>
  <c r="N56" i="5"/>
  <c r="M56" i="5"/>
  <c r="I1209" i="2" s="1"/>
  <c r="L56" i="5"/>
  <c r="I1081" i="2" s="1"/>
  <c r="O56" i="5"/>
  <c r="P59" i="5"/>
  <c r="I1596" i="2" s="1"/>
  <c r="N59" i="5"/>
  <c r="M59" i="5"/>
  <c r="I1212" i="2" s="1"/>
  <c r="O59" i="5"/>
  <c r="L59" i="5"/>
  <c r="I1084" i="2" s="1"/>
  <c r="P62" i="5"/>
  <c r="I1599" i="2" s="1"/>
  <c r="N62" i="5"/>
  <c r="M62" i="5"/>
  <c r="I1215" i="2" s="1"/>
  <c r="L62" i="5"/>
  <c r="I1087" i="2" s="1"/>
  <c r="O62" i="5"/>
  <c r="I53" i="5"/>
  <c r="I694" i="2" s="1"/>
  <c r="D53" i="5"/>
  <c r="I54" i="2" s="1"/>
  <c r="G53" i="5"/>
  <c r="I438" i="2" s="1"/>
  <c r="E53" i="5"/>
  <c r="I182" i="2" s="1"/>
  <c r="K53" i="5"/>
  <c r="I950" i="2" s="1"/>
  <c r="H53" i="5"/>
  <c r="I566" i="2" s="1"/>
  <c r="J53" i="5"/>
  <c r="I822" i="2" s="1"/>
  <c r="F53" i="5"/>
  <c r="I310" i="2" s="1"/>
  <c r="H56" i="5"/>
  <c r="I569" i="2" s="1"/>
  <c r="E56" i="5"/>
  <c r="I185" i="2" s="1"/>
  <c r="J56" i="5"/>
  <c r="I825" i="2" s="1"/>
  <c r="G56" i="5"/>
  <c r="I441" i="2" s="1"/>
  <c r="B57" i="5"/>
  <c r="K56" i="5"/>
  <c r="I953" i="2" s="1"/>
  <c r="F56" i="5"/>
  <c r="I313" i="2" s="1"/>
  <c r="I56" i="5"/>
  <c r="I697" i="2" s="1"/>
  <c r="D56" i="5"/>
  <c r="I57" i="2" s="1"/>
  <c r="E59" i="5"/>
  <c r="I188" i="2" s="1"/>
  <c r="J59" i="5"/>
  <c r="I828" i="2" s="1"/>
  <c r="G59" i="5"/>
  <c r="I444" i="2" s="1"/>
  <c r="I59" i="5"/>
  <c r="I700" i="2" s="1"/>
  <c r="D59" i="5"/>
  <c r="I60" i="2" s="1"/>
  <c r="F59" i="5"/>
  <c r="I316" i="2" s="1"/>
  <c r="H59" i="5"/>
  <c r="I572" i="2" s="1"/>
  <c r="K59" i="5"/>
  <c r="I956" i="2" s="1"/>
  <c r="B60" i="5"/>
  <c r="B63" i="5"/>
  <c r="H62" i="5"/>
  <c r="I575" i="2" s="1"/>
  <c r="F62" i="5"/>
  <c r="I319" i="2" s="1"/>
  <c r="D62" i="5"/>
  <c r="I63" i="2" s="1"/>
  <c r="E62" i="5"/>
  <c r="I191" i="2" s="1"/>
  <c r="B66" i="5"/>
  <c r="J62" i="5"/>
  <c r="I831" i="2" s="1"/>
  <c r="I62" i="5"/>
  <c r="I703" i="2" s="1"/>
  <c r="G62" i="5"/>
  <c r="I447" i="2" s="1"/>
  <c r="K62" i="5"/>
  <c r="I959" i="2" s="1"/>
  <c r="P60" i="5" l="1"/>
  <c r="I1597" i="2" s="1"/>
  <c r="N60" i="5"/>
  <c r="M60" i="5"/>
  <c r="I1213" i="2" s="1"/>
  <c r="L60" i="5"/>
  <c r="I1085" i="2" s="1"/>
  <c r="O60" i="5"/>
  <c r="P66" i="5"/>
  <c r="I1603" i="2" s="1"/>
  <c r="N66" i="5"/>
  <c r="M66" i="5"/>
  <c r="I1219" i="2" s="1"/>
  <c r="L66" i="5"/>
  <c r="I1091" i="2" s="1"/>
  <c r="O66" i="5"/>
  <c r="P63" i="5"/>
  <c r="I1600" i="2" s="1"/>
  <c r="N63" i="5"/>
  <c r="M63" i="5"/>
  <c r="I1216" i="2" s="1"/>
  <c r="L63" i="5"/>
  <c r="I1088" i="2" s="1"/>
  <c r="O63" i="5"/>
  <c r="P57" i="5"/>
  <c r="I1594" i="2" s="1"/>
  <c r="N57" i="5"/>
  <c r="M57" i="5"/>
  <c r="I1210" i="2" s="1"/>
  <c r="L57" i="5"/>
  <c r="I1082" i="2" s="1"/>
  <c r="O57" i="5"/>
  <c r="B64" i="5"/>
  <c r="E63" i="5"/>
  <c r="I192" i="2" s="1"/>
  <c r="D63" i="5"/>
  <c r="I64" i="2" s="1"/>
  <c r="H63" i="5"/>
  <c r="I576" i="2" s="1"/>
  <c r="I63" i="5"/>
  <c r="I704" i="2" s="1"/>
  <c r="J63" i="5"/>
  <c r="I832" i="2" s="1"/>
  <c r="K63" i="5"/>
  <c r="I960" i="2" s="1"/>
  <c r="G63" i="5"/>
  <c r="I448" i="2" s="1"/>
  <c r="F63" i="5"/>
  <c r="I320" i="2" s="1"/>
  <c r="B67" i="5"/>
  <c r="B70" i="5"/>
  <c r="H66" i="5"/>
  <c r="I579" i="2" s="1"/>
  <c r="G66" i="5"/>
  <c r="I451" i="2" s="1"/>
  <c r="D66" i="5"/>
  <c r="I67" i="2" s="1"/>
  <c r="J66" i="5"/>
  <c r="I835" i="2" s="1"/>
  <c r="I66" i="5"/>
  <c r="I707" i="2" s="1"/>
  <c r="E66" i="5"/>
  <c r="I195" i="2" s="1"/>
  <c r="K66" i="5"/>
  <c r="I963" i="2" s="1"/>
  <c r="F66" i="5"/>
  <c r="I323" i="2" s="1"/>
  <c r="J60" i="5"/>
  <c r="I829" i="2" s="1"/>
  <c r="K60" i="5"/>
  <c r="I957" i="2" s="1"/>
  <c r="G60" i="5"/>
  <c r="I445" i="2" s="1"/>
  <c r="I60" i="5"/>
  <c r="I701" i="2" s="1"/>
  <c r="F60" i="5"/>
  <c r="I317" i="2" s="1"/>
  <c r="H60" i="5"/>
  <c r="I573" i="2" s="1"/>
  <c r="D60" i="5"/>
  <c r="I61" i="2" s="1"/>
  <c r="E60" i="5"/>
  <c r="I189" i="2" s="1"/>
  <c r="B61" i="5"/>
  <c r="F57" i="5"/>
  <c r="I314" i="2" s="1"/>
  <c r="J57" i="5"/>
  <c r="I826" i="2" s="1"/>
  <c r="K57" i="5"/>
  <c r="I954" i="2" s="1"/>
  <c r="H57" i="5"/>
  <c r="I570" i="2" s="1"/>
  <c r="I57" i="5"/>
  <c r="I698" i="2" s="1"/>
  <c r="D57" i="5"/>
  <c r="I58" i="2" s="1"/>
  <c r="G57" i="5"/>
  <c r="I442" i="2" s="1"/>
  <c r="E57" i="5"/>
  <c r="I186" i="2" s="1"/>
  <c r="P70" i="5" l="1"/>
  <c r="I1607" i="2" s="1"/>
  <c r="N70" i="5"/>
  <c r="M70" i="5"/>
  <c r="I1223" i="2" s="1"/>
  <c r="L70" i="5"/>
  <c r="I1095" i="2" s="1"/>
  <c r="O70" i="5"/>
  <c r="P61" i="5"/>
  <c r="I1598" i="2" s="1"/>
  <c r="N61" i="5"/>
  <c r="M61" i="5"/>
  <c r="I1214" i="2" s="1"/>
  <c r="O61" i="5"/>
  <c r="L61" i="5"/>
  <c r="I1086" i="2" s="1"/>
  <c r="P67" i="5"/>
  <c r="I1604" i="2" s="1"/>
  <c r="N67" i="5"/>
  <c r="M67" i="5"/>
  <c r="I1220" i="2" s="1"/>
  <c r="O67" i="5"/>
  <c r="L67" i="5"/>
  <c r="I1092" i="2" s="1"/>
  <c r="P64" i="5"/>
  <c r="I1601" i="2" s="1"/>
  <c r="N64" i="5"/>
  <c r="M64" i="5"/>
  <c r="I1217" i="2" s="1"/>
  <c r="L64" i="5"/>
  <c r="I1089" i="2" s="1"/>
  <c r="O64" i="5"/>
  <c r="B74" i="5"/>
  <c r="G70" i="5"/>
  <c r="I455" i="2" s="1"/>
  <c r="D70" i="5"/>
  <c r="I71" i="2" s="1"/>
  <c r="H70" i="5"/>
  <c r="I583" i="2" s="1"/>
  <c r="E70" i="5"/>
  <c r="I199" i="2" s="1"/>
  <c r="F70" i="5"/>
  <c r="I327" i="2" s="1"/>
  <c r="B71" i="5"/>
  <c r="J70" i="5"/>
  <c r="I839" i="2" s="1"/>
  <c r="K70" i="5"/>
  <c r="I967" i="2" s="1"/>
  <c r="I70" i="5"/>
  <c r="I711" i="2" s="1"/>
  <c r="J61" i="5"/>
  <c r="I830" i="2" s="1"/>
  <c r="K61" i="5"/>
  <c r="I958" i="2" s="1"/>
  <c r="E61" i="5"/>
  <c r="I190" i="2" s="1"/>
  <c r="G61" i="5"/>
  <c r="I446" i="2" s="1"/>
  <c r="F61" i="5"/>
  <c r="I318" i="2" s="1"/>
  <c r="D61" i="5"/>
  <c r="I62" i="2" s="1"/>
  <c r="I61" i="5"/>
  <c r="I702" i="2" s="1"/>
  <c r="H61" i="5"/>
  <c r="I574" i="2" s="1"/>
  <c r="B68" i="5"/>
  <c r="E67" i="5"/>
  <c r="I196" i="2" s="1"/>
  <c r="G67" i="5"/>
  <c r="I452" i="2" s="1"/>
  <c r="J67" i="5"/>
  <c r="I836" i="2" s="1"/>
  <c r="I67" i="5"/>
  <c r="I708" i="2" s="1"/>
  <c r="H67" i="5"/>
  <c r="I580" i="2" s="1"/>
  <c r="D67" i="5"/>
  <c r="I68" i="2" s="1"/>
  <c r="K67" i="5"/>
  <c r="I964" i="2" s="1"/>
  <c r="F67" i="5"/>
  <c r="I324" i="2" s="1"/>
  <c r="G64" i="5"/>
  <c r="I449" i="2" s="1"/>
  <c r="B65" i="5"/>
  <c r="K64" i="5"/>
  <c r="I961" i="2" s="1"/>
  <c r="E64" i="5"/>
  <c r="I193" i="2" s="1"/>
  <c r="I64" i="5"/>
  <c r="I705" i="2" s="1"/>
  <c r="F64" i="5"/>
  <c r="I321" i="2" s="1"/>
  <c r="D64" i="5"/>
  <c r="I65" i="2" s="1"/>
  <c r="H64" i="5"/>
  <c r="I577" i="2" s="1"/>
  <c r="J64" i="5"/>
  <c r="I833" i="2" s="1"/>
  <c r="P68" i="5" l="1"/>
  <c r="I1605" i="2" s="1"/>
  <c r="N68" i="5"/>
  <c r="M68" i="5"/>
  <c r="I1221" i="2" s="1"/>
  <c r="L68" i="5"/>
  <c r="I1093" i="2" s="1"/>
  <c r="O68" i="5"/>
  <c r="P71" i="5"/>
  <c r="I1608" i="2" s="1"/>
  <c r="O71" i="5"/>
  <c r="M71" i="5"/>
  <c r="I1224" i="2" s="1"/>
  <c r="L71" i="5"/>
  <c r="I1096" i="2" s="1"/>
  <c r="N71" i="5"/>
  <c r="P65" i="5"/>
  <c r="I1602" i="2" s="1"/>
  <c r="N65" i="5"/>
  <c r="M65" i="5"/>
  <c r="I1218" i="2" s="1"/>
  <c r="L65" i="5"/>
  <c r="I1090" i="2" s="1"/>
  <c r="O65" i="5"/>
  <c r="P74" i="5"/>
  <c r="I1611" i="2" s="1"/>
  <c r="L74" i="5"/>
  <c r="I1099" i="2" s="1"/>
  <c r="N74" i="5"/>
  <c r="M74" i="5"/>
  <c r="I1227" i="2" s="1"/>
  <c r="O74" i="5"/>
  <c r="K71" i="5"/>
  <c r="I968" i="2" s="1"/>
  <c r="H71" i="5"/>
  <c r="I584" i="2" s="1"/>
  <c r="G71" i="5"/>
  <c r="I456" i="2" s="1"/>
  <c r="D71" i="5"/>
  <c r="I72" i="2" s="1"/>
  <c r="E71" i="5"/>
  <c r="I200" i="2" s="1"/>
  <c r="F71" i="5"/>
  <c r="I328" i="2" s="1"/>
  <c r="B72" i="5"/>
  <c r="I71" i="5"/>
  <c r="I712" i="2" s="1"/>
  <c r="J71" i="5"/>
  <c r="I840" i="2" s="1"/>
  <c r="B69" i="5"/>
  <c r="F68" i="5"/>
  <c r="I325" i="2" s="1"/>
  <c r="E68" i="5"/>
  <c r="I197" i="2" s="1"/>
  <c r="D68" i="5"/>
  <c r="I69" i="2" s="1"/>
  <c r="H68" i="5"/>
  <c r="I581" i="2" s="1"/>
  <c r="G68" i="5"/>
  <c r="I453" i="2" s="1"/>
  <c r="K68" i="5"/>
  <c r="I965" i="2" s="1"/>
  <c r="I68" i="5"/>
  <c r="I709" i="2" s="1"/>
  <c r="J68" i="5"/>
  <c r="I837" i="2" s="1"/>
  <c r="G65" i="5"/>
  <c r="I450" i="2" s="1"/>
  <c r="D65" i="5"/>
  <c r="I66" i="2" s="1"/>
  <c r="E65" i="5"/>
  <c r="I194" i="2" s="1"/>
  <c r="I65" i="5"/>
  <c r="I706" i="2" s="1"/>
  <c r="J65" i="5"/>
  <c r="I834" i="2" s="1"/>
  <c r="F65" i="5"/>
  <c r="I322" i="2" s="1"/>
  <c r="K65" i="5"/>
  <c r="I962" i="2" s="1"/>
  <c r="H65" i="5"/>
  <c r="I578" i="2" s="1"/>
  <c r="B75" i="5"/>
  <c r="E74" i="5"/>
  <c r="I203" i="2" s="1"/>
  <c r="B78" i="5"/>
  <c r="F74" i="5"/>
  <c r="I331" i="2" s="1"/>
  <c r="D74" i="5"/>
  <c r="I75" i="2" s="1"/>
  <c r="I74" i="5"/>
  <c r="I715" i="2" s="1"/>
  <c r="J74" i="5"/>
  <c r="I843" i="2" s="1"/>
  <c r="H74" i="5"/>
  <c r="I587" i="2" s="1"/>
  <c r="G74" i="5"/>
  <c r="I459" i="2" s="1"/>
  <c r="K74" i="5"/>
  <c r="I971" i="2" s="1"/>
  <c r="P75" i="5" l="1"/>
  <c r="I1612" i="2" s="1"/>
  <c r="N75" i="5"/>
  <c r="M75" i="5"/>
  <c r="I1228" i="2" s="1"/>
  <c r="O75" i="5"/>
  <c r="L75" i="5"/>
  <c r="I1100" i="2" s="1"/>
  <c r="P72" i="5"/>
  <c r="I1609" i="2" s="1"/>
  <c r="N72" i="5"/>
  <c r="L72" i="5"/>
  <c r="I1097" i="2" s="1"/>
  <c r="M72" i="5"/>
  <c r="I1225" i="2" s="1"/>
  <c r="O72" i="5"/>
  <c r="P69" i="5"/>
  <c r="I1606" i="2" s="1"/>
  <c r="N69" i="5"/>
  <c r="M69" i="5"/>
  <c r="I1222" i="2" s="1"/>
  <c r="O69" i="5"/>
  <c r="L69" i="5"/>
  <c r="I1094" i="2" s="1"/>
  <c r="P78" i="5"/>
  <c r="I1615" i="2" s="1"/>
  <c r="L78" i="5"/>
  <c r="I1103" i="2" s="1"/>
  <c r="N78" i="5"/>
  <c r="M78" i="5"/>
  <c r="I1231" i="2" s="1"/>
  <c r="O78" i="5"/>
  <c r="E75" i="5"/>
  <c r="I204" i="2" s="1"/>
  <c r="H75" i="5"/>
  <c r="I588" i="2" s="1"/>
  <c r="D75" i="5"/>
  <c r="I76" i="2" s="1"/>
  <c r="J75" i="5"/>
  <c r="I844" i="2" s="1"/>
  <c r="B76" i="5"/>
  <c r="F75" i="5"/>
  <c r="I332" i="2" s="1"/>
  <c r="I75" i="5"/>
  <c r="I716" i="2" s="1"/>
  <c r="G75" i="5"/>
  <c r="I460" i="2" s="1"/>
  <c r="K75" i="5"/>
  <c r="I972" i="2" s="1"/>
  <c r="B73" i="5"/>
  <c r="G72" i="5"/>
  <c r="I457" i="2" s="1"/>
  <c r="D72" i="5"/>
  <c r="I73" i="2" s="1"/>
  <c r="K72" i="5"/>
  <c r="I969" i="2" s="1"/>
  <c r="F72" i="5"/>
  <c r="I329" i="2" s="1"/>
  <c r="I72" i="5"/>
  <c r="I713" i="2" s="1"/>
  <c r="E72" i="5"/>
  <c r="I201" i="2" s="1"/>
  <c r="H72" i="5"/>
  <c r="I585" i="2" s="1"/>
  <c r="J72" i="5"/>
  <c r="I841" i="2" s="1"/>
  <c r="G69" i="5"/>
  <c r="I454" i="2" s="1"/>
  <c r="D69" i="5"/>
  <c r="I70" i="2" s="1"/>
  <c r="F69" i="5"/>
  <c r="I326" i="2" s="1"/>
  <c r="E69" i="5"/>
  <c r="I198" i="2" s="1"/>
  <c r="J69" i="5"/>
  <c r="I838" i="2" s="1"/>
  <c r="K69" i="5"/>
  <c r="I966" i="2" s="1"/>
  <c r="I69" i="5"/>
  <c r="I710" i="2" s="1"/>
  <c r="H69" i="5"/>
  <c r="I582" i="2" s="1"/>
  <c r="B82" i="5"/>
  <c r="H78" i="5"/>
  <c r="I591" i="2" s="1"/>
  <c r="F78" i="5"/>
  <c r="I335" i="2" s="1"/>
  <c r="D78" i="5"/>
  <c r="I79" i="2" s="1"/>
  <c r="E78" i="5"/>
  <c r="I207" i="2" s="1"/>
  <c r="B79" i="5"/>
  <c r="J78" i="5"/>
  <c r="I847" i="2" s="1"/>
  <c r="I78" i="5"/>
  <c r="I719" i="2" s="1"/>
  <c r="G78" i="5"/>
  <c r="I463" i="2" s="1"/>
  <c r="K78" i="5"/>
  <c r="I975" i="2" s="1"/>
  <c r="P79" i="5" l="1"/>
  <c r="I1616" i="2" s="1"/>
  <c r="N79" i="5"/>
  <c r="M79" i="5"/>
  <c r="I1232" i="2" s="1"/>
  <c r="L79" i="5"/>
  <c r="I1104" i="2" s="1"/>
  <c r="O79" i="5"/>
  <c r="P82" i="5"/>
  <c r="I1619" i="2" s="1"/>
  <c r="L82" i="5"/>
  <c r="I1107" i="2" s="1"/>
  <c r="N82" i="5"/>
  <c r="M82" i="5"/>
  <c r="I1235" i="2" s="1"/>
  <c r="O82" i="5"/>
  <c r="P73" i="5"/>
  <c r="I1610" i="2" s="1"/>
  <c r="N73" i="5"/>
  <c r="M73" i="5"/>
  <c r="I1226" i="2" s="1"/>
  <c r="O73" i="5"/>
  <c r="L73" i="5"/>
  <c r="I1098" i="2" s="1"/>
  <c r="P76" i="5"/>
  <c r="I1613" i="2" s="1"/>
  <c r="N76" i="5"/>
  <c r="L76" i="5"/>
  <c r="I1101" i="2" s="1"/>
  <c r="M76" i="5"/>
  <c r="I1229" i="2" s="1"/>
  <c r="O76" i="5"/>
  <c r="B80" i="5"/>
  <c r="D79" i="5"/>
  <c r="I80" i="2" s="1"/>
  <c r="H79" i="5"/>
  <c r="I592" i="2" s="1"/>
  <c r="K79" i="5"/>
  <c r="I976" i="2" s="1"/>
  <c r="J79" i="5"/>
  <c r="I848" i="2" s="1"/>
  <c r="E79" i="5"/>
  <c r="I208" i="2" s="1"/>
  <c r="I79" i="5"/>
  <c r="I720" i="2" s="1"/>
  <c r="G79" i="5"/>
  <c r="I464" i="2" s="1"/>
  <c r="F79" i="5"/>
  <c r="I336" i="2" s="1"/>
  <c r="H73" i="5"/>
  <c r="I586" i="2" s="1"/>
  <c r="J73" i="5"/>
  <c r="I842" i="2" s="1"/>
  <c r="E73" i="5"/>
  <c r="I202" i="2" s="1"/>
  <c r="F73" i="5"/>
  <c r="I330" i="2" s="1"/>
  <c r="G73" i="5"/>
  <c r="I458" i="2" s="1"/>
  <c r="I73" i="5"/>
  <c r="I714" i="2" s="1"/>
  <c r="K73" i="5"/>
  <c r="I970" i="2" s="1"/>
  <c r="D73" i="5"/>
  <c r="I74" i="2" s="1"/>
  <c r="B86" i="5"/>
  <c r="G82" i="5"/>
  <c r="I467" i="2" s="1"/>
  <c r="D82" i="5"/>
  <c r="I83" i="2" s="1"/>
  <c r="B83" i="5"/>
  <c r="H82" i="5"/>
  <c r="I595" i="2" s="1"/>
  <c r="E82" i="5"/>
  <c r="I211" i="2" s="1"/>
  <c r="J82" i="5"/>
  <c r="I851" i="2" s="1"/>
  <c r="F82" i="5"/>
  <c r="I339" i="2" s="1"/>
  <c r="I82" i="5"/>
  <c r="I723" i="2" s="1"/>
  <c r="K82" i="5"/>
  <c r="I979" i="2" s="1"/>
  <c r="J76" i="5"/>
  <c r="I845" i="2" s="1"/>
  <c r="H76" i="5"/>
  <c r="I589" i="2" s="1"/>
  <c r="I76" i="5"/>
  <c r="I717" i="2" s="1"/>
  <c r="G76" i="5"/>
  <c r="I461" i="2" s="1"/>
  <c r="E76" i="5"/>
  <c r="I205" i="2" s="1"/>
  <c r="K76" i="5"/>
  <c r="I973" i="2" s="1"/>
  <c r="D76" i="5"/>
  <c r="I77" i="2" s="1"/>
  <c r="B77" i="5"/>
  <c r="F76" i="5"/>
  <c r="I333" i="2" s="1"/>
  <c r="P86" i="5" l="1"/>
  <c r="I1623" i="2" s="1"/>
  <c r="L86" i="5"/>
  <c r="I1111" i="2" s="1"/>
  <c r="N86" i="5"/>
  <c r="M86" i="5"/>
  <c r="I1239" i="2" s="1"/>
  <c r="O86" i="5"/>
  <c r="P77" i="5"/>
  <c r="I1614" i="2" s="1"/>
  <c r="N77" i="5"/>
  <c r="M77" i="5"/>
  <c r="I1230" i="2" s="1"/>
  <c r="O77" i="5"/>
  <c r="L77" i="5"/>
  <c r="I1102" i="2" s="1"/>
  <c r="P83" i="5"/>
  <c r="I1620" i="2" s="1"/>
  <c r="N83" i="5"/>
  <c r="M83" i="5"/>
  <c r="I1236" i="2" s="1"/>
  <c r="O83" i="5"/>
  <c r="L83" i="5"/>
  <c r="I1108" i="2" s="1"/>
  <c r="P80" i="5"/>
  <c r="I1617" i="2" s="1"/>
  <c r="N80" i="5"/>
  <c r="L80" i="5"/>
  <c r="I1105" i="2" s="1"/>
  <c r="M80" i="5"/>
  <c r="I1233" i="2" s="1"/>
  <c r="O80" i="5"/>
  <c r="H77" i="5"/>
  <c r="I590" i="2" s="1"/>
  <c r="K77" i="5"/>
  <c r="I974" i="2" s="1"/>
  <c r="E77" i="5"/>
  <c r="I206" i="2" s="1"/>
  <c r="F77" i="5"/>
  <c r="I334" i="2" s="1"/>
  <c r="I77" i="5"/>
  <c r="I718" i="2" s="1"/>
  <c r="D77" i="5"/>
  <c r="I78" i="2" s="1"/>
  <c r="J77" i="5"/>
  <c r="I846" i="2" s="1"/>
  <c r="G77" i="5"/>
  <c r="I462" i="2" s="1"/>
  <c r="B87" i="5"/>
  <c r="G86" i="5"/>
  <c r="I471" i="2" s="1"/>
  <c r="D86" i="5"/>
  <c r="I87" i="2" s="1"/>
  <c r="B90" i="5"/>
  <c r="F86" i="5"/>
  <c r="I343" i="2" s="1"/>
  <c r="E86" i="5"/>
  <c r="I215" i="2" s="1"/>
  <c r="J86" i="5"/>
  <c r="I855" i="2" s="1"/>
  <c r="I86" i="5"/>
  <c r="I727" i="2" s="1"/>
  <c r="K86" i="5"/>
  <c r="I983" i="2" s="1"/>
  <c r="H86" i="5"/>
  <c r="I599" i="2" s="1"/>
  <c r="B84" i="5"/>
  <c r="G83" i="5"/>
  <c r="I468" i="2" s="1"/>
  <c r="D83" i="5"/>
  <c r="I84" i="2" s="1"/>
  <c r="E83" i="5"/>
  <c r="I212" i="2" s="1"/>
  <c r="J83" i="5"/>
  <c r="I852" i="2" s="1"/>
  <c r="H83" i="5"/>
  <c r="I596" i="2" s="1"/>
  <c r="I83" i="5"/>
  <c r="I724" i="2" s="1"/>
  <c r="K83" i="5"/>
  <c r="I980" i="2" s="1"/>
  <c r="F83" i="5"/>
  <c r="I340" i="2" s="1"/>
  <c r="B81" i="5"/>
  <c r="I80" i="5"/>
  <c r="I721" i="2" s="1"/>
  <c r="E80" i="5"/>
  <c r="I209" i="2" s="1"/>
  <c r="F80" i="5"/>
  <c r="I337" i="2" s="1"/>
  <c r="G80" i="5"/>
  <c r="I465" i="2" s="1"/>
  <c r="D80" i="5"/>
  <c r="I81" i="2" s="1"/>
  <c r="H80" i="5"/>
  <c r="I593" i="2" s="1"/>
  <c r="J80" i="5"/>
  <c r="I849" i="2" s="1"/>
  <c r="K80" i="5"/>
  <c r="I977" i="2" s="1"/>
  <c r="P81" i="5" l="1"/>
  <c r="I1618" i="2" s="1"/>
  <c r="N81" i="5"/>
  <c r="M81" i="5"/>
  <c r="I1234" i="2" s="1"/>
  <c r="O81" i="5"/>
  <c r="L81" i="5"/>
  <c r="I1106" i="2" s="1"/>
  <c r="P90" i="5"/>
  <c r="I1627" i="2" s="1"/>
  <c r="L90" i="5"/>
  <c r="I1115" i="2" s="1"/>
  <c r="N90" i="5"/>
  <c r="M90" i="5"/>
  <c r="I1243" i="2" s="1"/>
  <c r="O90" i="5"/>
  <c r="P84" i="5"/>
  <c r="I1621" i="2" s="1"/>
  <c r="N84" i="5"/>
  <c r="L84" i="5"/>
  <c r="I1109" i="2" s="1"/>
  <c r="M84" i="5"/>
  <c r="I1237" i="2" s="1"/>
  <c r="O84" i="5"/>
  <c r="P87" i="5"/>
  <c r="I1624" i="2" s="1"/>
  <c r="N87" i="5"/>
  <c r="M87" i="5"/>
  <c r="I1240" i="2" s="1"/>
  <c r="L87" i="5"/>
  <c r="I1112" i="2" s="1"/>
  <c r="O87" i="5"/>
  <c r="F84" i="5"/>
  <c r="I341" i="2" s="1"/>
  <c r="E84" i="5"/>
  <c r="I213" i="2" s="1"/>
  <c r="B85" i="5"/>
  <c r="G84" i="5"/>
  <c r="I469" i="2" s="1"/>
  <c r="D84" i="5"/>
  <c r="I85" i="2" s="1"/>
  <c r="K84" i="5"/>
  <c r="I981" i="2" s="1"/>
  <c r="H84" i="5"/>
  <c r="I597" i="2" s="1"/>
  <c r="I84" i="5"/>
  <c r="I725" i="2" s="1"/>
  <c r="J84" i="5"/>
  <c r="I853" i="2" s="1"/>
  <c r="E81" i="5"/>
  <c r="I210" i="2" s="1"/>
  <c r="G81" i="5"/>
  <c r="I466" i="2" s="1"/>
  <c r="D81" i="5"/>
  <c r="I82" i="2" s="1"/>
  <c r="F81" i="5"/>
  <c r="I338" i="2" s="1"/>
  <c r="I81" i="5"/>
  <c r="I722" i="2" s="1"/>
  <c r="J81" i="5"/>
  <c r="I850" i="2" s="1"/>
  <c r="H81" i="5"/>
  <c r="I594" i="2" s="1"/>
  <c r="K81" i="5"/>
  <c r="I978" i="2" s="1"/>
  <c r="B94" i="5"/>
  <c r="E90" i="5"/>
  <c r="I219" i="2" s="1"/>
  <c r="B91" i="5"/>
  <c r="H90" i="5"/>
  <c r="I603" i="2" s="1"/>
  <c r="F90" i="5"/>
  <c r="I347" i="2" s="1"/>
  <c r="I90" i="5"/>
  <c r="I731" i="2" s="1"/>
  <c r="D90" i="5"/>
  <c r="I91" i="2" s="1"/>
  <c r="J90" i="5"/>
  <c r="I859" i="2" s="1"/>
  <c r="K90" i="5"/>
  <c r="I987" i="2" s="1"/>
  <c r="G90" i="5"/>
  <c r="I475" i="2" s="1"/>
  <c r="D87" i="5"/>
  <c r="I88" i="2" s="1"/>
  <c r="I87" i="5"/>
  <c r="I728" i="2" s="1"/>
  <c r="K87" i="5"/>
  <c r="I984" i="2" s="1"/>
  <c r="E87" i="5"/>
  <c r="I216" i="2" s="1"/>
  <c r="H87" i="5"/>
  <c r="I600" i="2" s="1"/>
  <c r="J87" i="5"/>
  <c r="I856" i="2" s="1"/>
  <c r="G87" i="5"/>
  <c r="I472" i="2" s="1"/>
  <c r="F87" i="5"/>
  <c r="I344" i="2" s="1"/>
  <c r="B88" i="5"/>
  <c r="P85" i="5" l="1"/>
  <c r="I1622" i="2" s="1"/>
  <c r="N85" i="5"/>
  <c r="M85" i="5"/>
  <c r="I1238" i="2" s="1"/>
  <c r="O85" i="5"/>
  <c r="L85" i="5"/>
  <c r="I1110" i="2" s="1"/>
  <c r="P94" i="5"/>
  <c r="I1631" i="2" s="1"/>
  <c r="L94" i="5"/>
  <c r="I1119" i="2" s="1"/>
  <c r="N94" i="5"/>
  <c r="M94" i="5"/>
  <c r="I1247" i="2" s="1"/>
  <c r="O94" i="5"/>
  <c r="P88" i="5"/>
  <c r="I1625" i="2" s="1"/>
  <c r="N88" i="5"/>
  <c r="L88" i="5"/>
  <c r="I1113" i="2" s="1"/>
  <c r="M88" i="5"/>
  <c r="I1241" i="2" s="1"/>
  <c r="O88" i="5"/>
  <c r="P91" i="5"/>
  <c r="I1628" i="2" s="1"/>
  <c r="N91" i="5"/>
  <c r="M91" i="5"/>
  <c r="I1244" i="2" s="1"/>
  <c r="O91" i="5"/>
  <c r="L91" i="5"/>
  <c r="I1116" i="2" s="1"/>
  <c r="I85" i="5"/>
  <c r="I726" i="2" s="1"/>
  <c r="E85" i="5"/>
  <c r="I214" i="2" s="1"/>
  <c r="H85" i="5"/>
  <c r="I598" i="2" s="1"/>
  <c r="D85" i="5"/>
  <c r="I86" i="2" s="1"/>
  <c r="K85" i="5"/>
  <c r="I982" i="2" s="1"/>
  <c r="G85" i="5"/>
  <c r="I470" i="2" s="1"/>
  <c r="J85" i="5"/>
  <c r="I854" i="2" s="1"/>
  <c r="F85" i="5"/>
  <c r="I342" i="2" s="1"/>
  <c r="B89" i="5"/>
  <c r="G88" i="5"/>
  <c r="I473" i="2" s="1"/>
  <c r="H88" i="5"/>
  <c r="I601" i="2" s="1"/>
  <c r="J88" i="5"/>
  <c r="I857" i="2" s="1"/>
  <c r="D88" i="5"/>
  <c r="I89" i="2" s="1"/>
  <c r="K88" i="5"/>
  <c r="I985" i="2" s="1"/>
  <c r="F88" i="5"/>
  <c r="I345" i="2" s="1"/>
  <c r="I88" i="5"/>
  <c r="I729" i="2" s="1"/>
  <c r="E88" i="5"/>
  <c r="I217" i="2" s="1"/>
  <c r="K91" i="5"/>
  <c r="I988" i="2" s="1"/>
  <c r="G91" i="5"/>
  <c r="I476" i="2" s="1"/>
  <c r="H91" i="5"/>
  <c r="I604" i="2" s="1"/>
  <c r="B92" i="5"/>
  <c r="J91" i="5"/>
  <c r="I860" i="2" s="1"/>
  <c r="E91" i="5"/>
  <c r="I220" i="2" s="1"/>
  <c r="I91" i="5"/>
  <c r="I732" i="2" s="1"/>
  <c r="F91" i="5"/>
  <c r="I348" i="2" s="1"/>
  <c r="D91" i="5"/>
  <c r="I92" i="2" s="1"/>
  <c r="B95" i="5"/>
  <c r="E94" i="5"/>
  <c r="I223" i="2" s="1"/>
  <c r="F94" i="5"/>
  <c r="I351" i="2" s="1"/>
  <c r="D94" i="5"/>
  <c r="I95" i="2" s="1"/>
  <c r="B98" i="5"/>
  <c r="I94" i="5"/>
  <c r="I735" i="2" s="1"/>
  <c r="J94" i="5"/>
  <c r="I863" i="2" s="1"/>
  <c r="K94" i="5"/>
  <c r="I991" i="2" s="1"/>
  <c r="H94" i="5"/>
  <c r="I607" i="2" s="1"/>
  <c r="G94" i="5"/>
  <c r="I479" i="2" s="1"/>
  <c r="P98" i="5" l="1"/>
  <c r="I1635" i="2" s="1"/>
  <c r="L98" i="5"/>
  <c r="I1123" i="2" s="1"/>
  <c r="N98" i="5"/>
  <c r="M98" i="5"/>
  <c r="I1251" i="2" s="1"/>
  <c r="O98" i="5"/>
  <c r="P95" i="5"/>
  <c r="I1632" i="2" s="1"/>
  <c r="N95" i="5"/>
  <c r="M95" i="5"/>
  <c r="I1248" i="2" s="1"/>
  <c r="L95" i="5"/>
  <c r="I1120" i="2" s="1"/>
  <c r="O95" i="5"/>
  <c r="P92" i="5"/>
  <c r="I1629" i="2" s="1"/>
  <c r="N92" i="5"/>
  <c r="L92" i="5"/>
  <c r="I1117" i="2" s="1"/>
  <c r="M92" i="5"/>
  <c r="I1245" i="2" s="1"/>
  <c r="O92" i="5"/>
  <c r="P89" i="5"/>
  <c r="I1626" i="2" s="1"/>
  <c r="N89" i="5"/>
  <c r="M89" i="5"/>
  <c r="I1242" i="2" s="1"/>
  <c r="O89" i="5"/>
  <c r="L89" i="5"/>
  <c r="I1114" i="2" s="1"/>
  <c r="B99" i="5"/>
  <c r="B102" i="5"/>
  <c r="F98" i="5"/>
  <c r="I355" i="2" s="1"/>
  <c r="E98" i="5"/>
  <c r="I227" i="2" s="1"/>
  <c r="G98" i="5"/>
  <c r="I483" i="2" s="1"/>
  <c r="H98" i="5"/>
  <c r="I611" i="2" s="1"/>
  <c r="J98" i="5"/>
  <c r="I867" i="2" s="1"/>
  <c r="K98" i="5"/>
  <c r="I995" i="2" s="1"/>
  <c r="D98" i="5"/>
  <c r="I99" i="2" s="1"/>
  <c r="I98" i="5"/>
  <c r="I739" i="2" s="1"/>
  <c r="B96" i="5"/>
  <c r="D95" i="5"/>
  <c r="I96" i="2" s="1"/>
  <c r="E95" i="5"/>
  <c r="I224" i="2" s="1"/>
  <c r="I95" i="5"/>
  <c r="I736" i="2" s="1"/>
  <c r="K95" i="5"/>
  <c r="I992" i="2" s="1"/>
  <c r="H95" i="5"/>
  <c r="I608" i="2" s="1"/>
  <c r="J95" i="5"/>
  <c r="I864" i="2" s="1"/>
  <c r="F95" i="5"/>
  <c r="I352" i="2" s="1"/>
  <c r="G95" i="5"/>
  <c r="I480" i="2" s="1"/>
  <c r="K92" i="5"/>
  <c r="I989" i="2" s="1"/>
  <c r="F92" i="5"/>
  <c r="I349" i="2" s="1"/>
  <c r="B93" i="5"/>
  <c r="D92" i="5"/>
  <c r="I93" i="2" s="1"/>
  <c r="J92" i="5"/>
  <c r="I861" i="2" s="1"/>
  <c r="H92" i="5"/>
  <c r="I605" i="2" s="1"/>
  <c r="E92" i="5"/>
  <c r="I221" i="2" s="1"/>
  <c r="I92" i="5"/>
  <c r="I733" i="2" s="1"/>
  <c r="G92" i="5"/>
  <c r="I477" i="2" s="1"/>
  <c r="D89" i="5"/>
  <c r="I90" i="2" s="1"/>
  <c r="E89" i="5"/>
  <c r="I218" i="2" s="1"/>
  <c r="H89" i="5"/>
  <c r="I602" i="2" s="1"/>
  <c r="F89" i="5"/>
  <c r="I346" i="2" s="1"/>
  <c r="J89" i="5"/>
  <c r="I858" i="2" s="1"/>
  <c r="G89" i="5"/>
  <c r="I474" i="2" s="1"/>
  <c r="I89" i="5"/>
  <c r="I730" i="2" s="1"/>
  <c r="K89" i="5"/>
  <c r="I986" i="2" s="1"/>
  <c r="P96" i="5" l="1"/>
  <c r="I1633" i="2" s="1"/>
  <c r="N96" i="5"/>
  <c r="L96" i="5"/>
  <c r="I1121" i="2" s="1"/>
  <c r="M96" i="5"/>
  <c r="I1249" i="2" s="1"/>
  <c r="O96" i="5"/>
  <c r="P93" i="5"/>
  <c r="I1630" i="2" s="1"/>
  <c r="N93" i="5"/>
  <c r="M93" i="5"/>
  <c r="I1246" i="2" s="1"/>
  <c r="O93" i="5"/>
  <c r="L93" i="5"/>
  <c r="I1118" i="2" s="1"/>
  <c r="P102" i="5"/>
  <c r="I1639" i="2" s="1"/>
  <c r="L102" i="5"/>
  <c r="I1127" i="2" s="1"/>
  <c r="N102" i="5"/>
  <c r="M102" i="5"/>
  <c r="I1255" i="2" s="1"/>
  <c r="O102" i="5"/>
  <c r="P99" i="5"/>
  <c r="I1636" i="2" s="1"/>
  <c r="N99" i="5"/>
  <c r="M99" i="5"/>
  <c r="I1252" i="2" s="1"/>
  <c r="O99" i="5"/>
  <c r="L99" i="5"/>
  <c r="I1124" i="2" s="1"/>
  <c r="J96" i="5"/>
  <c r="I865" i="2" s="1"/>
  <c r="F96" i="5"/>
  <c r="I353" i="2" s="1"/>
  <c r="B97" i="5"/>
  <c r="I96" i="5"/>
  <c r="I737" i="2" s="1"/>
  <c r="G96" i="5"/>
  <c r="I481" i="2" s="1"/>
  <c r="D96" i="5"/>
  <c r="I97" i="2" s="1"/>
  <c r="E96" i="5"/>
  <c r="I225" i="2" s="1"/>
  <c r="H96" i="5"/>
  <c r="I609" i="2" s="1"/>
  <c r="K96" i="5"/>
  <c r="I993" i="2" s="1"/>
  <c r="I93" i="5"/>
  <c r="I734" i="2" s="1"/>
  <c r="H93" i="5"/>
  <c r="I606" i="2" s="1"/>
  <c r="G93" i="5"/>
  <c r="I478" i="2" s="1"/>
  <c r="J93" i="5"/>
  <c r="I862" i="2" s="1"/>
  <c r="F93" i="5"/>
  <c r="I350" i="2" s="1"/>
  <c r="K93" i="5"/>
  <c r="I990" i="2" s="1"/>
  <c r="D93" i="5"/>
  <c r="I94" i="2" s="1"/>
  <c r="E93" i="5"/>
  <c r="I222" i="2" s="1"/>
  <c r="B106" i="5"/>
  <c r="B103" i="5"/>
  <c r="K102" i="5"/>
  <c r="I999" i="2" s="1"/>
  <c r="G102" i="5"/>
  <c r="I487" i="2" s="1"/>
  <c r="J102" i="5"/>
  <c r="I871" i="2" s="1"/>
  <c r="F102" i="5"/>
  <c r="I359" i="2" s="1"/>
  <c r="H102" i="5"/>
  <c r="I615" i="2" s="1"/>
  <c r="D102" i="5"/>
  <c r="I103" i="2" s="1"/>
  <c r="E102" i="5"/>
  <c r="I231" i="2" s="1"/>
  <c r="I102" i="5"/>
  <c r="I743" i="2" s="1"/>
  <c r="B100" i="5"/>
  <c r="G99" i="5"/>
  <c r="I484" i="2" s="1"/>
  <c r="E99" i="5"/>
  <c r="I228" i="2" s="1"/>
  <c r="D99" i="5"/>
  <c r="I100" i="2" s="1"/>
  <c r="J99" i="5"/>
  <c r="I868" i="2" s="1"/>
  <c r="K99" i="5"/>
  <c r="I996" i="2" s="1"/>
  <c r="H99" i="5"/>
  <c r="I612" i="2" s="1"/>
  <c r="I99" i="5"/>
  <c r="I740" i="2" s="1"/>
  <c r="F99" i="5"/>
  <c r="I356" i="2" s="1"/>
  <c r="P103" i="5" l="1"/>
  <c r="I1640" i="2" s="1"/>
  <c r="N103" i="5"/>
  <c r="M103" i="5"/>
  <c r="I1256" i="2" s="1"/>
  <c r="L103" i="5"/>
  <c r="I1128" i="2" s="1"/>
  <c r="O103" i="5"/>
  <c r="P100" i="5"/>
  <c r="I1637" i="2" s="1"/>
  <c r="N100" i="5"/>
  <c r="L100" i="5"/>
  <c r="I1125" i="2" s="1"/>
  <c r="M100" i="5"/>
  <c r="I1253" i="2" s="1"/>
  <c r="O100" i="5"/>
  <c r="P97" i="5"/>
  <c r="I1634" i="2" s="1"/>
  <c r="N97" i="5"/>
  <c r="M97" i="5"/>
  <c r="I1250" i="2" s="1"/>
  <c r="O97" i="5"/>
  <c r="L97" i="5"/>
  <c r="I1122" i="2" s="1"/>
  <c r="P106" i="5"/>
  <c r="I1643" i="2" s="1"/>
  <c r="L106" i="5"/>
  <c r="I1131" i="2" s="1"/>
  <c r="N106" i="5"/>
  <c r="M106" i="5"/>
  <c r="I1259" i="2" s="1"/>
  <c r="O106" i="5"/>
  <c r="B101" i="5"/>
  <c r="H100" i="5"/>
  <c r="I613" i="2" s="1"/>
  <c r="G100" i="5"/>
  <c r="I485" i="2" s="1"/>
  <c r="J100" i="5"/>
  <c r="I869" i="2" s="1"/>
  <c r="D100" i="5"/>
  <c r="I101" i="2" s="1"/>
  <c r="F100" i="5"/>
  <c r="I357" i="2" s="1"/>
  <c r="I100" i="5"/>
  <c r="I741" i="2" s="1"/>
  <c r="E100" i="5"/>
  <c r="I229" i="2" s="1"/>
  <c r="K100" i="5"/>
  <c r="I997" i="2" s="1"/>
  <c r="G97" i="5"/>
  <c r="I482" i="2" s="1"/>
  <c r="E97" i="5"/>
  <c r="I226" i="2" s="1"/>
  <c r="D97" i="5"/>
  <c r="I98" i="2" s="1"/>
  <c r="J97" i="5"/>
  <c r="I866" i="2" s="1"/>
  <c r="I97" i="5"/>
  <c r="I738" i="2" s="1"/>
  <c r="F97" i="5"/>
  <c r="I354" i="2" s="1"/>
  <c r="K97" i="5"/>
  <c r="I994" i="2" s="1"/>
  <c r="H97" i="5"/>
  <c r="I610" i="2" s="1"/>
  <c r="B107" i="5"/>
  <c r="B110" i="5"/>
  <c r="H106" i="5"/>
  <c r="I619" i="2" s="1"/>
  <c r="D106" i="5"/>
  <c r="I107" i="2" s="1"/>
  <c r="G106" i="5"/>
  <c r="I491" i="2" s="1"/>
  <c r="K106" i="5"/>
  <c r="I1003" i="2" s="1"/>
  <c r="F106" i="5"/>
  <c r="I363" i="2" s="1"/>
  <c r="I106" i="5"/>
  <c r="I747" i="2" s="1"/>
  <c r="E106" i="5"/>
  <c r="I235" i="2" s="1"/>
  <c r="J106" i="5"/>
  <c r="I875" i="2" s="1"/>
  <c r="B104" i="5"/>
  <c r="D103" i="5"/>
  <c r="I104" i="2" s="1"/>
  <c r="K103" i="5"/>
  <c r="I1000" i="2" s="1"/>
  <c r="G103" i="5"/>
  <c r="I488" i="2" s="1"/>
  <c r="H103" i="5"/>
  <c r="I616" i="2" s="1"/>
  <c r="I103" i="5"/>
  <c r="I744" i="2" s="1"/>
  <c r="J103" i="5"/>
  <c r="I872" i="2" s="1"/>
  <c r="E103" i="5"/>
  <c r="I232" i="2" s="1"/>
  <c r="F103" i="5"/>
  <c r="I360" i="2" s="1"/>
  <c r="P110" i="5" l="1"/>
  <c r="I1647" i="2" s="1"/>
  <c r="L110" i="5"/>
  <c r="I1135" i="2" s="1"/>
  <c r="N110" i="5"/>
  <c r="M110" i="5"/>
  <c r="I1263" i="2" s="1"/>
  <c r="O110" i="5"/>
  <c r="P104" i="5"/>
  <c r="I1641" i="2" s="1"/>
  <c r="N104" i="5"/>
  <c r="L104" i="5"/>
  <c r="I1129" i="2" s="1"/>
  <c r="M104" i="5"/>
  <c r="I1257" i="2" s="1"/>
  <c r="O104" i="5"/>
  <c r="P107" i="5"/>
  <c r="I1644" i="2" s="1"/>
  <c r="N107" i="5"/>
  <c r="M107" i="5"/>
  <c r="I1260" i="2" s="1"/>
  <c r="O107" i="5"/>
  <c r="L107" i="5"/>
  <c r="I1132" i="2" s="1"/>
  <c r="P101" i="5"/>
  <c r="I1638" i="2" s="1"/>
  <c r="N101" i="5"/>
  <c r="M101" i="5"/>
  <c r="I1254" i="2" s="1"/>
  <c r="O101" i="5"/>
  <c r="L101" i="5"/>
  <c r="I1126" i="2" s="1"/>
  <c r="B105" i="5"/>
  <c r="D104" i="5"/>
  <c r="I105" i="2" s="1"/>
  <c r="G104" i="5"/>
  <c r="I489" i="2" s="1"/>
  <c r="H104" i="5"/>
  <c r="I617" i="2" s="1"/>
  <c r="K104" i="5"/>
  <c r="I1001" i="2" s="1"/>
  <c r="E104" i="5"/>
  <c r="I233" i="2" s="1"/>
  <c r="F104" i="5"/>
  <c r="I361" i="2" s="1"/>
  <c r="I104" i="5"/>
  <c r="I745" i="2" s="1"/>
  <c r="J104" i="5"/>
  <c r="I873" i="2" s="1"/>
  <c r="B114" i="5"/>
  <c r="B111" i="5"/>
  <c r="H110" i="5"/>
  <c r="I623" i="2" s="1"/>
  <c r="D110" i="5"/>
  <c r="I111" i="2" s="1"/>
  <c r="G110" i="5"/>
  <c r="I495" i="2" s="1"/>
  <c r="K110" i="5"/>
  <c r="I1007" i="2" s="1"/>
  <c r="F110" i="5"/>
  <c r="I367" i="2" s="1"/>
  <c r="I110" i="5"/>
  <c r="I751" i="2" s="1"/>
  <c r="J110" i="5"/>
  <c r="I879" i="2" s="1"/>
  <c r="E110" i="5"/>
  <c r="I239" i="2" s="1"/>
  <c r="B108" i="5"/>
  <c r="H107" i="5"/>
  <c r="I620" i="2" s="1"/>
  <c r="D107" i="5"/>
  <c r="I108" i="2" s="1"/>
  <c r="J107" i="5"/>
  <c r="I876" i="2" s="1"/>
  <c r="E107" i="5"/>
  <c r="I236" i="2" s="1"/>
  <c r="I107" i="5"/>
  <c r="I748" i="2" s="1"/>
  <c r="K107" i="5"/>
  <c r="I1004" i="2" s="1"/>
  <c r="F107" i="5"/>
  <c r="I364" i="2" s="1"/>
  <c r="G107" i="5"/>
  <c r="I492" i="2" s="1"/>
  <c r="E101" i="5"/>
  <c r="I230" i="2" s="1"/>
  <c r="G101" i="5"/>
  <c r="I486" i="2" s="1"/>
  <c r="D101" i="5"/>
  <c r="I102" i="2" s="1"/>
  <c r="F101" i="5"/>
  <c r="I358" i="2" s="1"/>
  <c r="H101" i="5"/>
  <c r="I614" i="2" s="1"/>
  <c r="I101" i="5"/>
  <c r="I742" i="2" s="1"/>
  <c r="J101" i="5"/>
  <c r="I870" i="2" s="1"/>
  <c r="K101" i="5"/>
  <c r="I998" i="2" s="1"/>
  <c r="P108" i="5" l="1"/>
  <c r="I1645" i="2" s="1"/>
  <c r="N108" i="5"/>
  <c r="L108" i="5"/>
  <c r="I1133" i="2" s="1"/>
  <c r="M108" i="5"/>
  <c r="I1261" i="2" s="1"/>
  <c r="O108" i="5"/>
  <c r="P114" i="5"/>
  <c r="I1651" i="2" s="1"/>
  <c r="L114" i="5"/>
  <c r="I1139" i="2" s="1"/>
  <c r="N114" i="5"/>
  <c r="M114" i="5"/>
  <c r="I1267" i="2" s="1"/>
  <c r="O114" i="5"/>
  <c r="P111" i="5"/>
  <c r="I1648" i="2" s="1"/>
  <c r="N111" i="5"/>
  <c r="M111" i="5"/>
  <c r="I1264" i="2" s="1"/>
  <c r="L111" i="5"/>
  <c r="I1136" i="2" s="1"/>
  <c r="O111" i="5"/>
  <c r="P105" i="5"/>
  <c r="I1642" i="2" s="1"/>
  <c r="N105" i="5"/>
  <c r="M105" i="5"/>
  <c r="I1258" i="2" s="1"/>
  <c r="O105" i="5"/>
  <c r="L105" i="5"/>
  <c r="I1130" i="2" s="1"/>
  <c r="B112" i="5"/>
  <c r="H111" i="5"/>
  <c r="I624" i="2" s="1"/>
  <c r="D111" i="5"/>
  <c r="I112" i="2" s="1"/>
  <c r="J111" i="5"/>
  <c r="I880" i="2" s="1"/>
  <c r="E111" i="5"/>
  <c r="I240" i="2" s="1"/>
  <c r="I111" i="5"/>
  <c r="I752" i="2" s="1"/>
  <c r="K111" i="5"/>
  <c r="I1008" i="2" s="1"/>
  <c r="F111" i="5"/>
  <c r="I368" i="2" s="1"/>
  <c r="G111" i="5"/>
  <c r="I496" i="2" s="1"/>
  <c r="B109" i="5"/>
  <c r="H108" i="5"/>
  <c r="I621" i="2" s="1"/>
  <c r="D108" i="5"/>
  <c r="I109" i="2" s="1"/>
  <c r="G108" i="5"/>
  <c r="I493" i="2" s="1"/>
  <c r="K108" i="5"/>
  <c r="I1005" i="2" s="1"/>
  <c r="F108" i="5"/>
  <c r="I365" i="2" s="1"/>
  <c r="I108" i="5"/>
  <c r="I749" i="2" s="1"/>
  <c r="J108" i="5"/>
  <c r="I877" i="2" s="1"/>
  <c r="E108" i="5"/>
  <c r="I237" i="2" s="1"/>
  <c r="B118" i="5"/>
  <c r="B115" i="5"/>
  <c r="H114" i="5"/>
  <c r="I627" i="2" s="1"/>
  <c r="D114" i="5"/>
  <c r="I115" i="2" s="1"/>
  <c r="G114" i="5"/>
  <c r="I499" i="2" s="1"/>
  <c r="K114" i="5"/>
  <c r="I1011" i="2" s="1"/>
  <c r="F114" i="5"/>
  <c r="I371" i="2" s="1"/>
  <c r="I114" i="5"/>
  <c r="I755" i="2" s="1"/>
  <c r="E114" i="5"/>
  <c r="I243" i="2" s="1"/>
  <c r="J114" i="5"/>
  <c r="I883" i="2" s="1"/>
  <c r="J105" i="5"/>
  <c r="I874" i="2" s="1"/>
  <c r="D105" i="5"/>
  <c r="I106" i="2" s="1"/>
  <c r="H105" i="5"/>
  <c r="I618" i="2" s="1"/>
  <c r="G105" i="5"/>
  <c r="I490" i="2" s="1"/>
  <c r="K105" i="5"/>
  <c r="I1002" i="2" s="1"/>
  <c r="I105" i="5"/>
  <c r="I746" i="2" s="1"/>
  <c r="E105" i="5"/>
  <c r="I234" i="2" s="1"/>
  <c r="F105" i="5"/>
  <c r="I362" i="2" s="1"/>
  <c r="P118" i="5" l="1"/>
  <c r="I1655" i="2" s="1"/>
  <c r="L118" i="5"/>
  <c r="I1143" i="2" s="1"/>
  <c r="N118" i="5"/>
  <c r="M118" i="5"/>
  <c r="I1271" i="2" s="1"/>
  <c r="O118" i="5"/>
  <c r="P109" i="5"/>
  <c r="I1646" i="2" s="1"/>
  <c r="N109" i="5"/>
  <c r="M109" i="5"/>
  <c r="I1262" i="2" s="1"/>
  <c r="O109" i="5"/>
  <c r="L109" i="5"/>
  <c r="I1134" i="2" s="1"/>
  <c r="P115" i="5"/>
  <c r="I1652" i="2" s="1"/>
  <c r="N115" i="5"/>
  <c r="M115" i="5"/>
  <c r="I1268" i="2" s="1"/>
  <c r="O115" i="5"/>
  <c r="L115" i="5"/>
  <c r="I1140" i="2" s="1"/>
  <c r="P112" i="5"/>
  <c r="I1649" i="2" s="1"/>
  <c r="N112" i="5"/>
  <c r="L112" i="5"/>
  <c r="I1137" i="2" s="1"/>
  <c r="M112" i="5"/>
  <c r="I1265" i="2" s="1"/>
  <c r="O112" i="5"/>
  <c r="B116" i="5"/>
  <c r="H115" i="5"/>
  <c r="I628" i="2" s="1"/>
  <c r="D115" i="5"/>
  <c r="I116" i="2" s="1"/>
  <c r="J115" i="5"/>
  <c r="I884" i="2" s="1"/>
  <c r="E115" i="5"/>
  <c r="I244" i="2" s="1"/>
  <c r="I115" i="5"/>
  <c r="I756" i="2" s="1"/>
  <c r="K115" i="5"/>
  <c r="I1012" i="2" s="1"/>
  <c r="F115" i="5"/>
  <c r="I372" i="2" s="1"/>
  <c r="G115" i="5"/>
  <c r="I500" i="2" s="1"/>
  <c r="B119" i="5"/>
  <c r="B122" i="5"/>
  <c r="H118" i="5"/>
  <c r="I631" i="2" s="1"/>
  <c r="D118" i="5"/>
  <c r="I119" i="2" s="1"/>
  <c r="K118" i="5"/>
  <c r="I1015" i="2" s="1"/>
  <c r="F118" i="5"/>
  <c r="I375" i="2" s="1"/>
  <c r="J118" i="5"/>
  <c r="I887" i="2" s="1"/>
  <c r="E118" i="5"/>
  <c r="I247" i="2" s="1"/>
  <c r="G118" i="5"/>
  <c r="I503" i="2" s="1"/>
  <c r="I118" i="5"/>
  <c r="I759" i="2" s="1"/>
  <c r="H109" i="5"/>
  <c r="I622" i="2" s="1"/>
  <c r="D109" i="5"/>
  <c r="I110" i="2" s="1"/>
  <c r="J109" i="5"/>
  <c r="I878" i="2" s="1"/>
  <c r="E109" i="5"/>
  <c r="I238" i="2" s="1"/>
  <c r="I109" i="5"/>
  <c r="I750" i="2" s="1"/>
  <c r="K109" i="5"/>
  <c r="I1006" i="2" s="1"/>
  <c r="F109" i="5"/>
  <c r="I366" i="2" s="1"/>
  <c r="G109" i="5"/>
  <c r="I494" i="2" s="1"/>
  <c r="B113" i="5"/>
  <c r="H112" i="5"/>
  <c r="I625" i="2" s="1"/>
  <c r="D112" i="5"/>
  <c r="I113" i="2" s="1"/>
  <c r="G112" i="5"/>
  <c r="I497" i="2" s="1"/>
  <c r="K112" i="5"/>
  <c r="I1009" i="2" s="1"/>
  <c r="F112" i="5"/>
  <c r="I369" i="2" s="1"/>
  <c r="I112" i="5"/>
  <c r="I753" i="2" s="1"/>
  <c r="J112" i="5"/>
  <c r="I881" i="2" s="1"/>
  <c r="E112" i="5"/>
  <c r="I241" i="2" s="1"/>
  <c r="P122" i="5" l="1"/>
  <c r="I1659" i="2" s="1"/>
  <c r="L122" i="5"/>
  <c r="I1147" i="2" s="1"/>
  <c r="N122" i="5"/>
  <c r="M122" i="5"/>
  <c r="I1275" i="2" s="1"/>
  <c r="O122" i="5"/>
  <c r="P113" i="5"/>
  <c r="I1650" i="2" s="1"/>
  <c r="N113" i="5"/>
  <c r="M113" i="5"/>
  <c r="I1266" i="2" s="1"/>
  <c r="O113" i="5"/>
  <c r="L113" i="5"/>
  <c r="I1138" i="2" s="1"/>
  <c r="P119" i="5"/>
  <c r="I1656" i="2" s="1"/>
  <c r="N119" i="5"/>
  <c r="M119" i="5"/>
  <c r="I1272" i="2" s="1"/>
  <c r="L119" i="5"/>
  <c r="I1144" i="2" s="1"/>
  <c r="O119" i="5"/>
  <c r="P116" i="5"/>
  <c r="I1653" i="2" s="1"/>
  <c r="N116" i="5"/>
  <c r="L116" i="5"/>
  <c r="I1141" i="2" s="1"/>
  <c r="M116" i="5"/>
  <c r="I1269" i="2" s="1"/>
  <c r="O116" i="5"/>
  <c r="H113" i="5"/>
  <c r="I626" i="2" s="1"/>
  <c r="D113" i="5"/>
  <c r="I114" i="2" s="1"/>
  <c r="J113" i="5"/>
  <c r="I882" i="2" s="1"/>
  <c r="E113" i="5"/>
  <c r="I242" i="2" s="1"/>
  <c r="I113" i="5"/>
  <c r="I754" i="2" s="1"/>
  <c r="K113" i="5"/>
  <c r="I1010" i="2" s="1"/>
  <c r="F113" i="5"/>
  <c r="I370" i="2" s="1"/>
  <c r="G113" i="5"/>
  <c r="I498" i="2" s="1"/>
  <c r="B120" i="5"/>
  <c r="H119" i="5"/>
  <c r="I632" i="2" s="1"/>
  <c r="D119" i="5"/>
  <c r="I120" i="2" s="1"/>
  <c r="I119" i="5"/>
  <c r="I760" i="2" s="1"/>
  <c r="G119" i="5"/>
  <c r="I504" i="2" s="1"/>
  <c r="J119" i="5"/>
  <c r="I888" i="2" s="1"/>
  <c r="E119" i="5"/>
  <c r="I248" i="2" s="1"/>
  <c r="K119" i="5"/>
  <c r="I1016" i="2" s="1"/>
  <c r="F119" i="5"/>
  <c r="I376" i="2" s="1"/>
  <c r="B126" i="5"/>
  <c r="H122" i="5"/>
  <c r="I635" i="2" s="1"/>
  <c r="D122" i="5"/>
  <c r="I123" i="2" s="1"/>
  <c r="K122" i="5"/>
  <c r="I1019" i="2" s="1"/>
  <c r="G122" i="5"/>
  <c r="I507" i="2" s="1"/>
  <c r="E122" i="5"/>
  <c r="I251" i="2" s="1"/>
  <c r="B123" i="5"/>
  <c r="J122" i="5"/>
  <c r="I891" i="2" s="1"/>
  <c r="F122" i="5"/>
  <c r="I379" i="2" s="1"/>
  <c r="I122" i="5"/>
  <c r="I763" i="2" s="1"/>
  <c r="H116" i="5"/>
  <c r="I629" i="2" s="1"/>
  <c r="D116" i="5"/>
  <c r="I117" i="2" s="1"/>
  <c r="B117" i="5"/>
  <c r="G116" i="5"/>
  <c r="I501" i="2" s="1"/>
  <c r="K116" i="5"/>
  <c r="I1013" i="2" s="1"/>
  <c r="F116" i="5"/>
  <c r="I373" i="2" s="1"/>
  <c r="I116" i="5"/>
  <c r="I757" i="2" s="1"/>
  <c r="J116" i="5"/>
  <c r="I885" i="2" s="1"/>
  <c r="E116" i="5"/>
  <c r="I245" i="2" s="1"/>
  <c r="P123" i="5" l="1"/>
  <c r="I1660" i="2" s="1"/>
  <c r="N123" i="5"/>
  <c r="M123" i="5"/>
  <c r="I1276" i="2" s="1"/>
  <c r="O123" i="5"/>
  <c r="L123" i="5"/>
  <c r="I1148" i="2" s="1"/>
  <c r="P117" i="5"/>
  <c r="I1654" i="2" s="1"/>
  <c r="N117" i="5"/>
  <c r="M117" i="5"/>
  <c r="I1270" i="2" s="1"/>
  <c r="O117" i="5"/>
  <c r="L117" i="5"/>
  <c r="I1142" i="2" s="1"/>
  <c r="P126" i="5"/>
  <c r="I1663" i="2" s="1"/>
  <c r="L126" i="5"/>
  <c r="I1151" i="2" s="1"/>
  <c r="N126" i="5"/>
  <c r="M126" i="5"/>
  <c r="I1279" i="2" s="1"/>
  <c r="O126" i="5"/>
  <c r="P120" i="5"/>
  <c r="I1657" i="2" s="1"/>
  <c r="N120" i="5"/>
  <c r="L120" i="5"/>
  <c r="I1145" i="2" s="1"/>
  <c r="M120" i="5"/>
  <c r="I1273" i="2" s="1"/>
  <c r="O120" i="5"/>
  <c r="B124" i="5"/>
  <c r="G123" i="5"/>
  <c r="I508" i="2" s="1"/>
  <c r="K123" i="5"/>
  <c r="I1020" i="2" s="1"/>
  <c r="I123" i="5"/>
  <c r="I764" i="2" s="1"/>
  <c r="H123" i="5"/>
  <c r="I636" i="2" s="1"/>
  <c r="D123" i="5"/>
  <c r="I124" i="2" s="1"/>
  <c r="J123" i="5"/>
  <c r="I892" i="2" s="1"/>
  <c r="F123" i="5"/>
  <c r="I380" i="2" s="1"/>
  <c r="E123" i="5"/>
  <c r="I252" i="2" s="1"/>
  <c r="J117" i="5"/>
  <c r="I886" i="2" s="1"/>
  <c r="D117" i="5"/>
  <c r="I118" i="2" s="1"/>
  <c r="G117" i="5"/>
  <c r="I502" i="2" s="1"/>
  <c r="H117" i="5"/>
  <c r="I630" i="2" s="1"/>
  <c r="K117" i="5"/>
  <c r="I1014" i="2" s="1"/>
  <c r="F117" i="5"/>
  <c r="I374" i="2" s="1"/>
  <c r="E117" i="5"/>
  <c r="I246" i="2" s="1"/>
  <c r="I117" i="5"/>
  <c r="I758" i="2" s="1"/>
  <c r="B127" i="5"/>
  <c r="J126" i="5"/>
  <c r="I895" i="2" s="1"/>
  <c r="F126" i="5"/>
  <c r="I383" i="2" s="1"/>
  <c r="I126" i="5"/>
  <c r="I767" i="2" s="1"/>
  <c r="E126" i="5"/>
  <c r="I255" i="2" s="1"/>
  <c r="B130" i="5"/>
  <c r="G126" i="5"/>
  <c r="I511" i="2" s="1"/>
  <c r="D126" i="5"/>
  <c r="I127" i="2" s="1"/>
  <c r="H126" i="5"/>
  <c r="I639" i="2" s="1"/>
  <c r="K126" i="5"/>
  <c r="I1023" i="2" s="1"/>
  <c r="B121" i="5"/>
  <c r="H120" i="5"/>
  <c r="I633" i="2" s="1"/>
  <c r="D120" i="5"/>
  <c r="I121" i="2" s="1"/>
  <c r="K120" i="5"/>
  <c r="I1017" i="2" s="1"/>
  <c r="F120" i="5"/>
  <c r="I377" i="2" s="1"/>
  <c r="J120" i="5"/>
  <c r="I889" i="2" s="1"/>
  <c r="E120" i="5"/>
  <c r="I249" i="2" s="1"/>
  <c r="G120" i="5"/>
  <c r="I505" i="2" s="1"/>
  <c r="I120" i="5"/>
  <c r="I761" i="2" s="1"/>
  <c r="P121" i="5" l="1"/>
  <c r="I1658" i="2" s="1"/>
  <c r="N121" i="5"/>
  <c r="M121" i="5"/>
  <c r="I1274" i="2" s="1"/>
  <c r="O121" i="5"/>
  <c r="L121" i="5"/>
  <c r="I1146" i="2" s="1"/>
  <c r="P130" i="5"/>
  <c r="I1667" i="2" s="1"/>
  <c r="L130" i="5"/>
  <c r="I1155" i="2" s="1"/>
  <c r="N130" i="5"/>
  <c r="M130" i="5"/>
  <c r="I1283" i="2" s="1"/>
  <c r="O130" i="5"/>
  <c r="P127" i="5"/>
  <c r="I1664" i="2" s="1"/>
  <c r="N127" i="5"/>
  <c r="M127" i="5"/>
  <c r="I1280" i="2" s="1"/>
  <c r="L127" i="5"/>
  <c r="I1152" i="2" s="1"/>
  <c r="O127" i="5"/>
  <c r="P124" i="5"/>
  <c r="I1661" i="2" s="1"/>
  <c r="N124" i="5"/>
  <c r="L124" i="5"/>
  <c r="I1149" i="2" s="1"/>
  <c r="M124" i="5"/>
  <c r="I1277" i="2" s="1"/>
  <c r="O124" i="5"/>
  <c r="H121" i="5"/>
  <c r="I634" i="2" s="1"/>
  <c r="D121" i="5"/>
  <c r="I122" i="2" s="1"/>
  <c r="K121" i="5"/>
  <c r="I1018" i="2" s="1"/>
  <c r="G121" i="5"/>
  <c r="I506" i="2" s="1"/>
  <c r="E121" i="5"/>
  <c r="I250" i="2" s="1"/>
  <c r="J121" i="5"/>
  <c r="I890" i="2" s="1"/>
  <c r="F121" i="5"/>
  <c r="I378" i="2" s="1"/>
  <c r="I121" i="5"/>
  <c r="I762" i="2" s="1"/>
  <c r="B131" i="5"/>
  <c r="H130" i="5"/>
  <c r="I643" i="2" s="1"/>
  <c r="D130" i="5"/>
  <c r="I131" i="2" s="1"/>
  <c r="K130" i="5"/>
  <c r="I1027" i="2" s="1"/>
  <c r="G130" i="5"/>
  <c r="I515" i="2" s="1"/>
  <c r="E130" i="5"/>
  <c r="I259" i="2" s="1"/>
  <c r="J130" i="5"/>
  <c r="I899" i="2" s="1"/>
  <c r="F130" i="5"/>
  <c r="I387" i="2" s="1"/>
  <c r="I130" i="5"/>
  <c r="I771" i="2" s="1"/>
  <c r="B128" i="5"/>
  <c r="J127" i="5"/>
  <c r="I896" i="2" s="1"/>
  <c r="F127" i="5"/>
  <c r="I384" i="2" s="1"/>
  <c r="I127" i="5"/>
  <c r="I768" i="2" s="1"/>
  <c r="E127" i="5"/>
  <c r="I256" i="2" s="1"/>
  <c r="G127" i="5"/>
  <c r="I512" i="2" s="1"/>
  <c r="D127" i="5"/>
  <c r="I128" i="2" s="1"/>
  <c r="H127" i="5"/>
  <c r="I640" i="2" s="1"/>
  <c r="K127" i="5"/>
  <c r="I1024" i="2" s="1"/>
  <c r="B125" i="5"/>
  <c r="K124" i="5"/>
  <c r="I1021" i="2" s="1"/>
  <c r="G124" i="5"/>
  <c r="I509" i="2" s="1"/>
  <c r="J124" i="5"/>
  <c r="I893" i="2" s="1"/>
  <c r="E124" i="5"/>
  <c r="I253" i="2" s="1"/>
  <c r="H124" i="5"/>
  <c r="I637" i="2" s="1"/>
  <c r="I124" i="5"/>
  <c r="I765" i="2" s="1"/>
  <c r="D124" i="5"/>
  <c r="I125" i="2" s="1"/>
  <c r="F124" i="5"/>
  <c r="I381" i="2" s="1"/>
  <c r="P125" i="5" l="1"/>
  <c r="I1662" i="2" s="1"/>
  <c r="N125" i="5"/>
  <c r="M125" i="5"/>
  <c r="I1278" i="2" s="1"/>
  <c r="O125" i="5"/>
  <c r="L125" i="5"/>
  <c r="I1150" i="2" s="1"/>
  <c r="P128" i="5"/>
  <c r="I1665" i="2" s="1"/>
  <c r="N128" i="5"/>
  <c r="L128" i="5"/>
  <c r="I1153" i="2" s="1"/>
  <c r="M128" i="5"/>
  <c r="I1281" i="2" s="1"/>
  <c r="O128" i="5"/>
  <c r="P131" i="5"/>
  <c r="I1668" i="2" s="1"/>
  <c r="N131" i="5"/>
  <c r="M131" i="5"/>
  <c r="I1284" i="2" s="1"/>
  <c r="O131" i="5"/>
  <c r="L131" i="5"/>
  <c r="I1156" i="2" s="1"/>
  <c r="J125" i="5"/>
  <c r="I894" i="2" s="1"/>
  <c r="G125" i="5"/>
  <c r="I510" i="2" s="1"/>
  <c r="K125" i="5"/>
  <c r="I1022" i="2" s="1"/>
  <c r="I125" i="5"/>
  <c r="I766" i="2" s="1"/>
  <c r="F125" i="5"/>
  <c r="I382" i="2" s="1"/>
  <c r="E125" i="5"/>
  <c r="I254" i="2" s="1"/>
  <c r="H125" i="5"/>
  <c r="I638" i="2" s="1"/>
  <c r="D125" i="5"/>
  <c r="I126" i="2" s="1"/>
  <c r="B129" i="5"/>
  <c r="J128" i="5"/>
  <c r="I897" i="2" s="1"/>
  <c r="F128" i="5"/>
  <c r="I385" i="2" s="1"/>
  <c r="I128" i="5"/>
  <c r="I769" i="2" s="1"/>
  <c r="E128" i="5"/>
  <c r="I257" i="2" s="1"/>
  <c r="G128" i="5"/>
  <c r="I513" i="2" s="1"/>
  <c r="D128" i="5"/>
  <c r="I129" i="2" s="1"/>
  <c r="H128" i="5"/>
  <c r="I641" i="2" s="1"/>
  <c r="K128" i="5"/>
  <c r="I1025" i="2" s="1"/>
  <c r="B132" i="5"/>
  <c r="H131" i="5"/>
  <c r="I644" i="2" s="1"/>
  <c r="D131" i="5"/>
  <c r="I132" i="2" s="1"/>
  <c r="K131" i="5"/>
  <c r="I1028" i="2" s="1"/>
  <c r="G131" i="5"/>
  <c r="I516" i="2" s="1"/>
  <c r="E131" i="5"/>
  <c r="I260" i="2" s="1"/>
  <c r="J131" i="5"/>
  <c r="I900" i="2" s="1"/>
  <c r="F131" i="5"/>
  <c r="I388" i="2" s="1"/>
  <c r="I131" i="5"/>
  <c r="I772" i="2" s="1"/>
  <c r="P132" i="5" l="1"/>
  <c r="I1669" i="2" s="1"/>
  <c r="N132" i="5"/>
  <c r="L132" i="5"/>
  <c r="I1157" i="2" s="1"/>
  <c r="M132" i="5"/>
  <c r="I1285" i="2" s="1"/>
  <c r="O132" i="5"/>
  <c r="P129" i="5"/>
  <c r="I1666" i="2" s="1"/>
  <c r="N129" i="5"/>
  <c r="M129" i="5"/>
  <c r="I1282" i="2" s="1"/>
  <c r="O129" i="5"/>
  <c r="L129" i="5"/>
  <c r="I1154" i="2" s="1"/>
  <c r="B133" i="5"/>
  <c r="H132" i="5"/>
  <c r="I645" i="2" s="1"/>
  <c r="D132" i="5"/>
  <c r="I133" i="2" s="1"/>
  <c r="K132" i="5"/>
  <c r="I1029" i="2" s="1"/>
  <c r="G132" i="5"/>
  <c r="I517" i="2" s="1"/>
  <c r="E132" i="5"/>
  <c r="I261" i="2" s="1"/>
  <c r="J132" i="5"/>
  <c r="I901" i="2" s="1"/>
  <c r="F132" i="5"/>
  <c r="I389" i="2" s="1"/>
  <c r="I132" i="5"/>
  <c r="I773" i="2" s="1"/>
  <c r="J129" i="5"/>
  <c r="I898" i="2" s="1"/>
  <c r="K129" i="5"/>
  <c r="I1026" i="2" s="1"/>
  <c r="G129" i="5"/>
  <c r="I514" i="2" s="1"/>
  <c r="D129" i="5"/>
  <c r="I130" i="2" s="1"/>
  <c r="H129" i="5"/>
  <c r="I642" i="2" s="1"/>
  <c r="E129" i="5"/>
  <c r="I258" i="2" s="1"/>
  <c r="I129" i="5"/>
  <c r="I770" i="2" s="1"/>
  <c r="F129" i="5"/>
  <c r="I386" i="2" s="1"/>
  <c r="P133" i="5" l="1"/>
  <c r="I1670" i="2" s="1"/>
  <c r="N133" i="5"/>
  <c r="M133" i="5"/>
  <c r="I1286" i="2" s="1"/>
  <c r="O133" i="5"/>
  <c r="L133" i="5"/>
  <c r="I1158" i="2" s="1"/>
  <c r="I133" i="5"/>
  <c r="I774" i="2" s="1"/>
  <c r="E133" i="5"/>
  <c r="I262" i="2" s="1"/>
  <c r="H133" i="5"/>
  <c r="I646" i="2" s="1"/>
  <c r="F133" i="5"/>
  <c r="I390" i="2" s="1"/>
  <c r="K133" i="5"/>
  <c r="I1030" i="2" s="1"/>
  <c r="G133" i="5"/>
  <c r="I518" i="2" s="1"/>
  <c r="J133" i="5"/>
  <c r="I902" i="2" s="1"/>
  <c r="D133" i="5"/>
  <c r="I134" i="2" s="1"/>
</calcChain>
</file>

<file path=xl/comments1.xml><?xml version="1.0" encoding="utf-8"?>
<comments xmlns="http://schemas.openxmlformats.org/spreadsheetml/2006/main">
  <authors>
    <author>海野秀祐</author>
  </authors>
  <commentList>
    <comment ref="D6" authorId="0">
      <text>
        <r>
          <rPr>
            <b/>
            <sz val="9"/>
            <color indexed="81"/>
            <rFont val="ＭＳ Ｐゴシック"/>
            <family val="3"/>
            <charset val="128"/>
          </rPr>
          <t>海野秀祐:</t>
        </r>
        <r>
          <rPr>
            <sz val="9"/>
            <color indexed="81"/>
            <rFont val="ＭＳ Ｐゴシック"/>
            <family val="3"/>
            <charset val="128"/>
          </rPr>
          <t xml:space="preserve">
空白ならシートと同じディレクトリに出力</t>
        </r>
      </text>
    </comment>
  </commentList>
</comments>
</file>

<file path=xl/comments2.xml><?xml version="1.0" encoding="utf-8"?>
<comments xmlns="http://schemas.openxmlformats.org/spreadsheetml/2006/main">
  <authors>
    <author>高橋　誠治</author>
  </authors>
  <commentList>
    <comment ref="G219" authorId="0">
      <text>
        <r>
          <rPr>
            <b/>
            <sz val="9"/>
            <color indexed="81"/>
            <rFont val="ＭＳ Ｐゴシック"/>
            <family val="3"/>
            <charset val="128"/>
          </rPr>
          <t>2007/1/25
中央重点測光ベースでスポット測光寄り</t>
        </r>
      </text>
    </comment>
  </commentList>
</comments>
</file>

<file path=xl/sharedStrings.xml><?xml version="1.0" encoding="utf-8"?>
<sst xmlns="http://schemas.openxmlformats.org/spreadsheetml/2006/main" count="6841" uniqueCount="2096">
  <si>
    <t>AE_BLOCK_WEIGHT_234</t>
  </si>
  <si>
    <t>AE_BLOCK_WEIGHT_235</t>
  </si>
  <si>
    <t>AE_BLOCK_WEIGHT_236</t>
  </si>
  <si>
    <t>AE_BLOCK_WEIGHT_237</t>
  </si>
  <si>
    <t>AE_BLOCK_WEIGHT_238</t>
  </si>
  <si>
    <t>AE_BLOCK_WEIGHT_239</t>
  </si>
  <si>
    <t>AE_BLOCK_WEIGHT_240</t>
  </si>
  <si>
    <t>AE_BLOCK_WEIGHT_241</t>
  </si>
  <si>
    <t>AE_BLOCK_WEIGHT_242</t>
  </si>
  <si>
    <t>AE_BLOCK_WEIGHT_243</t>
  </si>
  <si>
    <t>AE_BLOCK_WEIGHT_244</t>
  </si>
  <si>
    <t>AE_BLOCK_WEIGHT_245</t>
  </si>
  <si>
    <t>AE_BLOCK_WEIGHT_246</t>
  </si>
  <si>
    <t>AE_BLOCK_WEIGHT_247</t>
  </si>
  <si>
    <t>AE_BLOCK_WEIGHT_248</t>
  </si>
  <si>
    <t>AE_BLOCK_WEIGHT_249</t>
  </si>
  <si>
    <t>AE_BLOCK_WEIGHT_250</t>
  </si>
  <si>
    <t>AE_BLOCK_WEIGHT_251</t>
  </si>
  <si>
    <t>AE_BLOCK_WEIGHT_252</t>
  </si>
  <si>
    <t>AE_BLOCK_WEIGHT_253</t>
  </si>
  <si>
    <t>AE_BLOCK_WEIGHT_254</t>
  </si>
  <si>
    <t>AE_BLOCK_WEIGHT_255</t>
  </si>
  <si>
    <t>AE_BLOCK_WEIGHT_4</t>
  </si>
  <si>
    <t>AE_BLOCK_WEIGHT_5</t>
  </si>
  <si>
    <t>AE_BLOCK_WEIGHT_6</t>
  </si>
  <si>
    <t>AE_BLOCK_WEIGHT_7</t>
  </si>
  <si>
    <t>AE_BLOCK_WEIGHT_8</t>
  </si>
  <si>
    <t>AE_BLOCK_WEIGHT_9</t>
  </si>
  <si>
    <t>AE_BLOCK_WEIGHT_10</t>
  </si>
  <si>
    <t>AE_BLOCK_WEIGHT_11</t>
  </si>
  <si>
    <t>AE_BLOCK_WEIGHT_12</t>
  </si>
  <si>
    <t>AE_BLOCK_WEIGHT_13</t>
  </si>
  <si>
    <t>AE_BLOCK_WEIGHT_14</t>
  </si>
  <si>
    <t>AE_BLOCK_WEIGHT_15</t>
  </si>
  <si>
    <t>AE_BLOCK_WEIGHT_16</t>
  </si>
  <si>
    <t>AE_BLOCK_WEIGHT_17</t>
  </si>
  <si>
    <t>AE_BLOCK_WEIGHT_18</t>
  </si>
  <si>
    <t>AE_BLOCK_WEIGHT_19</t>
  </si>
  <si>
    <t>AE_BLOCK_WEIGHT_20</t>
  </si>
  <si>
    <t>AE_BLOCK_WEIGHT_21</t>
  </si>
  <si>
    <t>AE_BLOCK_WEIGHT_22</t>
  </si>
  <si>
    <t>AE_BLOCK_WEIGHT_23</t>
  </si>
  <si>
    <t>AE_BLOCK_WEIGHT_24</t>
  </si>
  <si>
    <t>AE_BLOCK_WEIGHT_25</t>
  </si>
  <si>
    <t>AE_BLOCK_WEIGHT_26</t>
  </si>
  <si>
    <t>AE_BLOCK_WEIGHT_27</t>
  </si>
  <si>
    <t>AE_BLOCK_WEIGHT_28</t>
  </si>
  <si>
    <t>AE_BLOCK_WEIGHT_29</t>
  </si>
  <si>
    <t>AE_BLOCK_WEIGHT_30</t>
  </si>
  <si>
    <t>AE_BLOCK_WEIGHT_31</t>
  </si>
  <si>
    <t>AE_BLOCK_WEIGHT_32</t>
  </si>
  <si>
    <t>AE_BLOCK_WEIGHT_33</t>
  </si>
  <si>
    <t>AE_BLOCK_WEIGHT_34</t>
  </si>
  <si>
    <t>AE_BLOCK_WEIGHT_35</t>
  </si>
  <si>
    <t>AE_BLOCK_WEIGHT_36</t>
  </si>
  <si>
    <t>AE_BLOCK_WEIGHT_37</t>
  </si>
  <si>
    <t>AE_BLOCK_WEIGHT_38</t>
  </si>
  <si>
    <t>AE_BLOCK_WEIGHT_39</t>
  </si>
  <si>
    <t>AE_BLOCK_WEIGHT_40</t>
  </si>
  <si>
    <t>AE_BLOCK_WEIGHT_41</t>
  </si>
  <si>
    <t>AE_BLOCK_WEIGHT_42</t>
  </si>
  <si>
    <t>AE_BLOCK_WEIGHT_43</t>
  </si>
  <si>
    <t>AE_BLOCK_WEIGHT_44</t>
  </si>
  <si>
    <t>AE_BLOCK_WEIGHT_45</t>
  </si>
  <si>
    <t>AE_BLOCK_WEIGHT_46</t>
  </si>
  <si>
    <t>AE_BLOCK_WEIGHT_47</t>
  </si>
  <si>
    <t>AE_BLOCK_WEIGHT_48</t>
  </si>
  <si>
    <t>AE_BLOCK_WEIGHT_49</t>
  </si>
  <si>
    <t>AE_BLOCK_WEIGHT_50</t>
  </si>
  <si>
    <t>AE_BLOCK_WEIGHT_51</t>
  </si>
  <si>
    <t>AE_BLOCK_WEIGHT_52</t>
  </si>
  <si>
    <t>AE_BLOCK_WEIGHT_53</t>
  </si>
  <si>
    <t>AE_BLOCK_WEIGHT_54</t>
  </si>
  <si>
    <t>AE_BLOCK_WEIGHT_55</t>
  </si>
  <si>
    <t>AE_BLOCK_WEIGHT_56</t>
  </si>
  <si>
    <t>AE_WEIGHT</t>
  </si>
  <si>
    <t>MACRO</t>
    <phoneticPr fontId="11"/>
  </si>
  <si>
    <t>AE_BLOCK_WEIGHT_2</t>
    <phoneticPr fontId="11"/>
  </si>
  <si>
    <t>AE_BLOCK_WEIGHT_3</t>
    <phoneticPr fontId="11"/>
  </si>
  <si>
    <t>AE_BLOCK_WEIGHT_0</t>
    <phoneticPr fontId="11"/>
  </si>
  <si>
    <t>AE_BLOCK_WEIGHT_1</t>
    <phoneticPr fontId="11"/>
  </si>
  <si>
    <t>AE_BLOCK_WEIGHT_193</t>
  </si>
  <si>
    <t>AE_BLOCK_WEIGHT_194</t>
  </si>
  <si>
    <t>AE_BLOCK_WEIGHT_195</t>
  </si>
  <si>
    <t>AE_BLOCK_WEIGHT_196</t>
  </si>
  <si>
    <t>AE_BLOCK_WEIGHT_197</t>
  </si>
  <si>
    <t>AE_BLOCK_WEIGHT_198</t>
  </si>
  <si>
    <t>AE_BLOCK_WEIGHT_199</t>
  </si>
  <si>
    <t>AE_BLOCK_WEIGHT_200</t>
  </si>
  <si>
    <t>AE_BLOCK_WEIGHT_201</t>
  </si>
  <si>
    <t>AE_BLOCK_WEIGHT_202</t>
  </si>
  <si>
    <t>AE_BLOCK_WEIGHT_203</t>
  </si>
  <si>
    <t>AE_BLOCK_WEIGHT_204</t>
  </si>
  <si>
    <t>AE_BLOCK_WEIGHT_205</t>
  </si>
  <si>
    <t>AE_BLOCK_WEIGHT_206</t>
  </si>
  <si>
    <t>AE_BLOCK_WEIGHT_207</t>
  </si>
  <si>
    <t>AE_BLOCK_WEIGHT_208</t>
  </si>
  <si>
    <t>AE_BLOCK_WEIGHT_209</t>
  </si>
  <si>
    <t>AE_BLOCK_WEIGHT_210</t>
  </si>
  <si>
    <t>AE_BLOCK_WEIGHT_211</t>
  </si>
  <si>
    <t>AE_BLOCK_WEIGHT_212</t>
  </si>
  <si>
    <t>AE_BLOCK_WEIGHT_213</t>
  </si>
  <si>
    <t>AE_BLOCK_WEIGHT_214</t>
  </si>
  <si>
    <t>AE_BLOCK_WEIGHT_215</t>
  </si>
  <si>
    <t>AE_BLOCK_WEIGHT_216</t>
  </si>
  <si>
    <t>AE_BLOCK_WEIGHT_217</t>
  </si>
  <si>
    <t>AE_BLOCK_WEIGHT_218</t>
  </si>
  <si>
    <t>AE_BLOCK_WEIGHT_219</t>
  </si>
  <si>
    <t>AE_BLOCK_WEIGHT_220</t>
  </si>
  <si>
    <t>AE_BLOCK_WEIGHT_221</t>
  </si>
  <si>
    <t>AE_BLOCK_WEIGHT_222</t>
  </si>
  <si>
    <t>AE_BLOCK_WEIGHT_223</t>
  </si>
  <si>
    <t>AE_BLOCK_WEIGHT_224</t>
  </si>
  <si>
    <t>AE_BLOCK_WEIGHT_225</t>
  </si>
  <si>
    <t>AE_BLOCK_WEIGHT_226</t>
  </si>
  <si>
    <t>AE_BLOCK_WEIGHT_227</t>
  </si>
  <si>
    <t>AE_BLOCK_WEIGHT_228</t>
  </si>
  <si>
    <t>AE_BLOCK_WEIGHT_229</t>
  </si>
  <si>
    <t>AE_BLOCK_WEIGHT_230</t>
  </si>
  <si>
    <t>AE_BLOCK_WEIGHT_231</t>
  </si>
  <si>
    <t>AE_BLOCK_WEIGHT_232</t>
  </si>
  <si>
    <t>_ae_weight</t>
    <phoneticPr fontId="10"/>
  </si>
  <si>
    <t>0x0</t>
    <phoneticPr fontId="10"/>
  </si>
  <si>
    <t>AE_W</t>
    <phoneticPr fontId="10"/>
  </si>
  <si>
    <t>ram_map.h</t>
    <phoneticPr fontId="10"/>
  </si>
  <si>
    <t>No</t>
    <phoneticPr fontId="11"/>
  </si>
  <si>
    <t>縦</t>
    <rPh sb="0" eb="1">
      <t>タテ</t>
    </rPh>
    <phoneticPr fontId="11"/>
  </si>
  <si>
    <t>横</t>
    <rPh sb="0" eb="1">
      <t>ヨコ</t>
    </rPh>
    <phoneticPr fontId="11"/>
  </si>
  <si>
    <t>AE_BLOCK_WEIGHT_57</t>
  </si>
  <si>
    <t>AE_BLOCK_WEIGHT_58</t>
  </si>
  <si>
    <t>AE_BLOCK_WEIGHT_59</t>
  </si>
  <si>
    <t>AE_BLOCK_WEIGHT_60</t>
  </si>
  <si>
    <t>AE_BLOCK_WEIGHT_61</t>
  </si>
  <si>
    <t>AE_BLOCK_WEIGHT_62</t>
  </si>
  <si>
    <t>AE_BLOCK_WEIGHT_63</t>
  </si>
  <si>
    <t>AE_BLOCK_WEIGHT_64</t>
  </si>
  <si>
    <t>AE_BLOCK_WEIGHT_65</t>
  </si>
  <si>
    <t>AE_BLOCK_WEIGHT_66</t>
  </si>
  <si>
    <t>AE_BLOCK_WEIGHT_67</t>
  </si>
  <si>
    <t>AE_BLOCK_WEIGHT_68</t>
  </si>
  <si>
    <t>AE_BLOCK_WEIGHT_69</t>
  </si>
  <si>
    <t>AE_BLOCK_WEIGHT_70</t>
  </si>
  <si>
    <t>AE_BLOCK_WEIGHT_71</t>
  </si>
  <si>
    <t>AE_BLOCK_WEIGHT_72</t>
  </si>
  <si>
    <t>AE_BLOCK_WEIGHT_73</t>
  </si>
  <si>
    <t>AE_BLOCK_WEIGHT_74</t>
  </si>
  <si>
    <t>AE_BLOCK_WEIGHT_75</t>
  </si>
  <si>
    <t>AE_BLOCK_WEIGHT_76</t>
  </si>
  <si>
    <t>AE_BLOCK_WEIGHT_77</t>
  </si>
  <si>
    <t>AE_BLOCK_WEIGHT_78</t>
  </si>
  <si>
    <t>AE_BLOCK_WEIGHT_79</t>
  </si>
  <si>
    <t>AE_BLOCK_WEIGHT_80</t>
  </si>
  <si>
    <t>AE_BLOCK_WEIGHT_81</t>
  </si>
  <si>
    <t>AE_BLOCK_WEIGHT_82</t>
  </si>
  <si>
    <t>AE_BLOCK_WEIGHT_83</t>
  </si>
  <si>
    <t>AE_BLOCK_WEIGHT_84</t>
  </si>
  <si>
    <t>AE_BLOCK_WEIGHT_85</t>
  </si>
  <si>
    <t>AE_BLOCK_WEIGHT_86</t>
  </si>
  <si>
    <t>AE_BLOCK_WEIGHT_87</t>
  </si>
  <si>
    <t>AE_BLOCK_WEIGHT_88</t>
  </si>
  <si>
    <t>AE_BLOCK_WEIGHT_89</t>
  </si>
  <si>
    <t>AE_BLOCK_WEIGHT_90</t>
  </si>
  <si>
    <t>AE_BLOCK_WEIGHT_91</t>
  </si>
  <si>
    <t>AE_BLOCK_WEIGHT_92</t>
  </si>
  <si>
    <t>AE_BLOCK_WEIGHT_93</t>
  </si>
  <si>
    <t>AE_BLOCK_WEIGHT_94</t>
  </si>
  <si>
    <t>AE_BLOCK_WEIGHT_95</t>
  </si>
  <si>
    <t>AE_BLOCK_WEIGHT_96</t>
  </si>
  <si>
    <t>AE_BLOCK_WEIGHT_97</t>
  </si>
  <si>
    <t>AE_BLOCK_WEIGHT_98</t>
  </si>
  <si>
    <t>AE_BLOCK_WEIGHT_99</t>
  </si>
  <si>
    <t>AE_BLOCK_WEIGHT_100</t>
  </si>
  <si>
    <t>AE_BLOCK_WEIGHT_101</t>
  </si>
  <si>
    <t>AE_BLOCK_WEIGHT_102</t>
  </si>
  <si>
    <t>AE_BLOCK_WEIGHT_103</t>
  </si>
  <si>
    <t>AE_BLOCK_WEIGHT_104</t>
  </si>
  <si>
    <t>AE_BLOCK_WEIGHT_105</t>
  </si>
  <si>
    <t>AE_BLOCK_WEIGHT_106</t>
  </si>
  <si>
    <t>AE_BLOCK_WEIGHT_107</t>
  </si>
  <si>
    <t>AE_BLOCK_WEIGHT_108</t>
  </si>
  <si>
    <t>AE_BLOCK_WEIGHT_109</t>
  </si>
  <si>
    <t>AE_BLOCK_WEIGHT_110</t>
  </si>
  <si>
    <t>AE_BLOCK_WEIGHT_111</t>
  </si>
  <si>
    <t>AE_BLOCK_WEIGHT_112</t>
  </si>
  <si>
    <t>AE_BLOCK_WEIGHT_113</t>
  </si>
  <si>
    <t>AE_BLOCK_WEIGHT_114</t>
  </si>
  <si>
    <t>AE_BLOCK_WEIGHT_115</t>
  </si>
  <si>
    <t>AE_BLOCK_WEIGHT_116</t>
  </si>
  <si>
    <t>AE_BLOCK_WEIGHT_117</t>
  </si>
  <si>
    <t>AE_BLOCK_WEIGHT_118</t>
  </si>
  <si>
    <t>AE_BLOCK_WEIGHT_119</t>
  </si>
  <si>
    <t>AE_BLOCK_WEIGHT_120</t>
  </si>
  <si>
    <t>AE_BLOCK_WEIGHT_121</t>
  </si>
  <si>
    <t>AE_BLOCK_WEIGHT_122</t>
  </si>
  <si>
    <t>AE_BLOCK_WEIGHT_123</t>
  </si>
  <si>
    <t>AE_BLOCK_WEIGHT_124</t>
  </si>
  <si>
    <t>AE_BLOCK_WEIGHT_125</t>
  </si>
  <si>
    <t>AE_BLOCK_WEIGHT_126</t>
  </si>
  <si>
    <t>AE_BLOCK_WEIGHT_127</t>
  </si>
  <si>
    <t>AE_BLOCK_WEIGHT_128</t>
  </si>
  <si>
    <t>AE_BLOCK_WEIGHT_129</t>
  </si>
  <si>
    <t>AE_BLOCK_WEIGHT_130</t>
  </si>
  <si>
    <t>AE_BLOCK_WEIGHT_131</t>
  </si>
  <si>
    <t>AE_BLOCK_WEIGHT_132</t>
  </si>
  <si>
    <t>AE_BLOCK_WEIGHT_133</t>
  </si>
  <si>
    <t>AE_BLOCK_WEIGHT_134</t>
  </si>
  <si>
    <t>AE_BLOCK_WEIGHT_135</t>
  </si>
  <si>
    <t>AE_BLOCK_WEIGHT_136</t>
  </si>
  <si>
    <t>AE_BLOCK_WEIGHT_137</t>
  </si>
  <si>
    <t>AE_BLOCK_WEIGHT_138</t>
  </si>
  <si>
    <t>AE_BLOCK_WEIGHT_139</t>
  </si>
  <si>
    <t>AE_BLOCK_WEIGHT_140</t>
  </si>
  <si>
    <t>AE_BLOCK_WEIGHT_141</t>
  </si>
  <si>
    <t>AE_BLOCK_WEIGHT_142</t>
  </si>
  <si>
    <t>AE_BLOCK_WEIGHT_143</t>
  </si>
  <si>
    <t>AE_BLOCK_WEIGHT_144</t>
  </si>
  <si>
    <t>AE_BLOCK_WEIGHT_145</t>
  </si>
  <si>
    <t>AE_BLOCK_WEIGHT_146</t>
  </si>
  <si>
    <t>AE_BLOCK_WEIGHT_147</t>
  </si>
  <si>
    <t>AE_BLOCK_WEIGHT_148</t>
  </si>
  <si>
    <t>AE_BLOCK_WEIGHT_149</t>
  </si>
  <si>
    <t>AE_BLOCK_WEIGHT_150</t>
  </si>
  <si>
    <t>AE_BLOCK_WEIGHT_151</t>
  </si>
  <si>
    <t>AE_BLOCK_WEIGHT_152</t>
  </si>
  <si>
    <t>AE_BLOCK_WEIGHT_153</t>
  </si>
  <si>
    <t>AE_BLOCK_WEIGHT_154</t>
  </si>
  <si>
    <t>AE_BLOCK_WEIGHT_155</t>
  </si>
  <si>
    <t>AE_BLOCK_WEIGHT_156</t>
  </si>
  <si>
    <t>AE_BLOCK_WEIGHT_157</t>
  </si>
  <si>
    <t>AE_BLOCK_WEIGHT_158</t>
  </si>
  <si>
    <t>AE_BLOCK_WEIGHT_159</t>
  </si>
  <si>
    <t>AE_BLOCK_WEIGHT_160</t>
  </si>
  <si>
    <t>AE_BLOCK_WEIGHT_161</t>
  </si>
  <si>
    <t>AE_BLOCK_WEIGHT_162</t>
  </si>
  <si>
    <t>AE_BLOCK_WEIGHT_163</t>
  </si>
  <si>
    <t>AE_BLOCK_WEIGHT_164</t>
  </si>
  <si>
    <t>AE_BLOCK_WEIGHT_165</t>
  </si>
  <si>
    <t>AE_BLOCK_WEIGHT_166</t>
  </si>
  <si>
    <t>AE_BLOCK_WEIGHT_167</t>
  </si>
  <si>
    <t>AE_BLOCK_WEIGHT_168</t>
  </si>
  <si>
    <t>AE_BLOCK_WEIGHT_169</t>
  </si>
  <si>
    <t>AE_BLOCK_WEIGHT_170</t>
  </si>
  <si>
    <t>AE_BLOCK_WEIGHT_171</t>
  </si>
  <si>
    <t>AE_BLOCK_WEIGHT_172</t>
  </si>
  <si>
    <t>AE_BLOCK_WEIGHT_173</t>
  </si>
  <si>
    <t>AE_BLOCK_WEIGHT_174</t>
  </si>
  <si>
    <t>AE_BLOCK_WEIGHT_175</t>
  </si>
  <si>
    <t>AE_BLOCK_WEIGHT_176</t>
  </si>
  <si>
    <t>AE_BLOCK_WEIGHT_177</t>
  </si>
  <si>
    <t>AE_BLOCK_WEIGHT_178</t>
  </si>
  <si>
    <t>AE_BLOCK_WEIGHT_179</t>
  </si>
  <si>
    <t>AE_BLOCK_WEIGHT_180</t>
  </si>
  <si>
    <t>AE_BLOCK_WEIGHT_181</t>
  </si>
  <si>
    <t>AE_BLOCK_WEIGHT_182</t>
  </si>
  <si>
    <t>AE_BLOCK_WEIGHT_183</t>
  </si>
  <si>
    <t>AE_BLOCK_WEIGHT_184</t>
  </si>
  <si>
    <t>AE_BLOCK_WEIGHT_185</t>
  </si>
  <si>
    <t>AE_BLOCK_WEIGHT_186</t>
  </si>
  <si>
    <t>AE_BLOCK_WEIGHT_187</t>
  </si>
  <si>
    <t>AE_BLOCK_WEIGHT_188</t>
  </si>
  <si>
    <t>AE_BLOCK_WEIGHT_189</t>
  </si>
  <si>
    <t>AE_BLOCK_WEIGHT_190</t>
  </si>
  <si>
    <t>AE_BLOCK_WEIGHT_191</t>
  </si>
  <si>
    <t>AE_BLOCK_WEIGHT_192</t>
  </si>
  <si>
    <t>AE_BLOCK_WEIGHT_233</t>
  </si>
  <si>
    <t>End Address + 1</t>
  </si>
  <si>
    <t>AE Weight Table</t>
  </si>
  <si>
    <t>Name of BIN file</t>
    <phoneticPr fontId="11"/>
  </si>
  <si>
    <t>Name of Header file</t>
    <phoneticPr fontId="11"/>
  </si>
  <si>
    <t>Name of Memory File</t>
    <phoneticPr fontId="11"/>
  </si>
  <si>
    <t>Memory Map Address</t>
    <phoneticPr fontId="11"/>
  </si>
  <si>
    <t>Nameof Section</t>
    <phoneticPr fontId="11"/>
  </si>
  <si>
    <t>Name of variable</t>
    <phoneticPr fontId="11"/>
  </si>
  <si>
    <t>Name of Structure</t>
    <phoneticPr fontId="11"/>
  </si>
  <si>
    <t>Name of RAM MAP Add.</t>
    <phoneticPr fontId="10"/>
  </si>
  <si>
    <t>Name</t>
    <phoneticPr fontId="10"/>
  </si>
  <si>
    <t>Address</t>
    <phoneticPr fontId="11"/>
  </si>
  <si>
    <t>Name of member variable</t>
    <phoneticPr fontId="11"/>
  </si>
  <si>
    <t>Detail</t>
    <phoneticPr fontId="11"/>
  </si>
  <si>
    <t>Size</t>
    <phoneticPr fontId="11"/>
  </si>
  <si>
    <t>Number of parameter set</t>
    <phoneticPr fontId="11"/>
  </si>
  <si>
    <t>Don't change the this sheet becouse of work area.</t>
    <phoneticPr fontId="11"/>
  </si>
  <si>
    <t>Name</t>
    <phoneticPr fontId="11"/>
  </si>
  <si>
    <t>Init Value</t>
    <phoneticPr fontId="11"/>
  </si>
  <si>
    <t>hexadecimal</t>
  </si>
  <si>
    <t>Whole of ROM structure</t>
    <phoneticPr fontId="11"/>
  </si>
  <si>
    <t>Sheet</t>
    <phoneticPr fontId="11"/>
  </si>
  <si>
    <t>Cell</t>
    <phoneticPr fontId="11"/>
  </si>
  <si>
    <t>Detail:Detail information cell name(At the jump destination)</t>
    <phoneticPr fontId="10"/>
  </si>
  <si>
    <t>Number of complete set</t>
    <phoneticPr fontId="11"/>
  </si>
  <si>
    <t>Strucures</t>
    <phoneticPr fontId="11"/>
  </si>
  <si>
    <t>Siz: Size: When using array, size of basic type</t>
    <phoneticPr fontId="10"/>
  </si>
  <si>
    <t>Number of complete set:When using 3 dimensional array, Number of elements of output data arrays</t>
    <phoneticPr fontId="10"/>
  </si>
  <si>
    <t>Number of parameter set:When using 2 dimensional array, Number of elements of output data arrays</t>
    <phoneticPr fontId="10"/>
  </si>
  <si>
    <t>5.Spot 1 (Storage to ROM)</t>
    <phoneticPr fontId="11"/>
  </si>
  <si>
    <r>
      <t xml:space="preserve">Byte
</t>
    </r>
    <r>
      <rPr>
        <sz val="10"/>
        <rFont val="ＭＳ Ｐゴシック"/>
        <family val="3"/>
        <charset val="128"/>
      </rPr>
      <t>数</t>
    </r>
    <rPh sb="5" eb="6">
      <t>スウ</t>
    </rPh>
    <phoneticPr fontId="11"/>
  </si>
  <si>
    <r>
      <t>Structures:Structure:1 = array, 2 = structure, 3 = Register map</t>
    </r>
    <r>
      <rPr>
        <sz val="10"/>
        <rFont val="Tahoma"/>
        <family val="2"/>
      </rPr>
      <t xml:space="preserve">, 4 = Menber  </t>
    </r>
    <phoneticPr fontId="11"/>
  </si>
  <si>
    <t>Data for detail refer</t>
    <phoneticPr fontId="10"/>
  </si>
  <si>
    <t>Detail of AE Weight Table structure</t>
    <phoneticPr fontId="10"/>
  </si>
  <si>
    <t>Section</t>
    <phoneticPr fontId="11"/>
  </si>
  <si>
    <t>Group</t>
    <phoneticPr fontId="11"/>
  </si>
  <si>
    <t>address</t>
    <phoneticPr fontId="11"/>
  </si>
  <si>
    <t>Setting of AE Weight Table</t>
    <phoneticPr fontId="11"/>
  </si>
  <si>
    <t xml:space="preserve">* Only the value of a black, bold above the line is reflected in "ROM_MAP"sheet. The value of a possible setting is 0-7. </t>
    <phoneticPr fontId="11"/>
  </si>
  <si>
    <t>1.All block integral (Storage to ROM)</t>
    <phoneticPr fontId="11"/>
  </si>
  <si>
    <t>テーブル色塗り範囲指定</t>
    <rPh sb="4" eb="5">
      <t>イロ</t>
    </rPh>
    <rPh sb="5" eb="6">
      <t>ヌ</t>
    </rPh>
    <rPh sb="7" eb="9">
      <t>ハンイ</t>
    </rPh>
    <rPh sb="9" eb="11">
      <t>シテイ</t>
    </rPh>
    <phoneticPr fontId="11"/>
  </si>
  <si>
    <t>下限</t>
    <rPh sb="0" eb="2">
      <t>カゲン</t>
    </rPh>
    <phoneticPr fontId="10"/>
  </si>
  <si>
    <t>上限</t>
    <rPh sb="0" eb="2">
      <t>ジョウゲン</t>
    </rPh>
    <phoneticPr fontId="10"/>
  </si>
  <si>
    <t>重み係数指定</t>
    <rPh sb="0" eb="1">
      <t>オモ</t>
    </rPh>
    <rPh sb="2" eb="4">
      <t>ケイスウ</t>
    </rPh>
    <rPh sb="4" eb="6">
      <t>シテイ</t>
    </rPh>
    <phoneticPr fontId="11"/>
  </si>
  <si>
    <t>設定値</t>
    <rPh sb="0" eb="2">
      <t>セッテイ</t>
    </rPh>
    <rPh sb="2" eb="3">
      <t>チ</t>
    </rPh>
    <phoneticPr fontId="10"/>
  </si>
  <si>
    <t>重み係数</t>
    <rPh sb="0" eb="1">
      <t>オモ</t>
    </rPh>
    <rPh sb="2" eb="4">
      <t>ケイスウ</t>
    </rPh>
    <phoneticPr fontId="10"/>
  </si>
  <si>
    <t>積算しない</t>
    <rPh sb="0" eb="2">
      <t>セキサン</t>
    </rPh>
    <phoneticPr fontId="10"/>
  </si>
  <si>
    <t>3.Center-weighted average 2(Storage to ROM)</t>
    <phoneticPr fontId="11"/>
  </si>
  <si>
    <t>4.Center-weighted average 3 (Storage to ROM)</t>
    <phoneticPr fontId="11"/>
  </si>
  <si>
    <t>6.Spot 2 (Storage to ROM)</t>
    <phoneticPr fontId="11"/>
  </si>
  <si>
    <t>7.User setting weight table 1 (Storage to ROM)</t>
    <phoneticPr fontId="11"/>
  </si>
  <si>
    <t>ROM_MAP PRO  Update History</t>
  </si>
  <si>
    <t>History</t>
  </si>
  <si>
    <t>Date</t>
  </si>
  <si>
    <t>Name</t>
  </si>
  <si>
    <t>Comment</t>
  </si>
  <si>
    <t>End Address + 1</t>
    <phoneticPr fontId="10"/>
  </si>
  <si>
    <t>_ae_weight</t>
    <phoneticPr fontId="10"/>
  </si>
  <si>
    <t>note</t>
    <phoneticPr fontId="11"/>
  </si>
  <si>
    <t>15 (even) 8</t>
    <phoneticPr fontId="11"/>
  </si>
  <si>
    <t>JDSPRO</t>
    <phoneticPr fontId="11"/>
  </si>
  <si>
    <t>All block integral</t>
    <phoneticPr fontId="11"/>
  </si>
  <si>
    <t>Center-weighted average 2</t>
    <phoneticPr fontId="11"/>
  </si>
  <si>
    <t>Center-weighted average 3</t>
    <phoneticPr fontId="11"/>
  </si>
  <si>
    <t>Spot 2</t>
    <phoneticPr fontId="11"/>
  </si>
  <si>
    <t>AE_BLOCK_WEIGHT_254</t>
    <phoneticPr fontId="11"/>
  </si>
  <si>
    <t>END</t>
    <phoneticPr fontId="11"/>
  </si>
  <si>
    <t>Update</t>
    <phoneticPr fontId="10"/>
  </si>
  <si>
    <t>7 (odd) 0</t>
    <phoneticPr fontId="11"/>
  </si>
  <si>
    <t>Center-weighted average 1</t>
    <phoneticPr fontId="11"/>
  </si>
  <si>
    <t>Spot 1</t>
    <phoneticPr fontId="11"/>
  </si>
  <si>
    <t>AE_BLOCK_WEIGHT_192</t>
    <phoneticPr fontId="11"/>
  </si>
  <si>
    <r>
      <rPr>
        <sz val="11"/>
        <color rgb="FFFF0000"/>
        <rFont val="ＭＳ Ｐゴシック"/>
        <family val="3"/>
        <charset val="128"/>
      </rPr>
      <t>※</t>
    </r>
    <r>
      <rPr>
        <sz val="11"/>
        <color rgb="FFFF0000"/>
        <rFont val="Tahoma"/>
        <family val="2"/>
      </rPr>
      <t>AE/AWB</t>
    </r>
    <r>
      <rPr>
        <sz val="11"/>
        <color rgb="FFFF0000"/>
        <rFont val="ＭＳ Ｐゴシック"/>
        <family val="3"/>
        <charset val="128"/>
      </rPr>
      <t>検波サイズが</t>
    </r>
    <r>
      <rPr>
        <sz val="11"/>
        <color rgb="FFFF0000"/>
        <rFont val="Tahoma"/>
        <family val="2"/>
      </rPr>
      <t>16x16</t>
    </r>
    <r>
      <rPr>
        <sz val="11"/>
        <color rgb="FFFF0000"/>
        <rFont val="ＭＳ Ｐゴシック"/>
        <family val="3"/>
        <charset val="128"/>
      </rPr>
      <t>の時は、</t>
    </r>
    <rPh sb="7" eb="9">
      <t>ケンパ</t>
    </rPh>
    <rPh sb="19" eb="20">
      <t>トキ</t>
    </rPh>
    <phoneticPr fontId="10"/>
  </si>
  <si>
    <t xml:space="preserve"> 　垂直方向を1/2に間引いて設定するため</t>
    <rPh sb="2" eb="4">
      <t>スイチョク</t>
    </rPh>
    <rPh sb="4" eb="6">
      <t>ホウコウ</t>
    </rPh>
    <rPh sb="11" eb="13">
      <t>マビ</t>
    </rPh>
    <rPh sb="15" eb="17">
      <t>セッテイ</t>
    </rPh>
    <phoneticPr fontId="10"/>
  </si>
  <si>
    <r>
      <rPr>
        <sz val="11"/>
        <color rgb="FFFF0000"/>
        <rFont val="ＭＳ Ｐゴシック"/>
        <family val="3"/>
        <charset val="128"/>
      </rPr>
      <t>　</t>
    </r>
    <r>
      <rPr>
        <sz val="11"/>
        <color rgb="FFFF0000"/>
        <rFont val="Tahoma"/>
        <family val="2"/>
      </rPr>
      <t xml:space="preserve"> </t>
    </r>
    <r>
      <rPr>
        <sz val="11"/>
        <color rgb="FFFF0000"/>
        <rFont val="ＭＳ Ｐゴシック"/>
        <family val="3"/>
        <charset val="128"/>
      </rPr>
      <t>奇数列を使用しないのでご注意ください。</t>
    </r>
    <rPh sb="14" eb="16">
      <t>チュウイ</t>
    </rPh>
    <phoneticPr fontId="10"/>
  </si>
  <si>
    <r>
      <t>ROM_MAP  PRO</t>
    </r>
    <r>
      <rPr>
        <sz val="10"/>
        <rFont val="ＭＳ Ｐゴシック"/>
        <family val="3"/>
        <charset val="128"/>
      </rPr>
      <t>マクロ</t>
    </r>
    <phoneticPr fontId="10"/>
  </si>
  <si>
    <r>
      <rPr>
        <sz val="11"/>
        <color rgb="FFFF0000"/>
        <rFont val="ＭＳ Ｐゴシック"/>
        <family val="3"/>
        <charset val="128"/>
      </rPr>
      <t>※重み係数は</t>
    </r>
    <r>
      <rPr>
        <sz val="11"/>
        <color rgb="FFFF0000"/>
        <rFont val="Tahoma"/>
        <family val="2"/>
      </rPr>
      <t>WD.c</t>
    </r>
    <r>
      <rPr>
        <sz val="11"/>
        <color rgb="FFFF0000"/>
        <rFont val="ＭＳ Ｐゴシック"/>
        <family val="3"/>
        <charset val="128"/>
      </rPr>
      <t>で変更できます。</t>
    </r>
    <rPh sb="1" eb="2">
      <t>オモ</t>
    </rPh>
    <rPh sb="3" eb="5">
      <t>ケイスウ</t>
    </rPh>
    <rPh sb="11" eb="13">
      <t>ヘンコウ</t>
    </rPh>
    <phoneticPr fontId="10"/>
  </si>
  <si>
    <t>K.Yokoyama</t>
    <phoneticPr fontId="11"/>
  </si>
  <si>
    <t>新規作成（RS_M9MO_DICAベース）</t>
    <rPh sb="0" eb="2">
      <t>シンキ</t>
    </rPh>
    <rPh sb="2" eb="4">
      <t>サクセイ</t>
    </rPh>
    <phoneticPr fontId="11"/>
  </si>
  <si>
    <t>M.Nagakura</t>
    <phoneticPr fontId="10"/>
  </si>
  <si>
    <t>SV/EV連動対応</t>
    <rPh sb="5" eb="7">
      <t>レンドウ</t>
    </rPh>
    <rPh sb="7" eb="9">
      <t>タイオウ</t>
    </rPh>
    <phoneticPr fontId="10"/>
  </si>
  <si>
    <t>Bayer Noise Reduction 1をMonitor, Still, HD, Full HDの4種類を持たせられるように</t>
    <rPh sb="53" eb="55">
      <t>シュルイ</t>
    </rPh>
    <rPh sb="56" eb="57">
      <t>モ</t>
    </rPh>
    <phoneticPr fontId="10"/>
  </si>
  <si>
    <t>T.Aizawa</t>
    <phoneticPr fontId="10"/>
  </si>
  <si>
    <t>Bayer resize率 6段対応</t>
    <phoneticPr fontId="10"/>
  </si>
  <si>
    <t>s</t>
    <phoneticPr fontId="10"/>
  </si>
  <si>
    <t>Y.Hanazono</t>
    <phoneticPr fontId="10"/>
  </si>
  <si>
    <t>SyncSV/EVコミット直前の本線の値を取り込み</t>
    <rPh sb="13" eb="15">
      <t>チョクゼン</t>
    </rPh>
    <rPh sb="16" eb="18">
      <t>ホンセン</t>
    </rPh>
    <rPh sb="19" eb="20">
      <t>アタイ</t>
    </rPh>
    <rPh sb="21" eb="22">
      <t>ト</t>
    </rPh>
    <rPh sb="23" eb="24">
      <t>コ</t>
    </rPh>
    <phoneticPr fontId="10"/>
  </si>
  <si>
    <t>Ikushima</t>
    <phoneticPr fontId="10"/>
  </si>
  <si>
    <t>ABGAR,ABGAG,ABGABの初期値を0x0000にして色収差をOFFにする</t>
    <rPh sb="18" eb="21">
      <t>ショキチ</t>
    </rPh>
    <rPh sb="31" eb="34">
      <t>イロシュウサ</t>
    </rPh>
    <phoneticPr fontId="10"/>
  </si>
  <si>
    <t>ikeda</t>
    <phoneticPr fontId="10"/>
  </si>
  <si>
    <t>CAG初期値入力</t>
    <rPh sb="3" eb="6">
      <t>ショキチ</t>
    </rPh>
    <rPh sb="6" eb="8">
      <t>ニュウリョク</t>
    </rPh>
    <phoneticPr fontId="10"/>
  </si>
  <si>
    <t>S.Takahashi</t>
    <phoneticPr fontId="10"/>
  </si>
  <si>
    <t>Knee/Deknee table 変更</t>
    <rPh sb="18" eb="20">
      <t>ヘンコウ</t>
    </rPh>
    <phoneticPr fontId="10"/>
  </si>
  <si>
    <t>BayerResize対応Memmap初期値入力</t>
    <rPh sb="11" eb="13">
      <t>タイオウ</t>
    </rPh>
    <rPh sb="19" eb="22">
      <t>ショキチ</t>
    </rPh>
    <rPh sb="22" eb="24">
      <t>ニュウリョク</t>
    </rPh>
    <phoneticPr fontId="10"/>
  </si>
  <si>
    <t>BayerResize対応Memmap調整値入力</t>
    <rPh sb="11" eb="13">
      <t>タイオウ</t>
    </rPh>
    <rPh sb="19" eb="22">
      <t>チョウセイチ</t>
    </rPh>
    <rPh sb="22" eb="24">
      <t>ニュウリョク</t>
    </rPh>
    <phoneticPr fontId="10"/>
  </si>
  <si>
    <t>ParamManageからパラメータ展開した1st FW(動作確認ＯＫ)</t>
    <phoneticPr fontId="10"/>
  </si>
  <si>
    <t>Yanagisawa</t>
    <phoneticPr fontId="10"/>
  </si>
  <si>
    <t>ikeda</t>
    <phoneticPr fontId="10"/>
  </si>
  <si>
    <t>CES向け preview indoor tuning</t>
    <rPh sb="3" eb="4">
      <t>ム</t>
    </rPh>
    <phoneticPr fontId="10"/>
  </si>
  <si>
    <t>Choi.SM</t>
    <phoneticPr fontId="10"/>
  </si>
  <si>
    <t>Choi.SM</t>
    <phoneticPr fontId="10"/>
  </si>
  <si>
    <t>KNEE_NEW, DeKnee_NEW反映</t>
    <phoneticPr fontId="10"/>
  </si>
  <si>
    <t>KneeDeknee 01/06 Parameter反映</t>
    <phoneticPr fontId="10"/>
  </si>
  <si>
    <t>ikeda</t>
    <phoneticPr fontId="10"/>
  </si>
  <si>
    <t>ISO50の動的欠陥補正を修正</t>
    <rPh sb="6" eb="8">
      <t>ドウテキ</t>
    </rPh>
    <rPh sb="8" eb="10">
      <t>ケッカン</t>
    </rPh>
    <rPh sb="10" eb="12">
      <t>ホセイ</t>
    </rPh>
    <rPh sb="13" eb="15">
      <t>シュウセイ</t>
    </rPh>
    <phoneticPr fontId="10"/>
  </si>
  <si>
    <t>still index4 更新、Knee,Deknee更新</t>
    <rPh sb="13" eb="15">
      <t>コウシン</t>
    </rPh>
    <rPh sb="27" eb="29">
      <t>コウシン</t>
    </rPh>
    <phoneticPr fontId="10"/>
  </si>
  <si>
    <t>ikeda</t>
    <phoneticPr fontId="10"/>
  </si>
  <si>
    <t>still tuning (信頼性試験)</t>
    <rPh sb="14" eb="17">
      <t>シンライセイ</t>
    </rPh>
    <rPh sb="17" eb="19">
      <t>シケン</t>
    </rPh>
    <phoneticPr fontId="10"/>
  </si>
  <si>
    <t>M.Nagakura</t>
  </si>
  <si>
    <t>Burst → Slow に名前を変更</t>
  </si>
  <si>
    <t>ikeda</t>
    <phoneticPr fontId="10"/>
  </si>
  <si>
    <t>still tuning</t>
    <phoneticPr fontId="10"/>
  </si>
  <si>
    <t>ikeda</t>
    <phoneticPr fontId="10"/>
  </si>
  <si>
    <t>OB変更, ELF index5,6修正(iso1600,3200)</t>
    <rPh sb="2" eb="4">
      <t>ヘンコウ</t>
    </rPh>
    <rPh sb="18" eb="20">
      <t>シュウセイ</t>
    </rPh>
    <phoneticPr fontId="10"/>
  </si>
  <si>
    <t>ikeda</t>
    <phoneticPr fontId="10"/>
  </si>
  <si>
    <t>still ELF index3,4,5,6修正</t>
    <rPh sb="22" eb="24">
      <t>シュウセイ</t>
    </rPh>
    <phoneticPr fontId="10"/>
  </si>
  <si>
    <t>ikeda</t>
    <phoneticPr fontId="10"/>
  </si>
  <si>
    <t>OB value change</t>
    <phoneticPr fontId="10"/>
  </si>
  <si>
    <t>ikeda</t>
    <phoneticPr fontId="10"/>
  </si>
  <si>
    <t>PRO2の 12bit対応用(OB, Deknee, ELF)</t>
    <rPh sb="11" eb="13">
      <t>タイオウ</t>
    </rPh>
    <rPh sb="13" eb="14">
      <t>ヨウ</t>
    </rPh>
    <phoneticPr fontId="10"/>
  </si>
  <si>
    <t>Choi.SM</t>
    <phoneticPr fontId="10"/>
  </si>
  <si>
    <t>OB_Sync_Gain, OB_Value修正</t>
    <phoneticPr fontId="10"/>
  </si>
  <si>
    <t>120fps Monitor, Panorama OB_Value修正</t>
    <phoneticPr fontId="10"/>
  </si>
  <si>
    <t>AE_WEIGHT_MAP.BIN</t>
    <phoneticPr fontId="10"/>
  </si>
  <si>
    <t>ae_weight_map.h</t>
    <phoneticPr fontId="11"/>
  </si>
  <si>
    <t>AE_WEIGHT_MAP_SECTION</t>
    <phoneticPr fontId="11"/>
  </si>
  <si>
    <r>
      <t>ae_weight_map.</t>
    </r>
    <r>
      <rPr>
        <sz val="11"/>
        <rFont val="Tahoma"/>
        <family val="2"/>
      </rPr>
      <t>c</t>
    </r>
    <phoneticPr fontId="11"/>
  </si>
  <si>
    <t>AE_WEIGHT_MEM</t>
    <phoneticPr fontId="11"/>
  </si>
  <si>
    <t>_AE_Weight_map</t>
    <phoneticPr fontId="11"/>
  </si>
  <si>
    <t>K.Aso</t>
    <phoneticPr fontId="10"/>
  </si>
  <si>
    <t>User setting weight table 2をROIに利用(テーブル名をUsed by Touch AEに変更)</t>
    <rPh sb="32" eb="34">
      <t>リヨウ</t>
    </rPh>
    <phoneticPr fontId="10"/>
  </si>
  <si>
    <t>H.Ozawa</t>
    <phoneticPr fontId="10"/>
  </si>
  <si>
    <t>2.Center-weighted average 1 (Storage to ROM)</t>
    <phoneticPr fontId="11"/>
  </si>
  <si>
    <t>Center-weighted average 1 を変更。下寄りの重み調整を中心位置に変更。</t>
    <rPh sb="27" eb="29">
      <t>ヘンコウ</t>
    </rPh>
    <rPh sb="30" eb="31">
      <t>シタ</t>
    </rPh>
    <rPh sb="31" eb="32">
      <t>ヨ</t>
    </rPh>
    <rPh sb="34" eb="35">
      <t>オモ</t>
    </rPh>
    <rPh sb="36" eb="38">
      <t>チョウセイ</t>
    </rPh>
    <rPh sb="39" eb="41">
      <t>チュウシン</t>
    </rPh>
    <rPh sb="41" eb="43">
      <t>イチ</t>
    </rPh>
    <rPh sb="44" eb="46">
      <t>ヘンコウ</t>
    </rPh>
    <phoneticPr fontId="10"/>
  </si>
  <si>
    <t>Center-weighted average 2 を変更。</t>
    <rPh sb="27" eb="29">
      <t>ヘンコウシタヨオモチョウセイチュウシンイチヘンコウ</t>
    </rPh>
    <phoneticPr fontId="10"/>
  </si>
  <si>
    <t>ChunHJ</t>
    <phoneticPr fontId="10"/>
  </si>
  <si>
    <t>Center-weighted average 2 を変更。 (LG Project 基本 tableで使用)</t>
    <rPh sb="27" eb="29">
      <t>ヘンコウシタヨオモチョウセイチュウシンイチヘンコウ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</si>
  <si>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1/16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</si>
  <si>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2/16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</si>
  <si>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3/16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</si>
  <si>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4/16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</si>
  <si>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5/16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</si>
  <si>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6/16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</si>
  <si>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7/16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</si>
  <si>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8/16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</si>
  <si>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9/16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</si>
  <si>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10/16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</si>
  <si>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11/16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</si>
  <si>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12/16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</si>
  <si>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13/16</t>
    </r>
    <rPh sb="0" eb="2">
      <t>セキサン</t>
    </rPh>
    <rPh sb="2" eb="4">
      <t>ケッカ</t>
    </rPh>
    <phoneticPr fontId="10"/>
  </si>
  <si>
    <r>
      <rPr>
        <sz val="11"/>
        <rFont val="ＭＳ Ｐゴシック"/>
        <family val="3"/>
        <charset val="128"/>
      </rPr>
      <t>積算結果</t>
    </r>
    <r>
      <rPr>
        <sz val="11"/>
        <rFont val="Tahoma"/>
        <family val="2"/>
      </rPr>
      <t xml:space="preserve"> * 14/16</t>
    </r>
    <rPh sb="0" eb="2">
      <t>セキサン</t>
    </rPh>
    <rPh sb="2" eb="4">
      <t>ケッカ</t>
    </rPh>
    <phoneticPr fontId="10"/>
  </si>
  <si>
    <r>
      <rPr>
        <sz val="11"/>
        <color rgb="FFFFFF00"/>
        <rFont val="ＭＳ Ｐゴシック"/>
        <family val="3"/>
        <charset val="128"/>
      </rPr>
      <t>積算結果</t>
    </r>
    <r>
      <rPr>
        <sz val="11"/>
        <color rgb="FFFFFF00"/>
        <rFont val="Tahoma"/>
        <family val="2"/>
      </rPr>
      <t xml:space="preserve"> * 15/16</t>
    </r>
    <rPh sb="0" eb="2">
      <t>セキサン</t>
    </rPh>
    <rPh sb="2" eb="4">
      <t>ケッカ</t>
    </rPh>
    <phoneticPr fontId="10"/>
  </si>
  <si>
    <t>10.Portrait Multi Pattern        ( 0 degree clockwise )</t>
    <phoneticPr fontId="11"/>
  </si>
  <si>
    <t>11.Landscape Multi Pattern    ( 90 degree clockwise )</t>
    <phoneticPr fontId="11"/>
  </si>
  <si>
    <t>12.Portrait Multi Pattern 2      ( 180 degree clockwise )</t>
    <phoneticPr fontId="11"/>
  </si>
  <si>
    <t>13.Landscape Multi Pattern 2  ( 270 degree clockwise )</t>
    <phoneticPr fontId="11"/>
  </si>
  <si>
    <t>9.Used by FD (Storage to ROM)</t>
    <phoneticPr fontId="11"/>
  </si>
  <si>
    <t>8.Used by Touch AE (Storage to ROM)</t>
    <phoneticPr fontId="11"/>
  </si>
  <si>
    <t>Used by Touch AE</t>
    <phoneticPr fontId="11"/>
  </si>
  <si>
    <t>Portrait Multi Pattern        ( 0 degree clockwise )</t>
    <phoneticPr fontId="11"/>
  </si>
  <si>
    <t>Portrait Multi Pattern       ( 90 degree clockwise )</t>
    <phoneticPr fontId="11"/>
  </si>
  <si>
    <t>Portrait Multi Pattern        (180 degree clockwise )</t>
    <phoneticPr fontId="11"/>
  </si>
  <si>
    <t>Portrait Multi Pattern        (270 degree clockwise )</t>
    <phoneticPr fontId="11"/>
  </si>
  <si>
    <t>User setting weight table 1</t>
    <phoneticPr fontId="11"/>
  </si>
  <si>
    <t>Used by FD</t>
    <phoneticPr fontId="11"/>
  </si>
  <si>
    <t>Smartisanのテーブルマージ。Used by Touch AE以降に追加。</t>
    <rPh sb="34" eb="36">
      <t>イコウ</t>
    </rPh>
    <rPh sb="37" eb="39">
      <t>ツイカ</t>
    </rPh>
    <phoneticPr fontId="10"/>
  </si>
  <si>
    <t>0x00000000</t>
    <phoneticPr fontId="10"/>
  </si>
  <si>
    <t>0x00000002</t>
    <phoneticPr fontId="10"/>
  </si>
  <si>
    <t>0x00000004</t>
    <phoneticPr fontId="10"/>
  </si>
  <si>
    <t>0x00000006</t>
    <phoneticPr fontId="10"/>
  </si>
  <si>
    <t>0x00000008</t>
    <phoneticPr fontId="10"/>
  </si>
  <si>
    <t>0x0000000A</t>
    <phoneticPr fontId="10"/>
  </si>
  <si>
    <t>0x0000000C</t>
    <phoneticPr fontId="10"/>
  </si>
  <si>
    <t>0x0000000E</t>
    <phoneticPr fontId="10"/>
  </si>
  <si>
    <t>0x00000010</t>
    <phoneticPr fontId="10"/>
  </si>
  <si>
    <t>0x00000012</t>
    <phoneticPr fontId="10"/>
  </si>
  <si>
    <t>0x00000014</t>
    <phoneticPr fontId="10"/>
  </si>
  <si>
    <t>0x00000016</t>
    <phoneticPr fontId="10"/>
  </si>
  <si>
    <t>0x00000018</t>
    <phoneticPr fontId="10"/>
  </si>
  <si>
    <t>0x0000001A</t>
    <phoneticPr fontId="10"/>
  </si>
  <si>
    <t>0x0000001C</t>
    <phoneticPr fontId="10"/>
  </si>
  <si>
    <t>0x0000001E</t>
    <phoneticPr fontId="10"/>
  </si>
  <si>
    <t>0x00000020</t>
    <phoneticPr fontId="10"/>
  </si>
  <si>
    <t>0x00000022</t>
    <phoneticPr fontId="10"/>
  </si>
  <si>
    <t>0x00000024</t>
    <phoneticPr fontId="10"/>
  </si>
  <si>
    <t>0x00000026</t>
    <phoneticPr fontId="10"/>
  </si>
  <si>
    <t>0x00000028</t>
    <phoneticPr fontId="10"/>
  </si>
  <si>
    <t>0x0000002A</t>
    <phoneticPr fontId="10"/>
  </si>
  <si>
    <t>0x0000002C</t>
    <phoneticPr fontId="10"/>
  </si>
  <si>
    <t>0x0000002E</t>
    <phoneticPr fontId="10"/>
  </si>
  <si>
    <t>0x00000030</t>
    <phoneticPr fontId="10"/>
  </si>
  <si>
    <t>0x00000032</t>
    <phoneticPr fontId="10"/>
  </si>
  <si>
    <t>0x00000034</t>
    <phoneticPr fontId="10"/>
  </si>
  <si>
    <t>0x00000036</t>
    <phoneticPr fontId="10"/>
  </si>
  <si>
    <t>0x00000038</t>
    <phoneticPr fontId="10"/>
  </si>
  <si>
    <t>0x0000003A</t>
    <phoneticPr fontId="10"/>
  </si>
  <si>
    <t>0x0000003C</t>
    <phoneticPr fontId="10"/>
  </si>
  <si>
    <t>0x0000003E</t>
    <phoneticPr fontId="10"/>
  </si>
  <si>
    <t>0x00000040</t>
    <phoneticPr fontId="10"/>
  </si>
  <si>
    <t>0x00000042</t>
    <phoneticPr fontId="10"/>
  </si>
  <si>
    <t>0x00000044</t>
    <phoneticPr fontId="10"/>
  </si>
  <si>
    <t>0x00000046</t>
    <phoneticPr fontId="10"/>
  </si>
  <si>
    <t>0x00000048</t>
    <phoneticPr fontId="10"/>
  </si>
  <si>
    <t>0x0000004A</t>
    <phoneticPr fontId="10"/>
  </si>
  <si>
    <t>0x0000004C</t>
    <phoneticPr fontId="10"/>
  </si>
  <si>
    <t>0x0000004E</t>
    <phoneticPr fontId="10"/>
  </si>
  <si>
    <t>0x00000050</t>
    <phoneticPr fontId="10"/>
  </si>
  <si>
    <t>0x00000052</t>
    <phoneticPr fontId="10"/>
  </si>
  <si>
    <t>0x00000054</t>
    <phoneticPr fontId="10"/>
  </si>
  <si>
    <t>0x00000056</t>
    <phoneticPr fontId="10"/>
  </si>
  <si>
    <t>0x00000058</t>
    <phoneticPr fontId="10"/>
  </si>
  <si>
    <t>0x0000005A</t>
    <phoneticPr fontId="10"/>
  </si>
  <si>
    <t>0x0000005C</t>
    <phoneticPr fontId="10"/>
  </si>
  <si>
    <t>0x0000005E</t>
    <phoneticPr fontId="10"/>
  </si>
  <si>
    <t>0x00000060</t>
    <phoneticPr fontId="10"/>
  </si>
  <si>
    <t>0x00000062</t>
    <phoneticPr fontId="10"/>
  </si>
  <si>
    <t>0x00000064</t>
    <phoneticPr fontId="10"/>
  </si>
  <si>
    <t>0x00000066</t>
    <phoneticPr fontId="10"/>
  </si>
  <si>
    <t>0x00000068</t>
    <phoneticPr fontId="10"/>
  </si>
  <si>
    <t>0x0000006A</t>
    <phoneticPr fontId="10"/>
  </si>
  <si>
    <t>0x0000006C</t>
    <phoneticPr fontId="10"/>
  </si>
  <si>
    <t>0x0000006E</t>
    <phoneticPr fontId="10"/>
  </si>
  <si>
    <t>0x00000070</t>
    <phoneticPr fontId="10"/>
  </si>
  <si>
    <t>0x00000072</t>
    <phoneticPr fontId="10"/>
  </si>
  <si>
    <t>0x00000074</t>
    <phoneticPr fontId="10"/>
  </si>
  <si>
    <t>0x00000076</t>
    <phoneticPr fontId="10"/>
  </si>
  <si>
    <t>0x00000078</t>
    <phoneticPr fontId="10"/>
  </si>
  <si>
    <t>0x0000007A</t>
    <phoneticPr fontId="10"/>
  </si>
  <si>
    <t>0x0000007C</t>
    <phoneticPr fontId="10"/>
  </si>
  <si>
    <t>0x0000007E</t>
    <phoneticPr fontId="10"/>
  </si>
  <si>
    <t>0x00000080</t>
    <phoneticPr fontId="10"/>
  </si>
  <si>
    <t>0x00000082</t>
    <phoneticPr fontId="10"/>
  </si>
  <si>
    <t>0x00000084</t>
    <phoneticPr fontId="10"/>
  </si>
  <si>
    <t>0x00000086</t>
    <phoneticPr fontId="10"/>
  </si>
  <si>
    <t>0x00000088</t>
    <phoneticPr fontId="10"/>
  </si>
  <si>
    <t>0x0000008A</t>
    <phoneticPr fontId="10"/>
  </si>
  <si>
    <t>0x0000008C</t>
    <phoneticPr fontId="10"/>
  </si>
  <si>
    <t>0x0000008E</t>
    <phoneticPr fontId="10"/>
  </si>
  <si>
    <t>0x00000090</t>
    <phoneticPr fontId="10"/>
  </si>
  <si>
    <t>0x00000092</t>
    <phoneticPr fontId="10"/>
  </si>
  <si>
    <t>0x00000094</t>
    <phoneticPr fontId="10"/>
  </si>
  <si>
    <t>0x00000096</t>
    <phoneticPr fontId="10"/>
  </si>
  <si>
    <t>0x00000098</t>
    <phoneticPr fontId="10"/>
  </si>
  <si>
    <t>0x0000009A</t>
    <phoneticPr fontId="10"/>
  </si>
  <si>
    <t>0x0000009C</t>
    <phoneticPr fontId="10"/>
  </si>
  <si>
    <t>0x0000009E</t>
    <phoneticPr fontId="10"/>
  </si>
  <si>
    <t>0x000000A0</t>
    <phoneticPr fontId="10"/>
  </si>
  <si>
    <t>0x000000A2</t>
    <phoneticPr fontId="10"/>
  </si>
  <si>
    <t>0x000000A4</t>
    <phoneticPr fontId="10"/>
  </si>
  <si>
    <t>0x000000A6</t>
    <phoneticPr fontId="10"/>
  </si>
  <si>
    <t>0x000000A8</t>
    <phoneticPr fontId="10"/>
  </si>
  <si>
    <t>0x000000AA</t>
    <phoneticPr fontId="10"/>
  </si>
  <si>
    <t>0x000000AC</t>
    <phoneticPr fontId="10"/>
  </si>
  <si>
    <t>0x000000AE</t>
    <phoneticPr fontId="10"/>
  </si>
  <si>
    <t>0x000000B0</t>
    <phoneticPr fontId="10"/>
  </si>
  <si>
    <t>0x000000B2</t>
    <phoneticPr fontId="10"/>
  </si>
  <si>
    <t>0x000000B4</t>
    <phoneticPr fontId="10"/>
  </si>
  <si>
    <t>0x000000B6</t>
    <phoneticPr fontId="10"/>
  </si>
  <si>
    <t>0x000000B8</t>
    <phoneticPr fontId="10"/>
  </si>
  <si>
    <t>0x000000BA</t>
    <phoneticPr fontId="10"/>
  </si>
  <si>
    <t>0x000000BC</t>
    <phoneticPr fontId="10"/>
  </si>
  <si>
    <t>0x000000BE</t>
    <phoneticPr fontId="10"/>
  </si>
  <si>
    <t>0x000000C0</t>
    <phoneticPr fontId="10"/>
  </si>
  <si>
    <t>0x000000C2</t>
    <phoneticPr fontId="10"/>
  </si>
  <si>
    <t>0x000000C4</t>
    <phoneticPr fontId="10"/>
  </si>
  <si>
    <t>0x000000C6</t>
    <phoneticPr fontId="10"/>
  </si>
  <si>
    <t>0x000000C8</t>
    <phoneticPr fontId="10"/>
  </si>
  <si>
    <t>0x000000CA</t>
    <phoneticPr fontId="10"/>
  </si>
  <si>
    <t>0x000000CC</t>
    <phoneticPr fontId="10"/>
  </si>
  <si>
    <t>0x000000CE</t>
    <phoneticPr fontId="10"/>
  </si>
  <si>
    <t>0x000000D0</t>
    <phoneticPr fontId="10"/>
  </si>
  <si>
    <t>0x000000D2</t>
    <phoneticPr fontId="10"/>
  </si>
  <si>
    <t>0x000000D4</t>
    <phoneticPr fontId="10"/>
  </si>
  <si>
    <t>0x000000D6</t>
    <phoneticPr fontId="10"/>
  </si>
  <si>
    <t>0x000000D8</t>
    <phoneticPr fontId="10"/>
  </si>
  <si>
    <t>0x000000DA</t>
    <phoneticPr fontId="10"/>
  </si>
  <si>
    <t>0x000000DC</t>
    <phoneticPr fontId="10"/>
  </si>
  <si>
    <t>0x000000DE</t>
    <phoneticPr fontId="10"/>
  </si>
  <si>
    <t>0x000000E0</t>
    <phoneticPr fontId="10"/>
  </si>
  <si>
    <t>0x000000E2</t>
    <phoneticPr fontId="10"/>
  </si>
  <si>
    <t>0x000000E4</t>
    <phoneticPr fontId="10"/>
  </si>
  <si>
    <t>0x000000E6</t>
    <phoneticPr fontId="10"/>
  </si>
  <si>
    <t>0x000000E8</t>
    <phoneticPr fontId="10"/>
  </si>
  <si>
    <t>0x000000EA</t>
    <phoneticPr fontId="10"/>
  </si>
  <si>
    <t>0x000000EC</t>
    <phoneticPr fontId="10"/>
  </si>
  <si>
    <t>0x000000EE</t>
    <phoneticPr fontId="10"/>
  </si>
  <si>
    <t>0x000000F0</t>
    <phoneticPr fontId="10"/>
  </si>
  <si>
    <t>0x000000F2</t>
    <phoneticPr fontId="10"/>
  </si>
  <si>
    <t>0x000000F4</t>
    <phoneticPr fontId="10"/>
  </si>
  <si>
    <t>0x000000F6</t>
    <phoneticPr fontId="10"/>
  </si>
  <si>
    <t>0x000000F8</t>
    <phoneticPr fontId="10"/>
  </si>
  <si>
    <t>0x000000FA</t>
    <phoneticPr fontId="10"/>
  </si>
  <si>
    <t>0x000000FC</t>
    <phoneticPr fontId="10"/>
  </si>
  <si>
    <t>0x000000FE</t>
    <phoneticPr fontId="10"/>
  </si>
  <si>
    <t>0x00000100</t>
    <phoneticPr fontId="10"/>
  </si>
  <si>
    <t>0x00000102</t>
    <phoneticPr fontId="10"/>
  </si>
  <si>
    <t>0x00000104</t>
    <phoneticPr fontId="10"/>
  </si>
  <si>
    <t>0x00000106</t>
    <phoneticPr fontId="10"/>
  </si>
  <si>
    <t>0x00000108</t>
    <phoneticPr fontId="10"/>
  </si>
  <si>
    <t>0x0000010A</t>
    <phoneticPr fontId="10"/>
  </si>
  <si>
    <t>0x0000010C</t>
    <phoneticPr fontId="10"/>
  </si>
  <si>
    <t>0x0000010E</t>
    <phoneticPr fontId="10"/>
  </si>
  <si>
    <t>0x00000110</t>
    <phoneticPr fontId="10"/>
  </si>
  <si>
    <t>0x00000112</t>
    <phoneticPr fontId="10"/>
  </si>
  <si>
    <t>0x00000114</t>
    <phoneticPr fontId="10"/>
  </si>
  <si>
    <t>0x00000116</t>
    <phoneticPr fontId="10"/>
  </si>
  <si>
    <t>0x00000118</t>
    <phoneticPr fontId="10"/>
  </si>
  <si>
    <t>0x0000011A</t>
    <phoneticPr fontId="10"/>
  </si>
  <si>
    <t>0x0000011C</t>
    <phoneticPr fontId="10"/>
  </si>
  <si>
    <t>0x0000011E</t>
    <phoneticPr fontId="10"/>
  </si>
  <si>
    <t>0x00000120</t>
    <phoneticPr fontId="10"/>
  </si>
  <si>
    <t>0x00000122</t>
    <phoneticPr fontId="10"/>
  </si>
  <si>
    <t>0x00000124</t>
    <phoneticPr fontId="10"/>
  </si>
  <si>
    <t>0x00000126</t>
    <phoneticPr fontId="10"/>
  </si>
  <si>
    <t>0x00000128</t>
    <phoneticPr fontId="10"/>
  </si>
  <si>
    <t>0x0000012A</t>
    <phoneticPr fontId="10"/>
  </si>
  <si>
    <t>0x0000012C</t>
    <phoneticPr fontId="10"/>
  </si>
  <si>
    <t>0x0000012E</t>
    <phoneticPr fontId="10"/>
  </si>
  <si>
    <t>0x00000130</t>
    <phoneticPr fontId="10"/>
  </si>
  <si>
    <t>0x00000132</t>
    <phoneticPr fontId="10"/>
  </si>
  <si>
    <t>0x00000134</t>
    <phoneticPr fontId="10"/>
  </si>
  <si>
    <t>0x00000136</t>
    <phoneticPr fontId="10"/>
  </si>
  <si>
    <t>0x00000138</t>
    <phoneticPr fontId="10"/>
  </si>
  <si>
    <t>0x0000013A</t>
    <phoneticPr fontId="10"/>
  </si>
  <si>
    <t>0x0000013C</t>
    <phoneticPr fontId="10"/>
  </si>
  <si>
    <t>0x0000013E</t>
    <phoneticPr fontId="10"/>
  </si>
  <si>
    <t>0x00000140</t>
    <phoneticPr fontId="10"/>
  </si>
  <si>
    <t>0x00000142</t>
    <phoneticPr fontId="10"/>
  </si>
  <si>
    <t>0x00000144</t>
    <phoneticPr fontId="10"/>
  </si>
  <si>
    <t>0x00000146</t>
    <phoneticPr fontId="10"/>
  </si>
  <si>
    <t>0x00000148</t>
    <phoneticPr fontId="10"/>
  </si>
  <si>
    <t>0x0000014A</t>
    <phoneticPr fontId="10"/>
  </si>
  <si>
    <t>0x0000014C</t>
    <phoneticPr fontId="10"/>
  </si>
  <si>
    <t>0x0000014E</t>
    <phoneticPr fontId="10"/>
  </si>
  <si>
    <t>0x00000150</t>
    <phoneticPr fontId="10"/>
  </si>
  <si>
    <t>0x00000152</t>
    <phoneticPr fontId="10"/>
  </si>
  <si>
    <t>0x00000154</t>
    <phoneticPr fontId="10"/>
  </si>
  <si>
    <t>0x00000156</t>
    <phoneticPr fontId="10"/>
  </si>
  <si>
    <t>0x00000158</t>
    <phoneticPr fontId="10"/>
  </si>
  <si>
    <t>0x0000015A</t>
    <phoneticPr fontId="10"/>
  </si>
  <si>
    <t>0x0000015C</t>
    <phoneticPr fontId="10"/>
  </si>
  <si>
    <t>0x0000015E</t>
    <phoneticPr fontId="10"/>
  </si>
  <si>
    <t>0x00000160</t>
    <phoneticPr fontId="10"/>
  </si>
  <si>
    <t>0x00000162</t>
    <phoneticPr fontId="10"/>
  </si>
  <si>
    <t>0x00000164</t>
    <phoneticPr fontId="10"/>
  </si>
  <si>
    <t>0x00000166</t>
    <phoneticPr fontId="10"/>
  </si>
  <si>
    <t>0x00000168</t>
    <phoneticPr fontId="10"/>
  </si>
  <si>
    <t>0x0000016A</t>
    <phoneticPr fontId="10"/>
  </si>
  <si>
    <t>0x0000016C</t>
    <phoneticPr fontId="10"/>
  </si>
  <si>
    <t>0x0000016E</t>
    <phoneticPr fontId="10"/>
  </si>
  <si>
    <t>0x00000170</t>
    <phoneticPr fontId="10"/>
  </si>
  <si>
    <t>0x00000172</t>
    <phoneticPr fontId="10"/>
  </si>
  <si>
    <t>0x00000174</t>
    <phoneticPr fontId="10"/>
  </si>
  <si>
    <t>0x00000176</t>
    <phoneticPr fontId="10"/>
  </si>
  <si>
    <t>0x00000178</t>
    <phoneticPr fontId="10"/>
  </si>
  <si>
    <t>0x0000017A</t>
    <phoneticPr fontId="10"/>
  </si>
  <si>
    <t>0x0000017C</t>
    <phoneticPr fontId="10"/>
  </si>
  <si>
    <t>0x0000017E</t>
    <phoneticPr fontId="10"/>
  </si>
  <si>
    <t>0x00000180</t>
    <phoneticPr fontId="10"/>
  </si>
  <si>
    <t>0x00000182</t>
    <phoneticPr fontId="10"/>
  </si>
  <si>
    <t>0x00000184</t>
    <phoneticPr fontId="10"/>
  </si>
  <si>
    <t>0x00000186</t>
    <phoneticPr fontId="10"/>
  </si>
  <si>
    <t>0x00000188</t>
    <phoneticPr fontId="10"/>
  </si>
  <si>
    <t>0x0000018A</t>
    <phoneticPr fontId="10"/>
  </si>
  <si>
    <t>0x0000018C</t>
    <phoneticPr fontId="10"/>
  </si>
  <si>
    <t>0x0000018E</t>
    <phoneticPr fontId="10"/>
  </si>
  <si>
    <t>0x00000190</t>
    <phoneticPr fontId="10"/>
  </si>
  <si>
    <t>0x00000192</t>
    <phoneticPr fontId="10"/>
  </si>
  <si>
    <t>0x00000194</t>
    <phoneticPr fontId="10"/>
  </si>
  <si>
    <t>0x00000196</t>
    <phoneticPr fontId="10"/>
  </si>
  <si>
    <t>0x00000198</t>
    <phoneticPr fontId="10"/>
  </si>
  <si>
    <t>0x0000019A</t>
    <phoneticPr fontId="10"/>
  </si>
  <si>
    <t>0x0000019C</t>
    <phoneticPr fontId="10"/>
  </si>
  <si>
    <t>0x0000019E</t>
    <phoneticPr fontId="10"/>
  </si>
  <si>
    <t>0x000001A0</t>
    <phoneticPr fontId="10"/>
  </si>
  <si>
    <t>0x000001A2</t>
    <phoneticPr fontId="10"/>
  </si>
  <si>
    <t>0x000001A4</t>
    <phoneticPr fontId="10"/>
  </si>
  <si>
    <t>0x000001A6</t>
    <phoneticPr fontId="10"/>
  </si>
  <si>
    <t>0x000001A8</t>
    <phoneticPr fontId="10"/>
  </si>
  <si>
    <t>0x000001AA</t>
    <phoneticPr fontId="10"/>
  </si>
  <si>
    <t>0x000001AC</t>
    <phoneticPr fontId="10"/>
  </si>
  <si>
    <t>0x000001AE</t>
    <phoneticPr fontId="10"/>
  </si>
  <si>
    <t>0x000001B0</t>
    <phoneticPr fontId="10"/>
  </si>
  <si>
    <t>0x000001B2</t>
    <phoneticPr fontId="10"/>
  </si>
  <si>
    <t>0x000001B4</t>
    <phoneticPr fontId="10"/>
  </si>
  <si>
    <t>0x000001B6</t>
    <phoneticPr fontId="10"/>
  </si>
  <si>
    <t>0x000001B8</t>
    <phoneticPr fontId="10"/>
  </si>
  <si>
    <t>0x000001BA</t>
    <phoneticPr fontId="10"/>
  </si>
  <si>
    <t>0x000001BC</t>
    <phoneticPr fontId="10"/>
  </si>
  <si>
    <t>0x000001BE</t>
    <phoneticPr fontId="10"/>
  </si>
  <si>
    <t>0x000001C0</t>
    <phoneticPr fontId="10"/>
  </si>
  <si>
    <t>0x000001C2</t>
    <phoneticPr fontId="10"/>
  </si>
  <si>
    <t>0x000001C4</t>
    <phoneticPr fontId="10"/>
  </si>
  <si>
    <t>0x000001C6</t>
    <phoneticPr fontId="10"/>
  </si>
  <si>
    <t>0x000001C8</t>
    <phoneticPr fontId="10"/>
  </si>
  <si>
    <t>0x000001CA</t>
    <phoneticPr fontId="10"/>
  </si>
  <si>
    <t>0x000001CC</t>
    <phoneticPr fontId="10"/>
  </si>
  <si>
    <t>0x000001CE</t>
    <phoneticPr fontId="10"/>
  </si>
  <si>
    <t>0x000001D0</t>
    <phoneticPr fontId="10"/>
  </si>
  <si>
    <t>0x000001D2</t>
    <phoneticPr fontId="10"/>
  </si>
  <si>
    <t>0x000001D4</t>
    <phoneticPr fontId="10"/>
  </si>
  <si>
    <t>0x000001D6</t>
    <phoneticPr fontId="10"/>
  </si>
  <si>
    <t>0x000001D8</t>
    <phoneticPr fontId="10"/>
  </si>
  <si>
    <t>0x000001DA</t>
    <phoneticPr fontId="10"/>
  </si>
  <si>
    <t>0x000001DC</t>
    <phoneticPr fontId="10"/>
  </si>
  <si>
    <t>0x000001DE</t>
    <phoneticPr fontId="10"/>
  </si>
  <si>
    <t>0x000001E0</t>
    <phoneticPr fontId="10"/>
  </si>
  <si>
    <t>0x000001E2</t>
    <phoneticPr fontId="10"/>
  </si>
  <si>
    <t>0x000001E4</t>
    <phoneticPr fontId="10"/>
  </si>
  <si>
    <t>0x000001E6</t>
    <phoneticPr fontId="10"/>
  </si>
  <si>
    <t>0x000001E8</t>
    <phoneticPr fontId="10"/>
  </si>
  <si>
    <t>0x000001EA</t>
    <phoneticPr fontId="10"/>
  </si>
  <si>
    <t>0x000001EC</t>
    <phoneticPr fontId="10"/>
  </si>
  <si>
    <t>0x000001EE</t>
    <phoneticPr fontId="10"/>
  </si>
  <si>
    <t>0x000001F0</t>
    <phoneticPr fontId="10"/>
  </si>
  <si>
    <t>0x000001F2</t>
    <phoneticPr fontId="10"/>
  </si>
  <si>
    <t>0x000001F4</t>
    <phoneticPr fontId="10"/>
  </si>
  <si>
    <t>0x000001F6</t>
    <phoneticPr fontId="10"/>
  </si>
  <si>
    <t>0x000001F8</t>
    <phoneticPr fontId="10"/>
  </si>
  <si>
    <t>0x000001FA</t>
    <phoneticPr fontId="10"/>
  </si>
  <si>
    <t>0x000001FC</t>
    <phoneticPr fontId="10"/>
  </si>
  <si>
    <t>0x000001FE</t>
    <phoneticPr fontId="10"/>
  </si>
  <si>
    <t>0x00000200</t>
    <phoneticPr fontId="10"/>
  </si>
  <si>
    <t>0x00000202</t>
    <phoneticPr fontId="10"/>
  </si>
  <si>
    <t>0x00000204</t>
    <phoneticPr fontId="10"/>
  </si>
  <si>
    <t>0x00000206</t>
    <phoneticPr fontId="10"/>
  </si>
  <si>
    <t>0x00000208</t>
    <phoneticPr fontId="10"/>
  </si>
  <si>
    <t>0x0000020A</t>
    <phoneticPr fontId="10"/>
  </si>
  <si>
    <t>0x0000020C</t>
    <phoneticPr fontId="10"/>
  </si>
  <si>
    <t>0x0000020E</t>
    <phoneticPr fontId="10"/>
  </si>
  <si>
    <t>0x00000210</t>
    <phoneticPr fontId="10"/>
  </si>
  <si>
    <t>0x00000212</t>
    <phoneticPr fontId="10"/>
  </si>
  <si>
    <t>0x00000214</t>
    <phoneticPr fontId="10"/>
  </si>
  <si>
    <t>0x00000216</t>
    <phoneticPr fontId="10"/>
  </si>
  <si>
    <t>0x00000218</t>
    <phoneticPr fontId="10"/>
  </si>
  <si>
    <t>0x0000021A</t>
    <phoneticPr fontId="10"/>
  </si>
  <si>
    <t>0x0000021C</t>
    <phoneticPr fontId="10"/>
  </si>
  <si>
    <t>0x0000021E</t>
    <phoneticPr fontId="10"/>
  </si>
  <si>
    <t>0x00000220</t>
    <phoneticPr fontId="10"/>
  </si>
  <si>
    <t>0x00000222</t>
    <phoneticPr fontId="10"/>
  </si>
  <si>
    <t>0x00000224</t>
    <phoneticPr fontId="10"/>
  </si>
  <si>
    <t>0x00000226</t>
    <phoneticPr fontId="10"/>
  </si>
  <si>
    <t>0x00000228</t>
    <phoneticPr fontId="10"/>
  </si>
  <si>
    <t>0x0000022A</t>
    <phoneticPr fontId="10"/>
  </si>
  <si>
    <t>0x0000022C</t>
    <phoneticPr fontId="10"/>
  </si>
  <si>
    <t>0x0000022E</t>
    <phoneticPr fontId="10"/>
  </si>
  <si>
    <t>0x00000230</t>
    <phoneticPr fontId="10"/>
  </si>
  <si>
    <t>0x00000232</t>
    <phoneticPr fontId="10"/>
  </si>
  <si>
    <t>0x00000234</t>
    <phoneticPr fontId="10"/>
  </si>
  <si>
    <t>0x00000236</t>
    <phoneticPr fontId="10"/>
  </si>
  <si>
    <t>0x00000238</t>
    <phoneticPr fontId="10"/>
  </si>
  <si>
    <t>0x0000023A</t>
    <phoneticPr fontId="10"/>
  </si>
  <si>
    <t>0x0000023C</t>
    <phoneticPr fontId="10"/>
  </si>
  <si>
    <t>0x0000023E</t>
    <phoneticPr fontId="10"/>
  </si>
  <si>
    <t>0x00000240</t>
    <phoneticPr fontId="10"/>
  </si>
  <si>
    <t>0x00000242</t>
    <phoneticPr fontId="10"/>
  </si>
  <si>
    <t>0x00000244</t>
    <phoneticPr fontId="10"/>
  </si>
  <si>
    <t>0x00000246</t>
    <phoneticPr fontId="10"/>
  </si>
  <si>
    <t>0x00000248</t>
    <phoneticPr fontId="10"/>
  </si>
  <si>
    <t>0x0000024A</t>
    <phoneticPr fontId="10"/>
  </si>
  <si>
    <t>0x0000024C</t>
    <phoneticPr fontId="10"/>
  </si>
  <si>
    <t>0x0000024E</t>
    <phoneticPr fontId="10"/>
  </si>
  <si>
    <t>0x00000250</t>
    <phoneticPr fontId="10"/>
  </si>
  <si>
    <t>0x00000252</t>
    <phoneticPr fontId="10"/>
  </si>
  <si>
    <t>0x00000254</t>
    <phoneticPr fontId="10"/>
  </si>
  <si>
    <t>0x00000256</t>
    <phoneticPr fontId="10"/>
  </si>
  <si>
    <t>0x00000258</t>
    <phoneticPr fontId="10"/>
  </si>
  <si>
    <t>0x0000025A</t>
    <phoneticPr fontId="10"/>
  </si>
  <si>
    <t>0x0000025C</t>
    <phoneticPr fontId="10"/>
  </si>
  <si>
    <t>0x0000025E</t>
    <phoneticPr fontId="10"/>
  </si>
  <si>
    <t>0x00000260</t>
    <phoneticPr fontId="10"/>
  </si>
  <si>
    <t>0x00000262</t>
    <phoneticPr fontId="10"/>
  </si>
  <si>
    <t>0x00000264</t>
    <phoneticPr fontId="10"/>
  </si>
  <si>
    <t>0x00000266</t>
    <phoneticPr fontId="10"/>
  </si>
  <si>
    <t>0x00000268</t>
    <phoneticPr fontId="10"/>
  </si>
  <si>
    <t>0x0000026A</t>
    <phoneticPr fontId="10"/>
  </si>
  <si>
    <t>0x0000026C</t>
    <phoneticPr fontId="10"/>
  </si>
  <si>
    <t>0x0000026E</t>
    <phoneticPr fontId="10"/>
  </si>
  <si>
    <t>0x00000270</t>
    <phoneticPr fontId="10"/>
  </si>
  <si>
    <t>0x00000272</t>
    <phoneticPr fontId="10"/>
  </si>
  <si>
    <t>0x00000274</t>
    <phoneticPr fontId="10"/>
  </si>
  <si>
    <t>0x00000276</t>
    <phoneticPr fontId="10"/>
  </si>
  <si>
    <t>0x00000278</t>
    <phoneticPr fontId="10"/>
  </si>
  <si>
    <t>0x0000027A</t>
    <phoneticPr fontId="10"/>
  </si>
  <si>
    <t>0x0000027C</t>
    <phoneticPr fontId="10"/>
  </si>
  <si>
    <t>0x0000027E</t>
    <phoneticPr fontId="10"/>
  </si>
  <si>
    <t>0x00000280</t>
    <phoneticPr fontId="10"/>
  </si>
  <si>
    <t>0x00000282</t>
    <phoneticPr fontId="10"/>
  </si>
  <si>
    <t>0x00000284</t>
    <phoneticPr fontId="10"/>
  </si>
  <si>
    <t>0x00000286</t>
    <phoneticPr fontId="10"/>
  </si>
  <si>
    <t>0x00000288</t>
    <phoneticPr fontId="10"/>
  </si>
  <si>
    <t>0x0000028A</t>
    <phoneticPr fontId="10"/>
  </si>
  <si>
    <t>0x0000028C</t>
    <phoneticPr fontId="10"/>
  </si>
  <si>
    <t>0x0000028E</t>
    <phoneticPr fontId="10"/>
  </si>
  <si>
    <t>0x00000290</t>
    <phoneticPr fontId="10"/>
  </si>
  <si>
    <t>0x00000292</t>
    <phoneticPr fontId="10"/>
  </si>
  <si>
    <t>0x00000294</t>
    <phoneticPr fontId="10"/>
  </si>
  <si>
    <t>0x00000296</t>
    <phoneticPr fontId="10"/>
  </si>
  <si>
    <t>0x00000298</t>
    <phoneticPr fontId="10"/>
  </si>
  <si>
    <t>0x0000029A</t>
    <phoneticPr fontId="10"/>
  </si>
  <si>
    <t>0x0000029C</t>
    <phoneticPr fontId="10"/>
  </si>
  <si>
    <t>0x0000029E</t>
    <phoneticPr fontId="10"/>
  </si>
  <si>
    <t>0x000002A0</t>
    <phoneticPr fontId="10"/>
  </si>
  <si>
    <t>0x000002A2</t>
    <phoneticPr fontId="10"/>
  </si>
  <si>
    <t>0x000002A4</t>
    <phoneticPr fontId="10"/>
  </si>
  <si>
    <t>0x000002A6</t>
    <phoneticPr fontId="10"/>
  </si>
  <si>
    <t>0x000002A8</t>
    <phoneticPr fontId="10"/>
  </si>
  <si>
    <t>0x000002AA</t>
    <phoneticPr fontId="10"/>
  </si>
  <si>
    <t>0x000002AC</t>
    <phoneticPr fontId="10"/>
  </si>
  <si>
    <t>0x000002AE</t>
    <phoneticPr fontId="10"/>
  </si>
  <si>
    <t>0x000002B0</t>
    <phoneticPr fontId="10"/>
  </si>
  <si>
    <t>0x000002B2</t>
    <phoneticPr fontId="10"/>
  </si>
  <si>
    <t>0x000002B4</t>
    <phoneticPr fontId="10"/>
  </si>
  <si>
    <t>0x000002B6</t>
    <phoneticPr fontId="10"/>
  </si>
  <si>
    <t>0x000002B8</t>
    <phoneticPr fontId="10"/>
  </si>
  <si>
    <t>0x000002BA</t>
    <phoneticPr fontId="10"/>
  </si>
  <si>
    <t>0x000002BC</t>
    <phoneticPr fontId="10"/>
  </si>
  <si>
    <t>0x000002BE</t>
    <phoneticPr fontId="10"/>
  </si>
  <si>
    <t>0x000002C0</t>
    <phoneticPr fontId="10"/>
  </si>
  <si>
    <t>0x000002C2</t>
    <phoneticPr fontId="10"/>
  </si>
  <si>
    <t>0x000002C4</t>
    <phoneticPr fontId="10"/>
  </si>
  <si>
    <t>0x000002C6</t>
    <phoneticPr fontId="10"/>
  </si>
  <si>
    <t>0x000002C8</t>
    <phoneticPr fontId="10"/>
  </si>
  <si>
    <t>0x000002CA</t>
    <phoneticPr fontId="10"/>
  </si>
  <si>
    <t>0x000002CC</t>
    <phoneticPr fontId="10"/>
  </si>
  <si>
    <t>0x000002CE</t>
    <phoneticPr fontId="10"/>
  </si>
  <si>
    <t>0x000002D0</t>
    <phoneticPr fontId="10"/>
  </si>
  <si>
    <t>0x000002D2</t>
    <phoneticPr fontId="10"/>
  </si>
  <si>
    <t>0x000002D4</t>
    <phoneticPr fontId="10"/>
  </si>
  <si>
    <t>0x000002D6</t>
    <phoneticPr fontId="10"/>
  </si>
  <si>
    <t>0x000002D8</t>
    <phoneticPr fontId="10"/>
  </si>
  <si>
    <t>0x000002DA</t>
    <phoneticPr fontId="10"/>
  </si>
  <si>
    <t>0x000002DC</t>
    <phoneticPr fontId="10"/>
  </si>
  <si>
    <t>0x000002DE</t>
    <phoneticPr fontId="10"/>
  </si>
  <si>
    <t>0x000002E0</t>
    <phoneticPr fontId="10"/>
  </si>
  <si>
    <t>0x000002E2</t>
    <phoneticPr fontId="10"/>
  </si>
  <si>
    <t>0x000002E4</t>
    <phoneticPr fontId="10"/>
  </si>
  <si>
    <t>0x000002E6</t>
    <phoneticPr fontId="10"/>
  </si>
  <si>
    <t>0x000002E8</t>
    <phoneticPr fontId="10"/>
  </si>
  <si>
    <t>0x000002EA</t>
    <phoneticPr fontId="10"/>
  </si>
  <si>
    <t>0x000002EC</t>
    <phoneticPr fontId="10"/>
  </si>
  <si>
    <t>0x000002EE</t>
    <phoneticPr fontId="10"/>
  </si>
  <si>
    <t>0x000002F0</t>
    <phoneticPr fontId="10"/>
  </si>
  <si>
    <t>0x000002F2</t>
    <phoneticPr fontId="10"/>
  </si>
  <si>
    <t>0x000002F4</t>
    <phoneticPr fontId="10"/>
  </si>
  <si>
    <t>0x000002F6</t>
    <phoneticPr fontId="10"/>
  </si>
  <si>
    <t>0x000002F8</t>
    <phoneticPr fontId="10"/>
  </si>
  <si>
    <t>0x000002FA</t>
    <phoneticPr fontId="10"/>
  </si>
  <si>
    <t>0x000002FC</t>
    <phoneticPr fontId="10"/>
  </si>
  <si>
    <t>0x000002FE</t>
    <phoneticPr fontId="10"/>
  </si>
  <si>
    <t>0x00000300</t>
    <phoneticPr fontId="10"/>
  </si>
  <si>
    <t>0x00000302</t>
    <phoneticPr fontId="10"/>
  </si>
  <si>
    <t>0x00000304</t>
    <phoneticPr fontId="10"/>
  </si>
  <si>
    <t>0x00000306</t>
    <phoneticPr fontId="10"/>
  </si>
  <si>
    <t>0x00000308</t>
    <phoneticPr fontId="10"/>
  </si>
  <si>
    <t>0x0000030A</t>
    <phoneticPr fontId="10"/>
  </si>
  <si>
    <t>0x0000030C</t>
    <phoneticPr fontId="10"/>
  </si>
  <si>
    <t>0x0000030E</t>
    <phoneticPr fontId="10"/>
  </si>
  <si>
    <t>0x00000310</t>
    <phoneticPr fontId="10"/>
  </si>
  <si>
    <t>0x00000312</t>
    <phoneticPr fontId="10"/>
  </si>
  <si>
    <t>0x00000314</t>
    <phoneticPr fontId="10"/>
  </si>
  <si>
    <t>0x00000316</t>
    <phoneticPr fontId="10"/>
  </si>
  <si>
    <t>0x00000318</t>
    <phoneticPr fontId="10"/>
  </si>
  <si>
    <t>0x0000031A</t>
    <phoneticPr fontId="10"/>
  </si>
  <si>
    <t>0x0000031C</t>
    <phoneticPr fontId="10"/>
  </si>
  <si>
    <t>0x0000031E</t>
    <phoneticPr fontId="10"/>
  </si>
  <si>
    <t>0x00000320</t>
    <phoneticPr fontId="10"/>
  </si>
  <si>
    <t>0x00000322</t>
    <phoneticPr fontId="10"/>
  </si>
  <si>
    <t>0x00000324</t>
    <phoneticPr fontId="10"/>
  </si>
  <si>
    <t>0x00000326</t>
    <phoneticPr fontId="10"/>
  </si>
  <si>
    <t>0x00000328</t>
    <phoneticPr fontId="10"/>
  </si>
  <si>
    <t>0x0000032A</t>
    <phoneticPr fontId="10"/>
  </si>
  <si>
    <t>0x0000032C</t>
    <phoneticPr fontId="10"/>
  </si>
  <si>
    <t>0x0000032E</t>
    <phoneticPr fontId="10"/>
  </si>
  <si>
    <t>0x00000330</t>
    <phoneticPr fontId="10"/>
  </si>
  <si>
    <t>0x00000332</t>
    <phoneticPr fontId="10"/>
  </si>
  <si>
    <t>0x00000334</t>
    <phoneticPr fontId="10"/>
  </si>
  <si>
    <t>0x00000336</t>
    <phoneticPr fontId="10"/>
  </si>
  <si>
    <t>0x00000338</t>
    <phoneticPr fontId="10"/>
  </si>
  <si>
    <t>0x0000033A</t>
    <phoneticPr fontId="10"/>
  </si>
  <si>
    <t>0x0000033C</t>
    <phoneticPr fontId="10"/>
  </si>
  <si>
    <t>0x0000033E</t>
    <phoneticPr fontId="10"/>
  </si>
  <si>
    <t>0x00000340</t>
    <phoneticPr fontId="10"/>
  </si>
  <si>
    <t>0x00000342</t>
    <phoneticPr fontId="10"/>
  </si>
  <si>
    <t>0x00000344</t>
    <phoneticPr fontId="10"/>
  </si>
  <si>
    <t>0x00000346</t>
    <phoneticPr fontId="10"/>
  </si>
  <si>
    <t>0x00000348</t>
    <phoneticPr fontId="10"/>
  </si>
  <si>
    <t>0x0000034A</t>
    <phoneticPr fontId="10"/>
  </si>
  <si>
    <t>0x0000034C</t>
    <phoneticPr fontId="10"/>
  </si>
  <si>
    <t>0x0000034E</t>
    <phoneticPr fontId="10"/>
  </si>
  <si>
    <t>0x00000350</t>
    <phoneticPr fontId="10"/>
  </si>
  <si>
    <t>0x00000352</t>
    <phoneticPr fontId="10"/>
  </si>
  <si>
    <t>0x00000354</t>
    <phoneticPr fontId="10"/>
  </si>
  <si>
    <t>0x00000356</t>
    <phoneticPr fontId="10"/>
  </si>
  <si>
    <t>0x00000358</t>
    <phoneticPr fontId="10"/>
  </si>
  <si>
    <t>0x0000035A</t>
    <phoneticPr fontId="10"/>
  </si>
  <si>
    <t>0x0000035C</t>
    <phoneticPr fontId="10"/>
  </si>
  <si>
    <t>0x0000035E</t>
    <phoneticPr fontId="10"/>
  </si>
  <si>
    <t>0x00000360</t>
    <phoneticPr fontId="10"/>
  </si>
  <si>
    <t>0x00000362</t>
    <phoneticPr fontId="10"/>
  </si>
  <si>
    <t>0x00000364</t>
    <phoneticPr fontId="10"/>
  </si>
  <si>
    <t>0x00000366</t>
    <phoneticPr fontId="10"/>
  </si>
  <si>
    <t>0x00000368</t>
    <phoneticPr fontId="10"/>
  </si>
  <si>
    <t>0x0000036A</t>
    <phoneticPr fontId="10"/>
  </si>
  <si>
    <t>0x0000036C</t>
    <phoneticPr fontId="10"/>
  </si>
  <si>
    <t>0x0000036E</t>
    <phoneticPr fontId="10"/>
  </si>
  <si>
    <t>0x00000370</t>
    <phoneticPr fontId="10"/>
  </si>
  <si>
    <t>0x00000372</t>
    <phoneticPr fontId="10"/>
  </si>
  <si>
    <t>0x00000374</t>
    <phoneticPr fontId="10"/>
  </si>
  <si>
    <t>0x00000376</t>
    <phoneticPr fontId="10"/>
  </si>
  <si>
    <t>0x00000378</t>
    <phoneticPr fontId="10"/>
  </si>
  <si>
    <t>0x0000037A</t>
    <phoneticPr fontId="10"/>
  </si>
  <si>
    <t>0x0000037C</t>
    <phoneticPr fontId="10"/>
  </si>
  <si>
    <t>0x0000037E</t>
    <phoneticPr fontId="10"/>
  </si>
  <si>
    <t>0x00000380</t>
    <phoneticPr fontId="10"/>
  </si>
  <si>
    <t>0x00000382</t>
    <phoneticPr fontId="10"/>
  </si>
  <si>
    <t>0x00000384</t>
    <phoneticPr fontId="10"/>
  </si>
  <si>
    <t>0x00000386</t>
    <phoneticPr fontId="10"/>
  </si>
  <si>
    <t>0x00000388</t>
    <phoneticPr fontId="10"/>
  </si>
  <si>
    <t>0x0000038A</t>
    <phoneticPr fontId="10"/>
  </si>
  <si>
    <t>0x0000038C</t>
    <phoneticPr fontId="10"/>
  </si>
  <si>
    <t>0x0000038E</t>
    <phoneticPr fontId="10"/>
  </si>
  <si>
    <t>0x00000390</t>
    <phoneticPr fontId="10"/>
  </si>
  <si>
    <t>0x00000392</t>
    <phoneticPr fontId="10"/>
  </si>
  <si>
    <t>0x00000394</t>
    <phoneticPr fontId="10"/>
  </si>
  <si>
    <t>0x00000396</t>
    <phoneticPr fontId="10"/>
  </si>
  <si>
    <t>0x00000398</t>
    <phoneticPr fontId="10"/>
  </si>
  <si>
    <t>0x0000039A</t>
    <phoneticPr fontId="10"/>
  </si>
  <si>
    <t>0x0000039C</t>
    <phoneticPr fontId="10"/>
  </si>
  <si>
    <t>0x0000039E</t>
    <phoneticPr fontId="10"/>
  </si>
  <si>
    <t>0x000003A0</t>
    <phoneticPr fontId="10"/>
  </si>
  <si>
    <t>0x000003A2</t>
    <phoneticPr fontId="10"/>
  </si>
  <si>
    <t>0x000003A4</t>
    <phoneticPr fontId="10"/>
  </si>
  <si>
    <t>0x000003A6</t>
    <phoneticPr fontId="10"/>
  </si>
  <si>
    <t>0x000003A8</t>
    <phoneticPr fontId="10"/>
  </si>
  <si>
    <t>0x000003AA</t>
    <phoneticPr fontId="10"/>
  </si>
  <si>
    <t>0x000003AC</t>
    <phoneticPr fontId="10"/>
  </si>
  <si>
    <t>0x000003AE</t>
    <phoneticPr fontId="10"/>
  </si>
  <si>
    <t>0x000003B0</t>
    <phoneticPr fontId="10"/>
  </si>
  <si>
    <t>0x000003B2</t>
    <phoneticPr fontId="10"/>
  </si>
  <si>
    <t>0x000003B4</t>
    <phoneticPr fontId="10"/>
  </si>
  <si>
    <t>0x000003B6</t>
    <phoneticPr fontId="10"/>
  </si>
  <si>
    <t>0x000003B8</t>
    <phoneticPr fontId="10"/>
  </si>
  <si>
    <t>0x000003BA</t>
    <phoneticPr fontId="10"/>
  </si>
  <si>
    <t>0x000003BC</t>
    <phoneticPr fontId="10"/>
  </si>
  <si>
    <t>0x000003BE</t>
    <phoneticPr fontId="10"/>
  </si>
  <si>
    <t>0x000003C0</t>
    <phoneticPr fontId="10"/>
  </si>
  <si>
    <t>0x000003C2</t>
    <phoneticPr fontId="10"/>
  </si>
  <si>
    <t>0x000003C4</t>
    <phoneticPr fontId="10"/>
  </si>
  <si>
    <t>0x000003C6</t>
    <phoneticPr fontId="10"/>
  </si>
  <si>
    <t>0x000003C8</t>
    <phoneticPr fontId="10"/>
  </si>
  <si>
    <t>0x000003CA</t>
    <phoneticPr fontId="10"/>
  </si>
  <si>
    <t>0x000003CC</t>
    <phoneticPr fontId="10"/>
  </si>
  <si>
    <t>0x000003CE</t>
    <phoneticPr fontId="10"/>
  </si>
  <si>
    <t>0x000003D0</t>
    <phoneticPr fontId="10"/>
  </si>
  <si>
    <t>0x000003D2</t>
    <phoneticPr fontId="10"/>
  </si>
  <si>
    <t>0x000003D4</t>
    <phoneticPr fontId="10"/>
  </si>
  <si>
    <t>0x000003D6</t>
    <phoneticPr fontId="10"/>
  </si>
  <si>
    <t>0x000003D8</t>
    <phoneticPr fontId="10"/>
  </si>
  <si>
    <t>0x000003DA</t>
    <phoneticPr fontId="10"/>
  </si>
  <si>
    <t>0x000003DC</t>
    <phoneticPr fontId="10"/>
  </si>
  <si>
    <t>0x000003DE</t>
    <phoneticPr fontId="10"/>
  </si>
  <si>
    <t>0x000003E0</t>
    <phoneticPr fontId="10"/>
  </si>
  <si>
    <t>0x000003E2</t>
    <phoneticPr fontId="10"/>
  </si>
  <si>
    <t>0x000003E4</t>
    <phoneticPr fontId="10"/>
  </si>
  <si>
    <t>0x000003E6</t>
    <phoneticPr fontId="10"/>
  </si>
  <si>
    <t>0x000003E8</t>
    <phoneticPr fontId="10"/>
  </si>
  <si>
    <t>0x000003EA</t>
    <phoneticPr fontId="10"/>
  </si>
  <si>
    <t>0x000003EC</t>
    <phoneticPr fontId="10"/>
  </si>
  <si>
    <t>0x000003EE</t>
    <phoneticPr fontId="10"/>
  </si>
  <si>
    <t>0x000003F0</t>
    <phoneticPr fontId="10"/>
  </si>
  <si>
    <t>0x000003F2</t>
    <phoneticPr fontId="10"/>
  </si>
  <si>
    <t>0x000003F4</t>
    <phoneticPr fontId="10"/>
  </si>
  <si>
    <t>0x000003F6</t>
    <phoneticPr fontId="10"/>
  </si>
  <si>
    <t>0x000003F8</t>
    <phoneticPr fontId="10"/>
  </si>
  <si>
    <t>0x000003FA</t>
    <phoneticPr fontId="10"/>
  </si>
  <si>
    <t>0x000003FC</t>
    <phoneticPr fontId="10"/>
  </si>
  <si>
    <t>0x000003FE</t>
    <phoneticPr fontId="10"/>
  </si>
  <si>
    <t>0x00000400</t>
    <phoneticPr fontId="10"/>
  </si>
  <si>
    <t>0x00000402</t>
    <phoneticPr fontId="10"/>
  </si>
  <si>
    <t>0x00000404</t>
    <phoneticPr fontId="10"/>
  </si>
  <si>
    <t>0x00000406</t>
    <phoneticPr fontId="10"/>
  </si>
  <si>
    <t>0x00000408</t>
    <phoneticPr fontId="10"/>
  </si>
  <si>
    <t>0x0000040A</t>
    <phoneticPr fontId="10"/>
  </si>
  <si>
    <t>0x0000040C</t>
    <phoneticPr fontId="10"/>
  </si>
  <si>
    <t>0x0000040E</t>
    <phoneticPr fontId="10"/>
  </si>
  <si>
    <t>0x00000410</t>
    <phoneticPr fontId="10"/>
  </si>
  <si>
    <t>0x00000412</t>
    <phoneticPr fontId="10"/>
  </si>
  <si>
    <t>0x00000414</t>
    <phoneticPr fontId="10"/>
  </si>
  <si>
    <t>0x00000416</t>
    <phoneticPr fontId="10"/>
  </si>
  <si>
    <t>0x00000418</t>
    <phoneticPr fontId="10"/>
  </si>
  <si>
    <t>0x0000041A</t>
    <phoneticPr fontId="10"/>
  </si>
  <si>
    <t>0x0000041C</t>
    <phoneticPr fontId="10"/>
  </si>
  <si>
    <t>0x0000041E</t>
    <phoneticPr fontId="10"/>
  </si>
  <si>
    <t>0x00000420</t>
    <phoneticPr fontId="10"/>
  </si>
  <si>
    <t>0x00000422</t>
    <phoneticPr fontId="10"/>
  </si>
  <si>
    <t>0x00000424</t>
    <phoneticPr fontId="10"/>
  </si>
  <si>
    <t>0x00000426</t>
    <phoneticPr fontId="10"/>
  </si>
  <si>
    <t>0x00000428</t>
    <phoneticPr fontId="10"/>
  </si>
  <si>
    <t>0x0000042A</t>
    <phoneticPr fontId="10"/>
  </si>
  <si>
    <t>0x0000042C</t>
    <phoneticPr fontId="10"/>
  </si>
  <si>
    <t>0x0000042E</t>
    <phoneticPr fontId="10"/>
  </si>
  <si>
    <t>0x00000430</t>
    <phoneticPr fontId="10"/>
  </si>
  <si>
    <t>0x00000432</t>
    <phoneticPr fontId="10"/>
  </si>
  <si>
    <t>0x00000434</t>
    <phoneticPr fontId="10"/>
  </si>
  <si>
    <t>0x00000436</t>
    <phoneticPr fontId="10"/>
  </si>
  <si>
    <t>0x00000438</t>
    <phoneticPr fontId="10"/>
  </si>
  <si>
    <t>0x0000043A</t>
    <phoneticPr fontId="10"/>
  </si>
  <si>
    <t>0x0000043C</t>
    <phoneticPr fontId="10"/>
  </si>
  <si>
    <t>0x0000043E</t>
    <phoneticPr fontId="10"/>
  </si>
  <si>
    <t>0x00000440</t>
    <phoneticPr fontId="10"/>
  </si>
  <si>
    <t>0x00000442</t>
    <phoneticPr fontId="10"/>
  </si>
  <si>
    <t>0x00000444</t>
    <phoneticPr fontId="10"/>
  </si>
  <si>
    <t>0x00000446</t>
    <phoneticPr fontId="10"/>
  </si>
  <si>
    <t>0x00000448</t>
    <phoneticPr fontId="10"/>
  </si>
  <si>
    <t>0x0000044A</t>
    <phoneticPr fontId="10"/>
  </si>
  <si>
    <t>0x0000044C</t>
    <phoneticPr fontId="10"/>
  </si>
  <si>
    <t>0x0000044E</t>
    <phoneticPr fontId="10"/>
  </si>
  <si>
    <t>0x00000450</t>
    <phoneticPr fontId="10"/>
  </si>
  <si>
    <t>0x00000452</t>
    <phoneticPr fontId="10"/>
  </si>
  <si>
    <t>0x00000454</t>
    <phoneticPr fontId="10"/>
  </si>
  <si>
    <t>0x00000456</t>
    <phoneticPr fontId="10"/>
  </si>
  <si>
    <t>0x00000458</t>
    <phoneticPr fontId="10"/>
  </si>
  <si>
    <t>0x0000045A</t>
    <phoneticPr fontId="10"/>
  </si>
  <si>
    <t>0x0000045C</t>
    <phoneticPr fontId="10"/>
  </si>
  <si>
    <t>0x0000045E</t>
    <phoneticPr fontId="10"/>
  </si>
  <si>
    <t>0x00000460</t>
    <phoneticPr fontId="10"/>
  </si>
  <si>
    <t>0x00000462</t>
    <phoneticPr fontId="10"/>
  </si>
  <si>
    <t>0x00000464</t>
    <phoneticPr fontId="10"/>
  </si>
  <si>
    <t>0x00000466</t>
    <phoneticPr fontId="10"/>
  </si>
  <si>
    <t>0x00000468</t>
    <phoneticPr fontId="10"/>
  </si>
  <si>
    <t>0x0000046A</t>
    <phoneticPr fontId="10"/>
  </si>
  <si>
    <t>0x0000046C</t>
    <phoneticPr fontId="10"/>
  </si>
  <si>
    <t>0x0000046E</t>
    <phoneticPr fontId="10"/>
  </si>
  <si>
    <t>0x00000470</t>
    <phoneticPr fontId="10"/>
  </si>
  <si>
    <t>0x00000472</t>
    <phoneticPr fontId="10"/>
  </si>
  <si>
    <t>0x00000474</t>
    <phoneticPr fontId="10"/>
  </si>
  <si>
    <t>0x00000476</t>
    <phoneticPr fontId="10"/>
  </si>
  <si>
    <t>0x00000478</t>
    <phoneticPr fontId="10"/>
  </si>
  <si>
    <t>0x0000047A</t>
    <phoneticPr fontId="10"/>
  </si>
  <si>
    <t>0x0000047C</t>
    <phoneticPr fontId="10"/>
  </si>
  <si>
    <t>0x0000047E</t>
    <phoneticPr fontId="10"/>
  </si>
  <si>
    <t>0x00000480</t>
    <phoneticPr fontId="10"/>
  </si>
  <si>
    <t>0x00000482</t>
    <phoneticPr fontId="10"/>
  </si>
  <si>
    <t>0x00000484</t>
    <phoneticPr fontId="10"/>
  </si>
  <si>
    <t>0x00000486</t>
    <phoneticPr fontId="10"/>
  </si>
  <si>
    <t>0x00000488</t>
    <phoneticPr fontId="10"/>
  </si>
  <si>
    <t>0x0000048A</t>
    <phoneticPr fontId="10"/>
  </si>
  <si>
    <t>0x0000048C</t>
    <phoneticPr fontId="10"/>
  </si>
  <si>
    <t>0x0000048E</t>
    <phoneticPr fontId="10"/>
  </si>
  <si>
    <t>0x00000490</t>
    <phoneticPr fontId="10"/>
  </si>
  <si>
    <t>0x00000492</t>
    <phoneticPr fontId="10"/>
  </si>
  <si>
    <t>0x00000494</t>
    <phoneticPr fontId="10"/>
  </si>
  <si>
    <t>0x00000496</t>
    <phoneticPr fontId="10"/>
  </si>
  <si>
    <t>0x00000498</t>
    <phoneticPr fontId="10"/>
  </si>
  <si>
    <t>0x0000049A</t>
    <phoneticPr fontId="10"/>
  </si>
  <si>
    <t>0x0000049C</t>
    <phoneticPr fontId="10"/>
  </si>
  <si>
    <t>0x0000049E</t>
    <phoneticPr fontId="10"/>
  </si>
  <si>
    <t>0x000004A0</t>
    <phoneticPr fontId="10"/>
  </si>
  <si>
    <t>0x000004A2</t>
    <phoneticPr fontId="10"/>
  </si>
  <si>
    <t>0x000004A4</t>
    <phoneticPr fontId="10"/>
  </si>
  <si>
    <t>0x000004A6</t>
    <phoneticPr fontId="10"/>
  </si>
  <si>
    <t>0x000004A8</t>
    <phoneticPr fontId="10"/>
  </si>
  <si>
    <t>0x000004AA</t>
    <phoneticPr fontId="10"/>
  </si>
  <si>
    <t>0x000004AC</t>
    <phoneticPr fontId="10"/>
  </si>
  <si>
    <t>0x000004AE</t>
    <phoneticPr fontId="10"/>
  </si>
  <si>
    <t>0x000004B0</t>
    <phoneticPr fontId="10"/>
  </si>
  <si>
    <t>0x000004B2</t>
    <phoneticPr fontId="10"/>
  </si>
  <si>
    <t>0x000004B4</t>
    <phoneticPr fontId="10"/>
  </si>
  <si>
    <t>0x000004B6</t>
    <phoneticPr fontId="10"/>
  </si>
  <si>
    <t>0x000004B8</t>
    <phoneticPr fontId="10"/>
  </si>
  <si>
    <t>0x000004BA</t>
    <phoneticPr fontId="10"/>
  </si>
  <si>
    <t>0x000004BC</t>
    <phoneticPr fontId="10"/>
  </si>
  <si>
    <t>0x000004BE</t>
    <phoneticPr fontId="10"/>
  </si>
  <si>
    <t>0x000004C0</t>
    <phoneticPr fontId="10"/>
  </si>
  <si>
    <t>0x000004C2</t>
    <phoneticPr fontId="10"/>
  </si>
  <si>
    <t>0x000004C4</t>
    <phoneticPr fontId="10"/>
  </si>
  <si>
    <t>0x000004C6</t>
    <phoneticPr fontId="10"/>
  </si>
  <si>
    <t>0x000004C8</t>
    <phoneticPr fontId="10"/>
  </si>
  <si>
    <t>0x000004CA</t>
    <phoneticPr fontId="10"/>
  </si>
  <si>
    <t>0x000004CC</t>
    <phoneticPr fontId="10"/>
  </si>
  <si>
    <t>0x000004CE</t>
    <phoneticPr fontId="10"/>
  </si>
  <si>
    <t>0x000004D0</t>
    <phoneticPr fontId="10"/>
  </si>
  <si>
    <t>0x000004D2</t>
    <phoneticPr fontId="10"/>
  </si>
  <si>
    <t>0x000004D4</t>
    <phoneticPr fontId="10"/>
  </si>
  <si>
    <t>0x000004D6</t>
    <phoneticPr fontId="10"/>
  </si>
  <si>
    <t>0x000004D8</t>
    <phoneticPr fontId="10"/>
  </si>
  <si>
    <t>0x000004DA</t>
    <phoneticPr fontId="10"/>
  </si>
  <si>
    <t>0x000004DC</t>
    <phoneticPr fontId="10"/>
  </si>
  <si>
    <t>0x000004DE</t>
    <phoneticPr fontId="10"/>
  </si>
  <si>
    <t>0x000004E0</t>
    <phoneticPr fontId="10"/>
  </si>
  <si>
    <t>0x000004E2</t>
    <phoneticPr fontId="10"/>
  </si>
  <si>
    <t>0x000004E4</t>
    <phoneticPr fontId="10"/>
  </si>
  <si>
    <t>0x000004E6</t>
    <phoneticPr fontId="10"/>
  </si>
  <si>
    <t>0x000004E8</t>
    <phoneticPr fontId="10"/>
  </si>
  <si>
    <t>0x000004EA</t>
    <phoneticPr fontId="10"/>
  </si>
  <si>
    <t>0x000004EC</t>
    <phoneticPr fontId="10"/>
  </si>
  <si>
    <t>0x000004EE</t>
    <phoneticPr fontId="10"/>
  </si>
  <si>
    <t>0x000004F0</t>
    <phoneticPr fontId="10"/>
  </si>
  <si>
    <t>0x000004F2</t>
    <phoneticPr fontId="10"/>
  </si>
  <si>
    <t>0x000004F4</t>
    <phoneticPr fontId="10"/>
  </si>
  <si>
    <t>0x000004F6</t>
    <phoneticPr fontId="10"/>
  </si>
  <si>
    <t>0x000004F8</t>
    <phoneticPr fontId="10"/>
  </si>
  <si>
    <t>0x000004FA</t>
    <phoneticPr fontId="10"/>
  </si>
  <si>
    <t>0x000004FC</t>
    <phoneticPr fontId="10"/>
  </si>
  <si>
    <t>0x000004FE</t>
    <phoneticPr fontId="10"/>
  </si>
  <si>
    <t>0x00000500</t>
    <phoneticPr fontId="10"/>
  </si>
  <si>
    <t>0x00000502</t>
    <phoneticPr fontId="10"/>
  </si>
  <si>
    <t>0x00000504</t>
    <phoneticPr fontId="10"/>
  </si>
  <si>
    <t>0x00000506</t>
    <phoneticPr fontId="10"/>
  </si>
  <si>
    <t>0x00000508</t>
    <phoneticPr fontId="10"/>
  </si>
  <si>
    <t>0x0000050A</t>
    <phoneticPr fontId="10"/>
  </si>
  <si>
    <t>0x0000050C</t>
    <phoneticPr fontId="10"/>
  </si>
  <si>
    <t>0x0000050E</t>
    <phoneticPr fontId="10"/>
  </si>
  <si>
    <t>0x00000510</t>
    <phoneticPr fontId="10"/>
  </si>
  <si>
    <t>0x00000512</t>
    <phoneticPr fontId="10"/>
  </si>
  <si>
    <t>0x00000514</t>
    <phoneticPr fontId="10"/>
  </si>
  <si>
    <t>0x00000516</t>
    <phoneticPr fontId="10"/>
  </si>
  <si>
    <t>0x00000518</t>
    <phoneticPr fontId="10"/>
  </si>
  <si>
    <t>0x0000051A</t>
    <phoneticPr fontId="10"/>
  </si>
  <si>
    <t>0x0000051C</t>
    <phoneticPr fontId="10"/>
  </si>
  <si>
    <t>0x0000051E</t>
    <phoneticPr fontId="10"/>
  </si>
  <si>
    <t>0x00000520</t>
    <phoneticPr fontId="10"/>
  </si>
  <si>
    <t>0x00000522</t>
    <phoneticPr fontId="10"/>
  </si>
  <si>
    <t>0x00000524</t>
    <phoneticPr fontId="10"/>
  </si>
  <si>
    <t>0x00000526</t>
    <phoneticPr fontId="10"/>
  </si>
  <si>
    <t>0x00000528</t>
    <phoneticPr fontId="10"/>
  </si>
  <si>
    <t>0x0000052A</t>
    <phoneticPr fontId="10"/>
  </si>
  <si>
    <t>0x0000052C</t>
    <phoneticPr fontId="10"/>
  </si>
  <si>
    <t>0x0000052E</t>
    <phoneticPr fontId="10"/>
  </si>
  <si>
    <t>0x00000530</t>
    <phoneticPr fontId="10"/>
  </si>
  <si>
    <t>0x00000532</t>
    <phoneticPr fontId="10"/>
  </si>
  <si>
    <t>0x00000534</t>
    <phoneticPr fontId="10"/>
  </si>
  <si>
    <t>0x00000536</t>
    <phoneticPr fontId="10"/>
  </si>
  <si>
    <t>0x00000538</t>
    <phoneticPr fontId="10"/>
  </si>
  <si>
    <t>0x0000053A</t>
    <phoneticPr fontId="10"/>
  </si>
  <si>
    <t>0x0000053C</t>
    <phoneticPr fontId="10"/>
  </si>
  <si>
    <t>0x0000053E</t>
    <phoneticPr fontId="10"/>
  </si>
  <si>
    <t>0x00000540</t>
    <phoneticPr fontId="10"/>
  </si>
  <si>
    <t>0x00000542</t>
    <phoneticPr fontId="10"/>
  </si>
  <si>
    <t>0x00000544</t>
    <phoneticPr fontId="10"/>
  </si>
  <si>
    <t>0x00000546</t>
    <phoneticPr fontId="10"/>
  </si>
  <si>
    <t>0x00000548</t>
    <phoneticPr fontId="10"/>
  </si>
  <si>
    <t>0x0000054A</t>
    <phoneticPr fontId="10"/>
  </si>
  <si>
    <t>0x0000054C</t>
    <phoneticPr fontId="10"/>
  </si>
  <si>
    <t>0x0000054E</t>
    <phoneticPr fontId="10"/>
  </si>
  <si>
    <t>0x00000550</t>
    <phoneticPr fontId="10"/>
  </si>
  <si>
    <t>0x00000552</t>
    <phoneticPr fontId="10"/>
  </si>
  <si>
    <t>0x00000554</t>
    <phoneticPr fontId="10"/>
  </si>
  <si>
    <t>0x00000556</t>
    <phoneticPr fontId="10"/>
  </si>
  <si>
    <t>0x00000558</t>
    <phoneticPr fontId="10"/>
  </si>
  <si>
    <t>0x0000055A</t>
    <phoneticPr fontId="10"/>
  </si>
  <si>
    <t>0x0000055C</t>
    <phoneticPr fontId="10"/>
  </si>
  <si>
    <t>0x0000055E</t>
    <phoneticPr fontId="10"/>
  </si>
  <si>
    <t>0x00000560</t>
    <phoneticPr fontId="10"/>
  </si>
  <si>
    <t>0x00000562</t>
    <phoneticPr fontId="10"/>
  </si>
  <si>
    <t>0x00000564</t>
    <phoneticPr fontId="10"/>
  </si>
  <si>
    <t>0x00000566</t>
    <phoneticPr fontId="10"/>
  </si>
  <si>
    <t>0x00000568</t>
    <phoneticPr fontId="10"/>
  </si>
  <si>
    <t>0x0000056A</t>
    <phoneticPr fontId="10"/>
  </si>
  <si>
    <t>0x0000056C</t>
    <phoneticPr fontId="10"/>
  </si>
  <si>
    <t>0x0000056E</t>
    <phoneticPr fontId="10"/>
  </si>
  <si>
    <t>0x00000570</t>
    <phoneticPr fontId="10"/>
  </si>
  <si>
    <t>0x00000572</t>
    <phoneticPr fontId="10"/>
  </si>
  <si>
    <t>0x00000574</t>
    <phoneticPr fontId="10"/>
  </si>
  <si>
    <t>0x00000576</t>
    <phoneticPr fontId="10"/>
  </si>
  <si>
    <t>0x00000578</t>
    <phoneticPr fontId="10"/>
  </si>
  <si>
    <t>0x0000057A</t>
    <phoneticPr fontId="10"/>
  </si>
  <si>
    <t>0x0000057C</t>
    <phoneticPr fontId="10"/>
  </si>
  <si>
    <t>0x0000057E</t>
    <phoneticPr fontId="10"/>
  </si>
  <si>
    <t>0x00000580</t>
    <phoneticPr fontId="10"/>
  </si>
  <si>
    <t>0x00000582</t>
    <phoneticPr fontId="10"/>
  </si>
  <si>
    <t>0x00000584</t>
    <phoneticPr fontId="10"/>
  </si>
  <si>
    <t>0x00000586</t>
    <phoneticPr fontId="10"/>
  </si>
  <si>
    <t>0x00000588</t>
    <phoneticPr fontId="10"/>
  </si>
  <si>
    <t>0x0000058A</t>
    <phoneticPr fontId="10"/>
  </si>
  <si>
    <t>0x0000058C</t>
    <phoneticPr fontId="10"/>
  </si>
  <si>
    <t>0x0000058E</t>
    <phoneticPr fontId="10"/>
  </si>
  <si>
    <t>0x00000590</t>
    <phoneticPr fontId="10"/>
  </si>
  <si>
    <t>0x00000592</t>
    <phoneticPr fontId="10"/>
  </si>
  <si>
    <t>0x00000594</t>
    <phoneticPr fontId="10"/>
  </si>
  <si>
    <t>0x00000596</t>
    <phoneticPr fontId="10"/>
  </si>
  <si>
    <t>0x00000598</t>
    <phoneticPr fontId="10"/>
  </si>
  <si>
    <t>0x0000059A</t>
    <phoneticPr fontId="10"/>
  </si>
  <si>
    <t>0x0000059C</t>
    <phoneticPr fontId="10"/>
  </si>
  <si>
    <t>0x0000059E</t>
    <phoneticPr fontId="10"/>
  </si>
  <si>
    <t>0x000005A0</t>
    <phoneticPr fontId="10"/>
  </si>
  <si>
    <t>0x000005A2</t>
    <phoneticPr fontId="10"/>
  </si>
  <si>
    <t>0x000005A4</t>
    <phoneticPr fontId="10"/>
  </si>
  <si>
    <t>0x000005A6</t>
    <phoneticPr fontId="10"/>
  </si>
  <si>
    <t>0x000005A8</t>
    <phoneticPr fontId="10"/>
  </si>
  <si>
    <t>0x000005AA</t>
    <phoneticPr fontId="10"/>
  </si>
  <si>
    <t>0x000005AC</t>
    <phoneticPr fontId="10"/>
  </si>
  <si>
    <t>0x000005AE</t>
    <phoneticPr fontId="10"/>
  </si>
  <si>
    <t>0x000005B0</t>
    <phoneticPr fontId="10"/>
  </si>
  <si>
    <t>0x000005B2</t>
    <phoneticPr fontId="10"/>
  </si>
  <si>
    <t>0x000005B4</t>
    <phoneticPr fontId="10"/>
  </si>
  <si>
    <t>0x000005B6</t>
    <phoneticPr fontId="10"/>
  </si>
  <si>
    <t>0x000005B8</t>
    <phoneticPr fontId="10"/>
  </si>
  <si>
    <t>0x000005BA</t>
    <phoneticPr fontId="10"/>
  </si>
  <si>
    <t>0x000005BC</t>
    <phoneticPr fontId="10"/>
  </si>
  <si>
    <t>0x000005BE</t>
    <phoneticPr fontId="10"/>
  </si>
  <si>
    <t>0x000005C0</t>
    <phoneticPr fontId="10"/>
  </si>
  <si>
    <t>0x000005C2</t>
    <phoneticPr fontId="10"/>
  </si>
  <si>
    <t>0x000005C4</t>
    <phoneticPr fontId="10"/>
  </si>
  <si>
    <t>0x000005C6</t>
    <phoneticPr fontId="10"/>
  </si>
  <si>
    <t>0x000005C8</t>
    <phoneticPr fontId="10"/>
  </si>
  <si>
    <t>0x000005CA</t>
    <phoneticPr fontId="10"/>
  </si>
  <si>
    <t>0x000005CC</t>
    <phoneticPr fontId="10"/>
  </si>
  <si>
    <t>0x000005CE</t>
    <phoneticPr fontId="10"/>
  </si>
  <si>
    <t>0x000005D0</t>
    <phoneticPr fontId="10"/>
  </si>
  <si>
    <t>0x000005D2</t>
    <phoneticPr fontId="10"/>
  </si>
  <si>
    <t>0x000005D4</t>
    <phoneticPr fontId="10"/>
  </si>
  <si>
    <t>0x000005D6</t>
    <phoneticPr fontId="10"/>
  </si>
  <si>
    <t>0x000005D8</t>
    <phoneticPr fontId="10"/>
  </si>
  <si>
    <t>0x000005DA</t>
    <phoneticPr fontId="10"/>
  </si>
  <si>
    <t>0x000005DC</t>
    <phoneticPr fontId="10"/>
  </si>
  <si>
    <t>0x000005DE</t>
    <phoneticPr fontId="10"/>
  </si>
  <si>
    <t>0x000005E0</t>
    <phoneticPr fontId="10"/>
  </si>
  <si>
    <t>0x000005E2</t>
    <phoneticPr fontId="10"/>
  </si>
  <si>
    <t>0x000005E4</t>
    <phoneticPr fontId="10"/>
  </si>
  <si>
    <t>0x000005E6</t>
    <phoneticPr fontId="10"/>
  </si>
  <si>
    <t>0x000005E8</t>
    <phoneticPr fontId="10"/>
  </si>
  <si>
    <t>0x000005EA</t>
    <phoneticPr fontId="10"/>
  </si>
  <si>
    <t>0x000005EC</t>
    <phoneticPr fontId="10"/>
  </si>
  <si>
    <t>0x000005EE</t>
    <phoneticPr fontId="10"/>
  </si>
  <si>
    <t>0x000005F0</t>
    <phoneticPr fontId="10"/>
  </si>
  <si>
    <t>0x000005F2</t>
    <phoneticPr fontId="10"/>
  </si>
  <si>
    <t>0x000005F4</t>
    <phoneticPr fontId="10"/>
  </si>
  <si>
    <t>0x000005F6</t>
    <phoneticPr fontId="10"/>
  </si>
  <si>
    <t>0x000005F8</t>
    <phoneticPr fontId="10"/>
  </si>
  <si>
    <t>0x000005FA</t>
    <phoneticPr fontId="10"/>
  </si>
  <si>
    <t>0x000005FC</t>
    <phoneticPr fontId="10"/>
  </si>
  <si>
    <t>0x000005FE</t>
    <phoneticPr fontId="10"/>
  </si>
  <si>
    <t>0x00000600</t>
    <phoneticPr fontId="10"/>
  </si>
  <si>
    <t>0x00000602</t>
    <phoneticPr fontId="10"/>
  </si>
  <si>
    <t>0x00000604</t>
    <phoneticPr fontId="10"/>
  </si>
  <si>
    <t>0x00000606</t>
    <phoneticPr fontId="10"/>
  </si>
  <si>
    <t>0x00000608</t>
    <phoneticPr fontId="10"/>
  </si>
  <si>
    <t>0x0000060A</t>
    <phoneticPr fontId="10"/>
  </si>
  <si>
    <t>0x0000060C</t>
    <phoneticPr fontId="10"/>
  </si>
  <si>
    <t>0x0000060E</t>
    <phoneticPr fontId="10"/>
  </si>
  <si>
    <t>0x00000610</t>
    <phoneticPr fontId="10"/>
  </si>
  <si>
    <t>0x00000612</t>
    <phoneticPr fontId="10"/>
  </si>
  <si>
    <t>0x00000614</t>
    <phoneticPr fontId="10"/>
  </si>
  <si>
    <t>0x00000616</t>
    <phoneticPr fontId="10"/>
  </si>
  <si>
    <t>0x00000618</t>
    <phoneticPr fontId="10"/>
  </si>
  <si>
    <t>0x0000061A</t>
    <phoneticPr fontId="10"/>
  </si>
  <si>
    <t>0x0000061C</t>
    <phoneticPr fontId="10"/>
  </si>
  <si>
    <t>0x0000061E</t>
    <phoneticPr fontId="10"/>
  </si>
  <si>
    <t>0x00000620</t>
    <phoneticPr fontId="10"/>
  </si>
  <si>
    <t>0x00000622</t>
    <phoneticPr fontId="10"/>
  </si>
  <si>
    <t>0x00000624</t>
    <phoneticPr fontId="10"/>
  </si>
  <si>
    <t>0x00000626</t>
    <phoneticPr fontId="10"/>
  </si>
  <si>
    <t>0x00000628</t>
    <phoneticPr fontId="10"/>
  </si>
  <si>
    <t>0x0000062A</t>
    <phoneticPr fontId="10"/>
  </si>
  <si>
    <t>0x0000062C</t>
    <phoneticPr fontId="10"/>
  </si>
  <si>
    <t>0x0000062E</t>
    <phoneticPr fontId="10"/>
  </si>
  <si>
    <t>0x00000630</t>
    <phoneticPr fontId="10"/>
  </si>
  <si>
    <t>0x00000632</t>
    <phoneticPr fontId="10"/>
  </si>
  <si>
    <t>0x00000634</t>
    <phoneticPr fontId="10"/>
  </si>
  <si>
    <t>0x00000636</t>
    <phoneticPr fontId="10"/>
  </si>
  <si>
    <t>0x00000638</t>
    <phoneticPr fontId="10"/>
  </si>
  <si>
    <t>0x0000063A</t>
    <phoneticPr fontId="10"/>
  </si>
  <si>
    <t>0x0000063C</t>
    <phoneticPr fontId="10"/>
  </si>
  <si>
    <t>0x0000063E</t>
    <phoneticPr fontId="10"/>
  </si>
  <si>
    <t>0x00000640</t>
    <phoneticPr fontId="10"/>
  </si>
  <si>
    <t>0x00000642</t>
    <phoneticPr fontId="10"/>
  </si>
  <si>
    <t>0x00000644</t>
    <phoneticPr fontId="10"/>
  </si>
  <si>
    <t>0x00000646</t>
    <phoneticPr fontId="10"/>
  </si>
  <si>
    <t>0x00000648</t>
    <phoneticPr fontId="10"/>
  </si>
  <si>
    <t>0x0000064A</t>
    <phoneticPr fontId="10"/>
  </si>
  <si>
    <t>0x0000064C</t>
    <phoneticPr fontId="10"/>
  </si>
  <si>
    <t>0x0000064E</t>
    <phoneticPr fontId="10"/>
  </si>
  <si>
    <t>0x00000650</t>
    <phoneticPr fontId="10"/>
  </si>
  <si>
    <t>0x00000652</t>
    <phoneticPr fontId="10"/>
  </si>
  <si>
    <t>0x00000654</t>
    <phoneticPr fontId="10"/>
  </si>
  <si>
    <t>0x00000656</t>
    <phoneticPr fontId="10"/>
  </si>
  <si>
    <t>0x00000658</t>
    <phoneticPr fontId="10"/>
  </si>
  <si>
    <t>0x0000065A</t>
    <phoneticPr fontId="10"/>
  </si>
  <si>
    <t>0x0000065C</t>
    <phoneticPr fontId="10"/>
  </si>
  <si>
    <t>0x0000065E</t>
    <phoneticPr fontId="10"/>
  </si>
  <si>
    <t>0x00000660</t>
    <phoneticPr fontId="10"/>
  </si>
  <si>
    <t>0x00000662</t>
    <phoneticPr fontId="10"/>
  </si>
  <si>
    <t>0x00000664</t>
    <phoneticPr fontId="10"/>
  </si>
  <si>
    <t>0x00000666</t>
    <phoneticPr fontId="10"/>
  </si>
  <si>
    <t>0x00000668</t>
    <phoneticPr fontId="10"/>
  </si>
  <si>
    <t>0x0000066A</t>
    <phoneticPr fontId="10"/>
  </si>
  <si>
    <t>0x0000066C</t>
    <phoneticPr fontId="10"/>
  </si>
  <si>
    <t>0x0000066E</t>
    <phoneticPr fontId="10"/>
  </si>
  <si>
    <t>0x00000670</t>
    <phoneticPr fontId="10"/>
  </si>
  <si>
    <t>0x00000672</t>
    <phoneticPr fontId="10"/>
  </si>
  <si>
    <t>0x00000674</t>
    <phoneticPr fontId="10"/>
  </si>
  <si>
    <t>0x00000676</t>
    <phoneticPr fontId="10"/>
  </si>
  <si>
    <t>0x00000678</t>
    <phoneticPr fontId="10"/>
  </si>
  <si>
    <t>0x0000067A</t>
    <phoneticPr fontId="10"/>
  </si>
  <si>
    <t>0x0000067C</t>
    <phoneticPr fontId="10"/>
  </si>
  <si>
    <t>0x0000067E</t>
    <phoneticPr fontId="10"/>
  </si>
  <si>
    <t>0x00000680</t>
    <phoneticPr fontId="10"/>
  </si>
  <si>
    <t>0x00000682</t>
    <phoneticPr fontId="10"/>
  </si>
  <si>
    <t>0x00000684</t>
    <phoneticPr fontId="10"/>
  </si>
  <si>
    <t>0x00000686</t>
    <phoneticPr fontId="10"/>
  </si>
  <si>
    <t>0x00000688</t>
    <phoneticPr fontId="10"/>
  </si>
  <si>
    <t>0x0000068A</t>
    <phoneticPr fontId="10"/>
  </si>
  <si>
    <t>0x0000068C</t>
    <phoneticPr fontId="10"/>
  </si>
  <si>
    <t>0x0000068E</t>
    <phoneticPr fontId="10"/>
  </si>
  <si>
    <t>0x00000690</t>
    <phoneticPr fontId="10"/>
  </si>
  <si>
    <t>0x00000692</t>
    <phoneticPr fontId="10"/>
  </si>
  <si>
    <t>0x00000694</t>
    <phoneticPr fontId="10"/>
  </si>
  <si>
    <t>0x00000696</t>
    <phoneticPr fontId="10"/>
  </si>
  <si>
    <t>0x00000698</t>
    <phoneticPr fontId="10"/>
  </si>
  <si>
    <t>0x0000069A</t>
    <phoneticPr fontId="10"/>
  </si>
  <si>
    <t>0x0000069C</t>
    <phoneticPr fontId="10"/>
  </si>
  <si>
    <t>0x0000069E</t>
    <phoneticPr fontId="10"/>
  </si>
  <si>
    <t>0x000006A0</t>
    <phoneticPr fontId="10"/>
  </si>
  <si>
    <t>0x000006A2</t>
    <phoneticPr fontId="10"/>
  </si>
  <si>
    <t>0x000006A4</t>
    <phoneticPr fontId="10"/>
  </si>
  <si>
    <t>0x000006A6</t>
    <phoneticPr fontId="10"/>
  </si>
  <si>
    <t>0x000006A8</t>
    <phoneticPr fontId="10"/>
  </si>
  <si>
    <t>0x000006AA</t>
    <phoneticPr fontId="10"/>
  </si>
  <si>
    <t>0x000006AC</t>
    <phoneticPr fontId="10"/>
  </si>
  <si>
    <t>0x000006AE</t>
    <phoneticPr fontId="10"/>
  </si>
  <si>
    <t>0x000006B0</t>
    <phoneticPr fontId="10"/>
  </si>
  <si>
    <t>0x000006B2</t>
    <phoneticPr fontId="10"/>
  </si>
  <si>
    <t>0x000006B4</t>
    <phoneticPr fontId="10"/>
  </si>
  <si>
    <t>0x000006B6</t>
    <phoneticPr fontId="10"/>
  </si>
  <si>
    <t>0x000006B8</t>
    <phoneticPr fontId="10"/>
  </si>
  <si>
    <t>0x000006BA</t>
    <phoneticPr fontId="10"/>
  </si>
  <si>
    <t>0x000006BC</t>
    <phoneticPr fontId="10"/>
  </si>
  <si>
    <t>0x000006BE</t>
    <phoneticPr fontId="10"/>
  </si>
  <si>
    <t>0x000006C0</t>
    <phoneticPr fontId="10"/>
  </si>
  <si>
    <t>0x000006C2</t>
    <phoneticPr fontId="10"/>
  </si>
  <si>
    <t>0x000006C4</t>
    <phoneticPr fontId="10"/>
  </si>
  <si>
    <t>0x000006C6</t>
    <phoneticPr fontId="10"/>
  </si>
  <si>
    <t>0x000006C8</t>
    <phoneticPr fontId="10"/>
  </si>
  <si>
    <t>0x000006CA</t>
    <phoneticPr fontId="10"/>
  </si>
  <si>
    <t>0x000006CC</t>
    <phoneticPr fontId="10"/>
  </si>
  <si>
    <t>0x000006CE</t>
    <phoneticPr fontId="10"/>
  </si>
  <si>
    <t>0x000006D0</t>
    <phoneticPr fontId="10"/>
  </si>
  <si>
    <t>0x000006D2</t>
    <phoneticPr fontId="10"/>
  </si>
  <si>
    <t>0x000006D4</t>
    <phoneticPr fontId="10"/>
  </si>
  <si>
    <t>0x000006D6</t>
    <phoneticPr fontId="10"/>
  </si>
  <si>
    <t>0x000006D8</t>
    <phoneticPr fontId="10"/>
  </si>
  <si>
    <t>0x000006DA</t>
    <phoneticPr fontId="10"/>
  </si>
  <si>
    <t>0x000006DC</t>
    <phoneticPr fontId="10"/>
  </si>
  <si>
    <t>0x000006DE</t>
    <phoneticPr fontId="10"/>
  </si>
  <si>
    <t>0x000006E0</t>
    <phoneticPr fontId="10"/>
  </si>
  <si>
    <t>0x000006E2</t>
    <phoneticPr fontId="10"/>
  </si>
  <si>
    <t>0x000006E4</t>
    <phoneticPr fontId="10"/>
  </si>
  <si>
    <t>0x000006E6</t>
    <phoneticPr fontId="10"/>
  </si>
  <si>
    <t>0x000006E8</t>
    <phoneticPr fontId="10"/>
  </si>
  <si>
    <t>0x000006EA</t>
    <phoneticPr fontId="10"/>
  </si>
  <si>
    <t>0x000006EC</t>
    <phoneticPr fontId="10"/>
  </si>
  <si>
    <t>0x000006EE</t>
    <phoneticPr fontId="10"/>
  </si>
  <si>
    <t>0x000006F0</t>
    <phoneticPr fontId="10"/>
  </si>
  <si>
    <t>0x000006F2</t>
    <phoneticPr fontId="10"/>
  </si>
  <si>
    <t>0x000006F4</t>
    <phoneticPr fontId="10"/>
  </si>
  <si>
    <t>0x000006F6</t>
    <phoneticPr fontId="10"/>
  </si>
  <si>
    <t>0x000006F8</t>
    <phoneticPr fontId="10"/>
  </si>
  <si>
    <t>0x000006FA</t>
    <phoneticPr fontId="10"/>
  </si>
  <si>
    <t>0x000006FC</t>
    <phoneticPr fontId="10"/>
  </si>
  <si>
    <t>0x000006FE</t>
    <phoneticPr fontId="10"/>
  </si>
  <si>
    <t>0x00000700</t>
    <phoneticPr fontId="10"/>
  </si>
  <si>
    <t>0x00000702</t>
    <phoneticPr fontId="10"/>
  </si>
  <si>
    <t>0x00000704</t>
    <phoneticPr fontId="10"/>
  </si>
  <si>
    <t>0x00000706</t>
    <phoneticPr fontId="10"/>
  </si>
  <si>
    <t>0x00000708</t>
    <phoneticPr fontId="10"/>
  </si>
  <si>
    <t>0x0000070A</t>
    <phoneticPr fontId="10"/>
  </si>
  <si>
    <t>0x0000070C</t>
    <phoneticPr fontId="10"/>
  </si>
  <si>
    <t>0x0000070E</t>
    <phoneticPr fontId="10"/>
  </si>
  <si>
    <t>0x00000710</t>
    <phoneticPr fontId="10"/>
  </si>
  <si>
    <t>0x00000712</t>
    <phoneticPr fontId="10"/>
  </si>
  <si>
    <t>0x00000714</t>
    <phoneticPr fontId="10"/>
  </si>
  <si>
    <t>0x00000716</t>
    <phoneticPr fontId="10"/>
  </si>
  <si>
    <t>0x00000718</t>
    <phoneticPr fontId="10"/>
  </si>
  <si>
    <t>0x0000071A</t>
    <phoneticPr fontId="10"/>
  </si>
  <si>
    <t>0x0000071C</t>
    <phoneticPr fontId="10"/>
  </si>
  <si>
    <t>0x0000071E</t>
    <phoneticPr fontId="10"/>
  </si>
  <si>
    <t>0x00000720</t>
    <phoneticPr fontId="10"/>
  </si>
  <si>
    <t>0x00000722</t>
    <phoneticPr fontId="10"/>
  </si>
  <si>
    <t>0x00000724</t>
    <phoneticPr fontId="10"/>
  </si>
  <si>
    <t>0x00000726</t>
    <phoneticPr fontId="10"/>
  </si>
  <si>
    <t>0x00000728</t>
    <phoneticPr fontId="10"/>
  </si>
  <si>
    <t>0x0000072A</t>
    <phoneticPr fontId="10"/>
  </si>
  <si>
    <t>0x0000072C</t>
    <phoneticPr fontId="10"/>
  </si>
  <si>
    <t>0x0000072E</t>
    <phoneticPr fontId="10"/>
  </si>
  <si>
    <t>0x00000730</t>
    <phoneticPr fontId="10"/>
  </si>
  <si>
    <t>0x00000732</t>
    <phoneticPr fontId="10"/>
  </si>
  <si>
    <t>0x00000734</t>
    <phoneticPr fontId="10"/>
  </si>
  <si>
    <t>0x00000736</t>
    <phoneticPr fontId="10"/>
  </si>
  <si>
    <t>0x00000738</t>
    <phoneticPr fontId="10"/>
  </si>
  <si>
    <t>0x0000073A</t>
    <phoneticPr fontId="10"/>
  </si>
  <si>
    <t>0x0000073C</t>
    <phoneticPr fontId="10"/>
  </si>
  <si>
    <t>0x0000073E</t>
    <phoneticPr fontId="10"/>
  </si>
  <si>
    <t>0x00000740</t>
    <phoneticPr fontId="10"/>
  </si>
  <si>
    <t>0x00000742</t>
    <phoneticPr fontId="10"/>
  </si>
  <si>
    <t>0x00000744</t>
    <phoneticPr fontId="10"/>
  </si>
  <si>
    <t>0x00000746</t>
    <phoneticPr fontId="10"/>
  </si>
  <si>
    <t>0x00000748</t>
    <phoneticPr fontId="10"/>
  </si>
  <si>
    <t>0x0000074A</t>
    <phoneticPr fontId="10"/>
  </si>
  <si>
    <t>0x0000074C</t>
    <phoneticPr fontId="10"/>
  </si>
  <si>
    <t>0x0000074E</t>
    <phoneticPr fontId="10"/>
  </si>
  <si>
    <t>0x00000750</t>
    <phoneticPr fontId="10"/>
  </si>
  <si>
    <t>0x00000752</t>
    <phoneticPr fontId="10"/>
  </si>
  <si>
    <t>0x00000754</t>
    <phoneticPr fontId="10"/>
  </si>
  <si>
    <t>0x00000756</t>
    <phoneticPr fontId="10"/>
  </si>
  <si>
    <t>0x00000758</t>
    <phoneticPr fontId="10"/>
  </si>
  <si>
    <t>0x0000075A</t>
    <phoneticPr fontId="10"/>
  </si>
  <si>
    <t>0x0000075C</t>
    <phoneticPr fontId="10"/>
  </si>
  <si>
    <t>0x0000075E</t>
    <phoneticPr fontId="10"/>
  </si>
  <si>
    <t>0x00000760</t>
    <phoneticPr fontId="10"/>
  </si>
  <si>
    <t>0x00000762</t>
    <phoneticPr fontId="10"/>
  </si>
  <si>
    <t>0x00000764</t>
    <phoneticPr fontId="10"/>
  </si>
  <si>
    <t>0x00000766</t>
    <phoneticPr fontId="10"/>
  </si>
  <si>
    <t>0x00000768</t>
    <phoneticPr fontId="10"/>
  </si>
  <si>
    <t>0x0000076A</t>
    <phoneticPr fontId="10"/>
  </si>
  <si>
    <t>0x0000076C</t>
    <phoneticPr fontId="10"/>
  </si>
  <si>
    <t>0x0000076E</t>
    <phoneticPr fontId="10"/>
  </si>
  <si>
    <t>0x00000770</t>
    <phoneticPr fontId="10"/>
  </si>
  <si>
    <t>0x00000772</t>
    <phoneticPr fontId="10"/>
  </si>
  <si>
    <t>0x00000774</t>
    <phoneticPr fontId="10"/>
  </si>
  <si>
    <t>0x00000776</t>
    <phoneticPr fontId="10"/>
  </si>
  <si>
    <t>0x00000778</t>
    <phoneticPr fontId="10"/>
  </si>
  <si>
    <t>0x0000077A</t>
    <phoneticPr fontId="10"/>
  </si>
  <si>
    <t>0x0000077C</t>
    <phoneticPr fontId="10"/>
  </si>
  <si>
    <t>0x0000077E</t>
    <phoneticPr fontId="10"/>
  </si>
  <si>
    <t>0x00000780</t>
    <phoneticPr fontId="10"/>
  </si>
  <si>
    <t>0x00000782</t>
    <phoneticPr fontId="10"/>
  </si>
  <si>
    <t>0x00000784</t>
    <phoneticPr fontId="10"/>
  </si>
  <si>
    <t>0x00000786</t>
    <phoneticPr fontId="10"/>
  </si>
  <si>
    <t>0x00000788</t>
    <phoneticPr fontId="10"/>
  </si>
  <si>
    <t>0x0000078A</t>
    <phoneticPr fontId="10"/>
  </si>
  <si>
    <t>0x0000078C</t>
    <phoneticPr fontId="10"/>
  </si>
  <si>
    <t>0x0000078E</t>
    <phoneticPr fontId="10"/>
  </si>
  <si>
    <t>0x00000790</t>
    <phoneticPr fontId="10"/>
  </si>
  <si>
    <t>0x00000792</t>
    <phoneticPr fontId="10"/>
  </si>
  <si>
    <t>0x00000794</t>
    <phoneticPr fontId="10"/>
  </si>
  <si>
    <t>0x00000796</t>
    <phoneticPr fontId="10"/>
  </si>
  <si>
    <t>0x00000798</t>
    <phoneticPr fontId="10"/>
  </si>
  <si>
    <t>0x0000079A</t>
    <phoneticPr fontId="10"/>
  </si>
  <si>
    <t>0x0000079C</t>
    <phoneticPr fontId="10"/>
  </si>
  <si>
    <t>0x0000079E</t>
    <phoneticPr fontId="10"/>
  </si>
  <si>
    <t>0x000007A0</t>
    <phoneticPr fontId="10"/>
  </si>
  <si>
    <t>0x000007A2</t>
    <phoneticPr fontId="10"/>
  </si>
  <si>
    <t>0x000007A4</t>
    <phoneticPr fontId="10"/>
  </si>
  <si>
    <t>0x000007A6</t>
    <phoneticPr fontId="10"/>
  </si>
  <si>
    <t>0x000007A8</t>
    <phoneticPr fontId="10"/>
  </si>
  <si>
    <t>0x000007AA</t>
    <phoneticPr fontId="10"/>
  </si>
  <si>
    <t>0x000007AC</t>
    <phoneticPr fontId="10"/>
  </si>
  <si>
    <t>0x000007AE</t>
    <phoneticPr fontId="10"/>
  </si>
  <si>
    <t>0x000007B0</t>
    <phoneticPr fontId="10"/>
  </si>
  <si>
    <t>0x000007B2</t>
    <phoneticPr fontId="10"/>
  </si>
  <si>
    <t>0x000007B4</t>
    <phoneticPr fontId="10"/>
  </si>
  <si>
    <t>0x000007B6</t>
    <phoneticPr fontId="10"/>
  </si>
  <si>
    <t>0x000007B8</t>
    <phoneticPr fontId="10"/>
  </si>
  <si>
    <t>0x000007BA</t>
    <phoneticPr fontId="10"/>
  </si>
  <si>
    <t>0x000007BC</t>
    <phoneticPr fontId="10"/>
  </si>
  <si>
    <t>0x000007BE</t>
    <phoneticPr fontId="10"/>
  </si>
  <si>
    <t>0x000007C0</t>
    <phoneticPr fontId="10"/>
  </si>
  <si>
    <t>0x000007C2</t>
    <phoneticPr fontId="10"/>
  </si>
  <si>
    <t>0x000007C4</t>
    <phoneticPr fontId="10"/>
  </si>
  <si>
    <t>0x000007C6</t>
    <phoneticPr fontId="10"/>
  </si>
  <si>
    <t>0x000007C8</t>
    <phoneticPr fontId="10"/>
  </si>
  <si>
    <t>0x000007CA</t>
    <phoneticPr fontId="10"/>
  </si>
  <si>
    <t>0x000007CC</t>
    <phoneticPr fontId="10"/>
  </si>
  <si>
    <t>0x000007CE</t>
    <phoneticPr fontId="10"/>
  </si>
  <si>
    <t>0x000007D0</t>
    <phoneticPr fontId="10"/>
  </si>
  <si>
    <t>0x000007D2</t>
    <phoneticPr fontId="10"/>
  </si>
  <si>
    <t>0x000007D4</t>
    <phoneticPr fontId="10"/>
  </si>
  <si>
    <t>0x000007D6</t>
    <phoneticPr fontId="10"/>
  </si>
  <si>
    <t>0x000007D8</t>
    <phoneticPr fontId="10"/>
  </si>
  <si>
    <t>0x000007DA</t>
    <phoneticPr fontId="10"/>
  </si>
  <si>
    <t>0x000007DC</t>
    <phoneticPr fontId="10"/>
  </si>
  <si>
    <t>0x000007DE</t>
    <phoneticPr fontId="10"/>
  </si>
  <si>
    <t>0x000007E0</t>
    <phoneticPr fontId="10"/>
  </si>
  <si>
    <t>0x000007E2</t>
    <phoneticPr fontId="10"/>
  </si>
  <si>
    <t>0x000007E4</t>
    <phoneticPr fontId="10"/>
  </si>
  <si>
    <t>0x000007E6</t>
    <phoneticPr fontId="10"/>
  </si>
  <si>
    <t>0x000007E8</t>
    <phoneticPr fontId="10"/>
  </si>
  <si>
    <t>0x000007EA</t>
    <phoneticPr fontId="10"/>
  </si>
  <si>
    <t>0x000007EC</t>
    <phoneticPr fontId="10"/>
  </si>
  <si>
    <t>0x000007EE</t>
    <phoneticPr fontId="10"/>
  </si>
  <si>
    <t>0x000007F0</t>
    <phoneticPr fontId="10"/>
  </si>
  <si>
    <t>0x000007F2</t>
    <phoneticPr fontId="10"/>
  </si>
  <si>
    <t>0x000007F4</t>
    <phoneticPr fontId="10"/>
  </si>
  <si>
    <t>0x000007F6</t>
    <phoneticPr fontId="10"/>
  </si>
  <si>
    <t>0x000007F8</t>
    <phoneticPr fontId="10"/>
  </si>
  <si>
    <t>0x000007FA</t>
    <phoneticPr fontId="10"/>
  </si>
  <si>
    <t>0x000007FC</t>
    <phoneticPr fontId="10"/>
  </si>
  <si>
    <t>0x000007FE</t>
    <phoneticPr fontId="10"/>
  </si>
  <si>
    <t>0x00000800</t>
    <phoneticPr fontId="10"/>
  </si>
  <si>
    <t>0x00000802</t>
    <phoneticPr fontId="10"/>
  </si>
  <si>
    <t>0x00000804</t>
    <phoneticPr fontId="10"/>
  </si>
  <si>
    <t>0x00000806</t>
    <phoneticPr fontId="10"/>
  </si>
  <si>
    <t>0x00000808</t>
    <phoneticPr fontId="10"/>
  </si>
  <si>
    <t>0x0000080A</t>
    <phoneticPr fontId="10"/>
  </si>
  <si>
    <t>0x0000080C</t>
    <phoneticPr fontId="10"/>
  </si>
  <si>
    <t>0x0000080E</t>
    <phoneticPr fontId="10"/>
  </si>
  <si>
    <t>0x00000810</t>
    <phoneticPr fontId="10"/>
  </si>
  <si>
    <t>0x00000812</t>
    <phoneticPr fontId="10"/>
  </si>
  <si>
    <t>0x00000814</t>
    <phoneticPr fontId="10"/>
  </si>
  <si>
    <t>0x00000816</t>
    <phoneticPr fontId="10"/>
  </si>
  <si>
    <t>0x00000818</t>
    <phoneticPr fontId="10"/>
  </si>
  <si>
    <t>0x0000081A</t>
    <phoneticPr fontId="10"/>
  </si>
  <si>
    <t>0x0000081C</t>
    <phoneticPr fontId="10"/>
  </si>
  <si>
    <t>0x0000081E</t>
    <phoneticPr fontId="10"/>
  </si>
  <si>
    <t>0x00000820</t>
    <phoneticPr fontId="10"/>
  </si>
  <si>
    <t>0x00000822</t>
    <phoneticPr fontId="10"/>
  </si>
  <si>
    <t>0x00000824</t>
    <phoneticPr fontId="10"/>
  </si>
  <si>
    <t>0x00000826</t>
    <phoneticPr fontId="10"/>
  </si>
  <si>
    <t>0x00000828</t>
    <phoneticPr fontId="10"/>
  </si>
  <si>
    <t>0x0000082A</t>
    <phoneticPr fontId="10"/>
  </si>
  <si>
    <t>0x0000082C</t>
    <phoneticPr fontId="10"/>
  </si>
  <si>
    <t>0x0000082E</t>
    <phoneticPr fontId="10"/>
  </si>
  <si>
    <t>0x00000830</t>
    <phoneticPr fontId="10"/>
  </si>
  <si>
    <t>0x00000832</t>
    <phoneticPr fontId="10"/>
  </si>
  <si>
    <t>0x00000834</t>
    <phoneticPr fontId="10"/>
  </si>
  <si>
    <t>0x00000836</t>
    <phoneticPr fontId="10"/>
  </si>
  <si>
    <t>0x00000838</t>
    <phoneticPr fontId="10"/>
  </si>
  <si>
    <t>0x0000083A</t>
    <phoneticPr fontId="10"/>
  </si>
  <si>
    <t>0x0000083C</t>
    <phoneticPr fontId="10"/>
  </si>
  <si>
    <t>0x0000083E</t>
    <phoneticPr fontId="10"/>
  </si>
  <si>
    <t>0x00000840</t>
    <phoneticPr fontId="10"/>
  </si>
  <si>
    <t>0x00000842</t>
    <phoneticPr fontId="10"/>
  </si>
  <si>
    <t>0x00000844</t>
    <phoneticPr fontId="10"/>
  </si>
  <si>
    <t>0x00000846</t>
    <phoneticPr fontId="10"/>
  </si>
  <si>
    <t>0x00000848</t>
    <phoneticPr fontId="10"/>
  </si>
  <si>
    <t>0x0000084A</t>
    <phoneticPr fontId="10"/>
  </si>
  <si>
    <t>0x0000084C</t>
    <phoneticPr fontId="10"/>
  </si>
  <si>
    <t>0x0000084E</t>
    <phoneticPr fontId="10"/>
  </si>
  <si>
    <t>0x00000850</t>
    <phoneticPr fontId="10"/>
  </si>
  <si>
    <t>0x00000852</t>
    <phoneticPr fontId="10"/>
  </si>
  <si>
    <t>0x00000854</t>
    <phoneticPr fontId="10"/>
  </si>
  <si>
    <t>0x00000856</t>
    <phoneticPr fontId="10"/>
  </si>
  <si>
    <t>0x00000858</t>
    <phoneticPr fontId="10"/>
  </si>
  <si>
    <t>0x0000085A</t>
    <phoneticPr fontId="10"/>
  </si>
  <si>
    <t>0x0000085C</t>
    <phoneticPr fontId="10"/>
  </si>
  <si>
    <t>0x0000085E</t>
    <phoneticPr fontId="10"/>
  </si>
  <si>
    <t>0x00000860</t>
    <phoneticPr fontId="10"/>
  </si>
  <si>
    <t>0x00000862</t>
    <phoneticPr fontId="10"/>
  </si>
  <si>
    <t>0x00000864</t>
    <phoneticPr fontId="10"/>
  </si>
  <si>
    <t>0x00000866</t>
    <phoneticPr fontId="10"/>
  </si>
  <si>
    <t>0x00000868</t>
    <phoneticPr fontId="10"/>
  </si>
  <si>
    <t>0x0000086A</t>
    <phoneticPr fontId="10"/>
  </si>
  <si>
    <t>0x0000086C</t>
    <phoneticPr fontId="10"/>
  </si>
  <si>
    <t>0x0000086E</t>
    <phoneticPr fontId="10"/>
  </si>
  <si>
    <t>0x00000870</t>
    <phoneticPr fontId="10"/>
  </si>
  <si>
    <t>0x00000872</t>
    <phoneticPr fontId="10"/>
  </si>
  <si>
    <t>0x00000874</t>
    <phoneticPr fontId="10"/>
  </si>
  <si>
    <t>0x00000876</t>
    <phoneticPr fontId="10"/>
  </si>
  <si>
    <t>0x00000878</t>
    <phoneticPr fontId="10"/>
  </si>
  <si>
    <t>0x0000087A</t>
    <phoneticPr fontId="10"/>
  </si>
  <si>
    <t>0x0000087C</t>
    <phoneticPr fontId="10"/>
  </si>
  <si>
    <t>0x0000087E</t>
    <phoneticPr fontId="10"/>
  </si>
  <si>
    <t>0x00000880</t>
    <phoneticPr fontId="10"/>
  </si>
  <si>
    <t>0x00000882</t>
    <phoneticPr fontId="10"/>
  </si>
  <si>
    <t>0x00000884</t>
    <phoneticPr fontId="10"/>
  </si>
  <si>
    <t>0x00000886</t>
    <phoneticPr fontId="10"/>
  </si>
  <si>
    <t>0x00000888</t>
    <phoneticPr fontId="10"/>
  </si>
  <si>
    <t>0x0000088A</t>
    <phoneticPr fontId="10"/>
  </si>
  <si>
    <t>0x0000088C</t>
    <phoneticPr fontId="10"/>
  </si>
  <si>
    <t>0x0000088E</t>
    <phoneticPr fontId="10"/>
  </si>
  <si>
    <t>0x00000890</t>
    <phoneticPr fontId="10"/>
  </si>
  <si>
    <t>0x00000892</t>
    <phoneticPr fontId="10"/>
  </si>
  <si>
    <t>0x00000894</t>
    <phoneticPr fontId="10"/>
  </si>
  <si>
    <t>0x00000896</t>
    <phoneticPr fontId="10"/>
  </si>
  <si>
    <t>0x00000898</t>
    <phoneticPr fontId="10"/>
  </si>
  <si>
    <t>0x0000089A</t>
    <phoneticPr fontId="10"/>
  </si>
  <si>
    <t>0x0000089C</t>
    <phoneticPr fontId="10"/>
  </si>
  <si>
    <t>0x0000089E</t>
    <phoneticPr fontId="10"/>
  </si>
  <si>
    <t>0x000008A0</t>
    <phoneticPr fontId="10"/>
  </si>
  <si>
    <t>0x000008A2</t>
    <phoneticPr fontId="10"/>
  </si>
  <si>
    <t>0x000008A4</t>
    <phoneticPr fontId="10"/>
  </si>
  <si>
    <t>0x000008A6</t>
    <phoneticPr fontId="10"/>
  </si>
  <si>
    <t>0x000008A8</t>
    <phoneticPr fontId="10"/>
  </si>
  <si>
    <t>0x000008AA</t>
    <phoneticPr fontId="10"/>
  </si>
  <si>
    <t>0x000008AC</t>
    <phoneticPr fontId="10"/>
  </si>
  <si>
    <t>0x000008AE</t>
    <phoneticPr fontId="10"/>
  </si>
  <si>
    <t>0x000008B0</t>
    <phoneticPr fontId="10"/>
  </si>
  <si>
    <t>0x000008B2</t>
    <phoneticPr fontId="10"/>
  </si>
  <si>
    <t>0x000008B4</t>
    <phoneticPr fontId="10"/>
  </si>
  <si>
    <t>0x000008B6</t>
    <phoneticPr fontId="10"/>
  </si>
  <si>
    <t>0x000008B8</t>
    <phoneticPr fontId="10"/>
  </si>
  <si>
    <t>0x000008BA</t>
    <phoneticPr fontId="10"/>
  </si>
  <si>
    <t>0x000008BC</t>
    <phoneticPr fontId="10"/>
  </si>
  <si>
    <t>0x000008BE</t>
    <phoneticPr fontId="10"/>
  </si>
  <si>
    <t>0x000008C0</t>
    <phoneticPr fontId="10"/>
  </si>
  <si>
    <t>0x000008C2</t>
    <phoneticPr fontId="10"/>
  </si>
  <si>
    <t>0x000008C4</t>
    <phoneticPr fontId="10"/>
  </si>
  <si>
    <t>0x000008C6</t>
    <phoneticPr fontId="10"/>
  </si>
  <si>
    <t>0x000008C8</t>
    <phoneticPr fontId="10"/>
  </si>
  <si>
    <t>0x000008CA</t>
    <phoneticPr fontId="10"/>
  </si>
  <si>
    <t>0x000008CC</t>
    <phoneticPr fontId="10"/>
  </si>
  <si>
    <t>0x000008CE</t>
    <phoneticPr fontId="10"/>
  </si>
  <si>
    <t>0x000008D0</t>
    <phoneticPr fontId="10"/>
  </si>
  <si>
    <t>0x000008D2</t>
    <phoneticPr fontId="10"/>
  </si>
  <si>
    <t>0x000008D4</t>
    <phoneticPr fontId="10"/>
  </si>
  <si>
    <t>0x000008D6</t>
    <phoneticPr fontId="10"/>
  </si>
  <si>
    <t>0x000008D8</t>
    <phoneticPr fontId="10"/>
  </si>
  <si>
    <t>0x000008DA</t>
    <phoneticPr fontId="10"/>
  </si>
  <si>
    <t>0x000008DC</t>
    <phoneticPr fontId="10"/>
  </si>
  <si>
    <t>0x000008DE</t>
    <phoneticPr fontId="10"/>
  </si>
  <si>
    <t>0x000008E0</t>
    <phoneticPr fontId="10"/>
  </si>
  <si>
    <t>0x000008E2</t>
    <phoneticPr fontId="10"/>
  </si>
  <si>
    <t>0x000008E4</t>
    <phoneticPr fontId="10"/>
  </si>
  <si>
    <t>0x000008E6</t>
    <phoneticPr fontId="10"/>
  </si>
  <si>
    <t>0x000008E8</t>
    <phoneticPr fontId="10"/>
  </si>
  <si>
    <t>0x000008EA</t>
    <phoneticPr fontId="10"/>
  </si>
  <si>
    <t>0x000008EC</t>
    <phoneticPr fontId="10"/>
  </si>
  <si>
    <t>0x000008EE</t>
    <phoneticPr fontId="10"/>
  </si>
  <si>
    <t>0x000008F0</t>
    <phoneticPr fontId="10"/>
  </si>
  <si>
    <t>0x000008F2</t>
    <phoneticPr fontId="10"/>
  </si>
  <si>
    <t>0x000008F4</t>
    <phoneticPr fontId="10"/>
  </si>
  <si>
    <t>0x000008F6</t>
    <phoneticPr fontId="10"/>
  </si>
  <si>
    <t>0x000008F8</t>
    <phoneticPr fontId="10"/>
  </si>
  <si>
    <t>0x000008FA</t>
    <phoneticPr fontId="10"/>
  </si>
  <si>
    <t>0x000008FC</t>
    <phoneticPr fontId="10"/>
  </si>
  <si>
    <t>0x000008FE</t>
    <phoneticPr fontId="10"/>
  </si>
  <si>
    <t>0x00000900</t>
    <phoneticPr fontId="10"/>
  </si>
  <si>
    <t>0x00000902</t>
    <phoneticPr fontId="10"/>
  </si>
  <si>
    <t>0x00000904</t>
    <phoneticPr fontId="10"/>
  </si>
  <si>
    <t>0x00000906</t>
    <phoneticPr fontId="10"/>
  </si>
  <si>
    <t>0x00000908</t>
    <phoneticPr fontId="10"/>
  </si>
  <si>
    <t>0x0000090A</t>
    <phoneticPr fontId="10"/>
  </si>
  <si>
    <t>0x0000090C</t>
    <phoneticPr fontId="10"/>
  </si>
  <si>
    <t>0x0000090E</t>
    <phoneticPr fontId="10"/>
  </si>
  <si>
    <t>0x00000910</t>
    <phoneticPr fontId="10"/>
  </si>
  <si>
    <t>0x00000912</t>
    <phoneticPr fontId="10"/>
  </si>
  <si>
    <t>0x00000914</t>
    <phoneticPr fontId="10"/>
  </si>
  <si>
    <t>0x00000916</t>
    <phoneticPr fontId="10"/>
  </si>
  <si>
    <t>0x00000918</t>
    <phoneticPr fontId="10"/>
  </si>
  <si>
    <t>0x0000091A</t>
    <phoneticPr fontId="10"/>
  </si>
  <si>
    <t>0x0000091C</t>
    <phoneticPr fontId="10"/>
  </si>
  <si>
    <t>0x0000091E</t>
    <phoneticPr fontId="10"/>
  </si>
  <si>
    <t>0x00000920</t>
    <phoneticPr fontId="10"/>
  </si>
  <si>
    <t>0x00000922</t>
    <phoneticPr fontId="10"/>
  </si>
  <si>
    <t>0x00000924</t>
    <phoneticPr fontId="10"/>
  </si>
  <si>
    <t>0x00000926</t>
    <phoneticPr fontId="10"/>
  </si>
  <si>
    <t>0x00000928</t>
    <phoneticPr fontId="10"/>
  </si>
  <si>
    <t>0x0000092A</t>
    <phoneticPr fontId="10"/>
  </si>
  <si>
    <t>0x0000092C</t>
    <phoneticPr fontId="10"/>
  </si>
  <si>
    <t>0x0000092E</t>
    <phoneticPr fontId="10"/>
  </si>
  <si>
    <t>0x00000930</t>
    <phoneticPr fontId="10"/>
  </si>
  <si>
    <t>0x00000932</t>
    <phoneticPr fontId="10"/>
  </si>
  <si>
    <t>0x00000934</t>
    <phoneticPr fontId="10"/>
  </si>
  <si>
    <t>0x00000936</t>
    <phoneticPr fontId="10"/>
  </si>
  <si>
    <t>0x00000938</t>
    <phoneticPr fontId="10"/>
  </si>
  <si>
    <t>0x0000093A</t>
    <phoneticPr fontId="10"/>
  </si>
  <si>
    <t>0x0000093C</t>
    <phoneticPr fontId="10"/>
  </si>
  <si>
    <t>0x0000093E</t>
    <phoneticPr fontId="10"/>
  </si>
  <si>
    <t>0x00000940</t>
    <phoneticPr fontId="10"/>
  </si>
  <si>
    <t>0x00000942</t>
    <phoneticPr fontId="10"/>
  </si>
  <si>
    <t>0x00000944</t>
    <phoneticPr fontId="10"/>
  </si>
  <si>
    <t>0x00000946</t>
    <phoneticPr fontId="10"/>
  </si>
  <si>
    <t>0x00000948</t>
    <phoneticPr fontId="10"/>
  </si>
  <si>
    <t>0x0000094A</t>
    <phoneticPr fontId="10"/>
  </si>
  <si>
    <t>0x0000094C</t>
    <phoneticPr fontId="10"/>
  </si>
  <si>
    <t>0x0000094E</t>
    <phoneticPr fontId="10"/>
  </si>
  <si>
    <t>0x00000950</t>
    <phoneticPr fontId="10"/>
  </si>
  <si>
    <t>0x00000952</t>
    <phoneticPr fontId="10"/>
  </si>
  <si>
    <t>0x00000954</t>
    <phoneticPr fontId="10"/>
  </si>
  <si>
    <t>0x00000956</t>
    <phoneticPr fontId="10"/>
  </si>
  <si>
    <t>0x00000958</t>
    <phoneticPr fontId="10"/>
  </si>
  <si>
    <t>0x0000095A</t>
    <phoneticPr fontId="10"/>
  </si>
  <si>
    <t>0x0000095C</t>
    <phoneticPr fontId="10"/>
  </si>
  <si>
    <t>0x0000095E</t>
    <phoneticPr fontId="10"/>
  </si>
  <si>
    <t>0x00000960</t>
    <phoneticPr fontId="10"/>
  </si>
  <si>
    <t>0x00000962</t>
    <phoneticPr fontId="10"/>
  </si>
  <si>
    <t>0x00000964</t>
    <phoneticPr fontId="10"/>
  </si>
  <si>
    <t>0x00000966</t>
    <phoneticPr fontId="10"/>
  </si>
  <si>
    <t>0x00000968</t>
    <phoneticPr fontId="10"/>
  </si>
  <si>
    <t>0x0000096A</t>
    <phoneticPr fontId="10"/>
  </si>
  <si>
    <t>0x0000096C</t>
    <phoneticPr fontId="10"/>
  </si>
  <si>
    <t>0x0000096E</t>
    <phoneticPr fontId="10"/>
  </si>
  <si>
    <t>0x00000970</t>
    <phoneticPr fontId="10"/>
  </si>
  <si>
    <t>0x00000972</t>
    <phoneticPr fontId="10"/>
  </si>
  <si>
    <t>0x00000974</t>
    <phoneticPr fontId="10"/>
  </si>
  <si>
    <t>0x00000976</t>
    <phoneticPr fontId="10"/>
  </si>
  <si>
    <t>0x00000978</t>
    <phoneticPr fontId="10"/>
  </si>
  <si>
    <t>0x0000097A</t>
    <phoneticPr fontId="10"/>
  </si>
  <si>
    <t>0x0000097C</t>
    <phoneticPr fontId="10"/>
  </si>
  <si>
    <t>0x0000097E</t>
    <phoneticPr fontId="10"/>
  </si>
  <si>
    <t>0x00000980</t>
    <phoneticPr fontId="10"/>
  </si>
  <si>
    <t>0x00000982</t>
    <phoneticPr fontId="10"/>
  </si>
  <si>
    <t>0x00000984</t>
    <phoneticPr fontId="10"/>
  </si>
  <si>
    <t>0x00000986</t>
    <phoneticPr fontId="10"/>
  </si>
  <si>
    <t>0x00000988</t>
    <phoneticPr fontId="10"/>
  </si>
  <si>
    <t>0x0000098A</t>
    <phoneticPr fontId="10"/>
  </si>
  <si>
    <t>0x0000098C</t>
    <phoneticPr fontId="10"/>
  </si>
  <si>
    <t>0x0000098E</t>
    <phoneticPr fontId="10"/>
  </si>
  <si>
    <t>0x00000990</t>
    <phoneticPr fontId="10"/>
  </si>
  <si>
    <t>0x00000992</t>
    <phoneticPr fontId="10"/>
  </si>
  <si>
    <t>0x00000994</t>
    <phoneticPr fontId="10"/>
  </si>
  <si>
    <t>0x00000996</t>
    <phoneticPr fontId="10"/>
  </si>
  <si>
    <t>0x00000998</t>
    <phoneticPr fontId="10"/>
  </si>
  <si>
    <t>0x0000099A</t>
    <phoneticPr fontId="10"/>
  </si>
  <si>
    <t>0x0000099C</t>
    <phoneticPr fontId="10"/>
  </si>
  <si>
    <t>0x0000099E</t>
    <phoneticPr fontId="10"/>
  </si>
  <si>
    <t>0x000009A0</t>
    <phoneticPr fontId="10"/>
  </si>
  <si>
    <t>0x000009A2</t>
    <phoneticPr fontId="10"/>
  </si>
  <si>
    <t>0x000009A4</t>
    <phoneticPr fontId="10"/>
  </si>
  <si>
    <t>0x000009A6</t>
    <phoneticPr fontId="10"/>
  </si>
  <si>
    <t>0x000009A8</t>
    <phoneticPr fontId="10"/>
  </si>
  <si>
    <t>0x000009AA</t>
    <phoneticPr fontId="10"/>
  </si>
  <si>
    <t>0x000009AC</t>
    <phoneticPr fontId="10"/>
  </si>
  <si>
    <t>0x000009AE</t>
    <phoneticPr fontId="10"/>
  </si>
  <si>
    <t>0x000009B0</t>
    <phoneticPr fontId="10"/>
  </si>
  <si>
    <t>0x000009B2</t>
    <phoneticPr fontId="10"/>
  </si>
  <si>
    <t>0x000009B4</t>
    <phoneticPr fontId="10"/>
  </si>
  <si>
    <t>0x000009B6</t>
    <phoneticPr fontId="10"/>
  </si>
  <si>
    <t>0x000009B8</t>
    <phoneticPr fontId="10"/>
  </si>
  <si>
    <t>0x000009BA</t>
    <phoneticPr fontId="10"/>
  </si>
  <si>
    <t>0x000009BC</t>
    <phoneticPr fontId="10"/>
  </si>
  <si>
    <t>0x000009BE</t>
    <phoneticPr fontId="10"/>
  </si>
  <si>
    <t>0x000009C0</t>
    <phoneticPr fontId="10"/>
  </si>
  <si>
    <t>0x000009C2</t>
    <phoneticPr fontId="10"/>
  </si>
  <si>
    <t>0x000009C4</t>
    <phoneticPr fontId="10"/>
  </si>
  <si>
    <t>0x000009C6</t>
    <phoneticPr fontId="10"/>
  </si>
  <si>
    <t>0x000009C8</t>
    <phoneticPr fontId="10"/>
  </si>
  <si>
    <t>0x000009CA</t>
    <phoneticPr fontId="10"/>
  </si>
  <si>
    <t>0x000009CC</t>
    <phoneticPr fontId="10"/>
  </si>
  <si>
    <t>0x000009CE</t>
    <phoneticPr fontId="10"/>
  </si>
  <si>
    <t>0x000009D0</t>
    <phoneticPr fontId="10"/>
  </si>
  <si>
    <t>0x000009D2</t>
    <phoneticPr fontId="10"/>
  </si>
  <si>
    <t>0x000009D4</t>
    <phoneticPr fontId="10"/>
  </si>
  <si>
    <t>0x000009D6</t>
    <phoneticPr fontId="10"/>
  </si>
  <si>
    <t>0x000009D8</t>
    <phoneticPr fontId="10"/>
  </si>
  <si>
    <t>0x000009DA</t>
    <phoneticPr fontId="10"/>
  </si>
  <si>
    <t>0x000009DC</t>
    <phoneticPr fontId="10"/>
  </si>
  <si>
    <t>0x000009DE</t>
    <phoneticPr fontId="10"/>
  </si>
  <si>
    <t>0x000009E0</t>
    <phoneticPr fontId="10"/>
  </si>
  <si>
    <t>0x000009E2</t>
    <phoneticPr fontId="10"/>
  </si>
  <si>
    <t>0x000009E4</t>
    <phoneticPr fontId="10"/>
  </si>
  <si>
    <t>0x000009E6</t>
    <phoneticPr fontId="10"/>
  </si>
  <si>
    <t>0x000009E8</t>
    <phoneticPr fontId="10"/>
  </si>
  <si>
    <t>0x000009EA</t>
    <phoneticPr fontId="10"/>
  </si>
  <si>
    <t>0x000009EC</t>
    <phoneticPr fontId="10"/>
  </si>
  <si>
    <t>0x000009EE</t>
    <phoneticPr fontId="10"/>
  </si>
  <si>
    <t>0x000009F0</t>
    <phoneticPr fontId="10"/>
  </si>
  <si>
    <t>0x000009F2</t>
    <phoneticPr fontId="10"/>
  </si>
  <si>
    <t>0x000009F4</t>
    <phoneticPr fontId="10"/>
  </si>
  <si>
    <t>0x000009F6</t>
    <phoneticPr fontId="10"/>
  </si>
  <si>
    <t>0x000009F8</t>
    <phoneticPr fontId="10"/>
  </si>
  <si>
    <t>0x000009FA</t>
    <phoneticPr fontId="10"/>
  </si>
  <si>
    <t>0x000009FC</t>
    <phoneticPr fontId="10"/>
  </si>
  <si>
    <t>0x000009FE</t>
    <phoneticPr fontId="10"/>
  </si>
  <si>
    <t>0x00000A00</t>
    <phoneticPr fontId="10"/>
  </si>
  <si>
    <t>0x00000A02</t>
    <phoneticPr fontId="10"/>
  </si>
  <si>
    <t>0x00000A04</t>
    <phoneticPr fontId="10"/>
  </si>
  <si>
    <t>0x00000A06</t>
    <phoneticPr fontId="10"/>
  </si>
  <si>
    <t>0x00000A08</t>
    <phoneticPr fontId="10"/>
  </si>
  <si>
    <t>0x00000A0A</t>
    <phoneticPr fontId="10"/>
  </si>
  <si>
    <t>0x00000A0C</t>
    <phoneticPr fontId="10"/>
  </si>
  <si>
    <t>0x00000A0E</t>
    <phoneticPr fontId="10"/>
  </si>
  <si>
    <t>0x00000A10</t>
    <phoneticPr fontId="10"/>
  </si>
  <si>
    <t>0x00000A12</t>
    <phoneticPr fontId="10"/>
  </si>
  <si>
    <t>0x00000A14</t>
    <phoneticPr fontId="10"/>
  </si>
  <si>
    <t>0x00000A16</t>
    <phoneticPr fontId="10"/>
  </si>
  <si>
    <t>0x00000A18</t>
    <phoneticPr fontId="10"/>
  </si>
  <si>
    <t>0x00000A1A</t>
    <phoneticPr fontId="10"/>
  </si>
  <si>
    <t>0x00000A1C</t>
    <phoneticPr fontId="10"/>
  </si>
  <si>
    <t>0x00000A1E</t>
    <phoneticPr fontId="10"/>
  </si>
  <si>
    <t>0x00000A20</t>
    <phoneticPr fontId="10"/>
  </si>
  <si>
    <t>0x00000A22</t>
    <phoneticPr fontId="10"/>
  </si>
  <si>
    <t>0x00000A24</t>
    <phoneticPr fontId="10"/>
  </si>
  <si>
    <t>0x00000A26</t>
    <phoneticPr fontId="10"/>
  </si>
  <si>
    <t>0x00000A28</t>
    <phoneticPr fontId="10"/>
  </si>
  <si>
    <t>0x00000A2A</t>
    <phoneticPr fontId="10"/>
  </si>
  <si>
    <t>0x00000A2C</t>
    <phoneticPr fontId="10"/>
  </si>
  <si>
    <t>0x00000A2E</t>
    <phoneticPr fontId="10"/>
  </si>
  <si>
    <t>0x00000A30</t>
    <phoneticPr fontId="10"/>
  </si>
  <si>
    <t>0x00000A32</t>
    <phoneticPr fontId="10"/>
  </si>
  <si>
    <t>0x00000A34</t>
    <phoneticPr fontId="10"/>
  </si>
  <si>
    <t>0x00000A36</t>
    <phoneticPr fontId="10"/>
  </si>
  <si>
    <t>0x00000A38</t>
    <phoneticPr fontId="10"/>
  </si>
  <si>
    <t>0x00000A3A</t>
    <phoneticPr fontId="10"/>
  </si>
  <si>
    <t>0x00000A3C</t>
    <phoneticPr fontId="10"/>
  </si>
  <si>
    <t>0x00000A3E</t>
    <phoneticPr fontId="10"/>
  </si>
  <si>
    <t>0x00000A40</t>
    <phoneticPr fontId="10"/>
  </si>
  <si>
    <t>0x00000A42</t>
    <phoneticPr fontId="10"/>
  </si>
  <si>
    <t>0x00000A44</t>
    <phoneticPr fontId="10"/>
  </si>
  <si>
    <t>0x00000A46</t>
    <phoneticPr fontId="10"/>
  </si>
  <si>
    <t>0x00000A48</t>
    <phoneticPr fontId="10"/>
  </si>
  <si>
    <t>0x00000A4A</t>
    <phoneticPr fontId="10"/>
  </si>
  <si>
    <t>0x00000A4C</t>
    <phoneticPr fontId="10"/>
  </si>
  <si>
    <t>0x00000A4E</t>
    <phoneticPr fontId="10"/>
  </si>
  <si>
    <t>0x00000A50</t>
    <phoneticPr fontId="10"/>
  </si>
  <si>
    <t>0x00000A52</t>
    <phoneticPr fontId="10"/>
  </si>
  <si>
    <t>0x00000A54</t>
    <phoneticPr fontId="10"/>
  </si>
  <si>
    <t>0x00000A56</t>
    <phoneticPr fontId="10"/>
  </si>
  <si>
    <t>0x00000A58</t>
    <phoneticPr fontId="10"/>
  </si>
  <si>
    <t>0x00000A5A</t>
    <phoneticPr fontId="10"/>
  </si>
  <si>
    <t>0x00000A5C</t>
    <phoneticPr fontId="10"/>
  </si>
  <si>
    <t>0x00000A5E</t>
    <phoneticPr fontId="10"/>
  </si>
  <si>
    <t>0x00000A60</t>
    <phoneticPr fontId="10"/>
  </si>
  <si>
    <t>0x00000A62</t>
    <phoneticPr fontId="10"/>
  </si>
  <si>
    <t>0x00000A64</t>
    <phoneticPr fontId="10"/>
  </si>
  <si>
    <t>0x00000A66</t>
    <phoneticPr fontId="10"/>
  </si>
  <si>
    <t>0x00000A68</t>
    <phoneticPr fontId="10"/>
  </si>
  <si>
    <t>0x00000A6A</t>
    <phoneticPr fontId="10"/>
  </si>
  <si>
    <t>0x00000A6C</t>
    <phoneticPr fontId="10"/>
  </si>
  <si>
    <t>0x00000A6E</t>
    <phoneticPr fontId="10"/>
  </si>
  <si>
    <t>0x00000A70</t>
    <phoneticPr fontId="10"/>
  </si>
  <si>
    <t>0x00000A72</t>
    <phoneticPr fontId="10"/>
  </si>
  <si>
    <t>0x00000A74</t>
    <phoneticPr fontId="10"/>
  </si>
  <si>
    <t>0x00000A76</t>
    <phoneticPr fontId="10"/>
  </si>
  <si>
    <t>0x00000A78</t>
    <phoneticPr fontId="10"/>
  </si>
  <si>
    <t>0x00000A7A</t>
    <phoneticPr fontId="10"/>
  </si>
  <si>
    <t>0x00000A7C</t>
    <phoneticPr fontId="10"/>
  </si>
  <si>
    <t>0x00000A7E</t>
    <phoneticPr fontId="10"/>
  </si>
  <si>
    <t>0x00000A80</t>
    <phoneticPr fontId="10"/>
  </si>
  <si>
    <t>0x00000A82</t>
    <phoneticPr fontId="10"/>
  </si>
  <si>
    <t>0x00000A84</t>
    <phoneticPr fontId="10"/>
  </si>
  <si>
    <t>0x00000A86</t>
    <phoneticPr fontId="10"/>
  </si>
  <si>
    <t>0x00000A88</t>
    <phoneticPr fontId="10"/>
  </si>
  <si>
    <t>0x00000A8A</t>
    <phoneticPr fontId="10"/>
  </si>
  <si>
    <t>0x00000A8C</t>
    <phoneticPr fontId="10"/>
  </si>
  <si>
    <t>0x00000A8E</t>
    <phoneticPr fontId="10"/>
  </si>
  <si>
    <t>0x00000A90</t>
    <phoneticPr fontId="10"/>
  </si>
  <si>
    <t>0x00000A92</t>
    <phoneticPr fontId="10"/>
  </si>
  <si>
    <t>0x00000A94</t>
    <phoneticPr fontId="10"/>
  </si>
  <si>
    <t>0x00000A96</t>
    <phoneticPr fontId="10"/>
  </si>
  <si>
    <t>0x00000A98</t>
    <phoneticPr fontId="10"/>
  </si>
  <si>
    <t>0x00000A9A</t>
    <phoneticPr fontId="10"/>
  </si>
  <si>
    <t>0x00000A9C</t>
    <phoneticPr fontId="10"/>
  </si>
  <si>
    <t>0x00000A9E</t>
    <phoneticPr fontId="10"/>
  </si>
  <si>
    <t>0x00000AA0</t>
    <phoneticPr fontId="10"/>
  </si>
  <si>
    <t>0x00000AA2</t>
    <phoneticPr fontId="10"/>
  </si>
  <si>
    <t>0x00000AA4</t>
    <phoneticPr fontId="10"/>
  </si>
  <si>
    <t>0x00000AA6</t>
    <phoneticPr fontId="10"/>
  </si>
  <si>
    <t>0x00000AA8</t>
    <phoneticPr fontId="10"/>
  </si>
  <si>
    <t>0x00000AAA</t>
    <phoneticPr fontId="10"/>
  </si>
  <si>
    <t>0x00000AAC</t>
    <phoneticPr fontId="10"/>
  </si>
  <si>
    <t>0x00000AAE</t>
    <phoneticPr fontId="10"/>
  </si>
  <si>
    <t>0x00000AB0</t>
    <phoneticPr fontId="10"/>
  </si>
  <si>
    <t>0x00000AB2</t>
    <phoneticPr fontId="10"/>
  </si>
  <si>
    <t>0x00000AB4</t>
    <phoneticPr fontId="10"/>
  </si>
  <si>
    <t>0x00000AB6</t>
    <phoneticPr fontId="10"/>
  </si>
  <si>
    <t>0x00000AB8</t>
    <phoneticPr fontId="10"/>
  </si>
  <si>
    <t>0x00000ABA</t>
    <phoneticPr fontId="10"/>
  </si>
  <si>
    <t>0x00000ABC</t>
    <phoneticPr fontId="10"/>
  </si>
  <si>
    <t>0x00000ABE</t>
    <phoneticPr fontId="10"/>
  </si>
  <si>
    <t>0x00000AC0</t>
    <phoneticPr fontId="10"/>
  </si>
  <si>
    <t>0x00000AC2</t>
    <phoneticPr fontId="10"/>
  </si>
  <si>
    <t>0x00000AC4</t>
    <phoneticPr fontId="10"/>
  </si>
  <si>
    <t>0x00000AC6</t>
    <phoneticPr fontId="10"/>
  </si>
  <si>
    <t>0x00000AC8</t>
    <phoneticPr fontId="10"/>
  </si>
  <si>
    <t>0x00000ACA</t>
    <phoneticPr fontId="10"/>
  </si>
  <si>
    <t>0x00000ACC</t>
    <phoneticPr fontId="10"/>
  </si>
  <si>
    <t>0x00000ACE</t>
    <phoneticPr fontId="10"/>
  </si>
  <si>
    <t>0x00000AD0</t>
    <phoneticPr fontId="10"/>
  </si>
  <si>
    <t>0x00000AD2</t>
    <phoneticPr fontId="10"/>
  </si>
  <si>
    <t>0x00000AD4</t>
    <phoneticPr fontId="10"/>
  </si>
  <si>
    <t>0x00000AD6</t>
    <phoneticPr fontId="10"/>
  </si>
  <si>
    <t>0x00000AD8</t>
    <phoneticPr fontId="10"/>
  </si>
  <si>
    <t>0x00000ADA</t>
    <phoneticPr fontId="10"/>
  </si>
  <si>
    <t>0x00000ADC</t>
    <phoneticPr fontId="10"/>
  </si>
  <si>
    <t>0x00000ADE</t>
    <phoneticPr fontId="10"/>
  </si>
  <si>
    <t>0x00000AE0</t>
    <phoneticPr fontId="10"/>
  </si>
  <si>
    <t>0x00000AE2</t>
    <phoneticPr fontId="10"/>
  </si>
  <si>
    <t>0x00000AE4</t>
    <phoneticPr fontId="10"/>
  </si>
  <si>
    <t>0x00000AE6</t>
    <phoneticPr fontId="10"/>
  </si>
  <si>
    <t>0x00000AE8</t>
    <phoneticPr fontId="10"/>
  </si>
  <si>
    <t>0x00000AEA</t>
    <phoneticPr fontId="10"/>
  </si>
  <si>
    <t>0x00000AEC</t>
    <phoneticPr fontId="10"/>
  </si>
  <si>
    <t>0x00000AEE</t>
    <phoneticPr fontId="10"/>
  </si>
  <si>
    <t>0x00000AF0</t>
    <phoneticPr fontId="10"/>
  </si>
  <si>
    <t>0x00000AF2</t>
    <phoneticPr fontId="10"/>
  </si>
  <si>
    <t>0x00000AF4</t>
    <phoneticPr fontId="10"/>
  </si>
  <si>
    <t>0x00000AF6</t>
    <phoneticPr fontId="10"/>
  </si>
  <si>
    <t>0x00000AF8</t>
    <phoneticPr fontId="10"/>
  </si>
  <si>
    <t>0x00000AFA</t>
    <phoneticPr fontId="10"/>
  </si>
  <si>
    <t>0x00000AFC</t>
    <phoneticPr fontId="10"/>
  </si>
  <si>
    <t>0x00000AFE</t>
    <phoneticPr fontId="10"/>
  </si>
  <si>
    <t>0x00000B00</t>
    <phoneticPr fontId="10"/>
  </si>
  <si>
    <t>0x00000B02</t>
    <phoneticPr fontId="10"/>
  </si>
  <si>
    <t>0x00000B04</t>
    <phoneticPr fontId="10"/>
  </si>
  <si>
    <t>0x00000B06</t>
    <phoneticPr fontId="10"/>
  </si>
  <si>
    <t>0x00000B08</t>
    <phoneticPr fontId="10"/>
  </si>
  <si>
    <t>0x00000B0A</t>
    <phoneticPr fontId="10"/>
  </si>
  <si>
    <t>0x00000B0C</t>
    <phoneticPr fontId="10"/>
  </si>
  <si>
    <t>0x00000B0E</t>
    <phoneticPr fontId="10"/>
  </si>
  <si>
    <t>0x00000B10</t>
    <phoneticPr fontId="10"/>
  </si>
  <si>
    <t>0x00000B12</t>
    <phoneticPr fontId="10"/>
  </si>
  <si>
    <t>0x00000B14</t>
    <phoneticPr fontId="10"/>
  </si>
  <si>
    <t>0x00000B16</t>
    <phoneticPr fontId="10"/>
  </si>
  <si>
    <t>0x00000B18</t>
    <phoneticPr fontId="10"/>
  </si>
  <si>
    <t>0x00000B1A</t>
    <phoneticPr fontId="10"/>
  </si>
  <si>
    <t>0x00000B1C</t>
    <phoneticPr fontId="10"/>
  </si>
  <si>
    <t>0x00000B1E</t>
    <phoneticPr fontId="10"/>
  </si>
  <si>
    <t>0x00000B20</t>
    <phoneticPr fontId="10"/>
  </si>
  <si>
    <t>0x00000B22</t>
    <phoneticPr fontId="10"/>
  </si>
  <si>
    <t>0x00000B24</t>
    <phoneticPr fontId="10"/>
  </si>
  <si>
    <t>0x00000B26</t>
    <phoneticPr fontId="10"/>
  </si>
  <si>
    <t>0x00000B28</t>
    <phoneticPr fontId="10"/>
  </si>
  <si>
    <t>0x00000B2A</t>
    <phoneticPr fontId="10"/>
  </si>
  <si>
    <t>0x00000B2C</t>
    <phoneticPr fontId="10"/>
  </si>
  <si>
    <t>0x00000B2E</t>
    <phoneticPr fontId="10"/>
  </si>
  <si>
    <t>0x00000B30</t>
    <phoneticPr fontId="10"/>
  </si>
  <si>
    <t>0x00000B32</t>
    <phoneticPr fontId="10"/>
  </si>
  <si>
    <t>0x00000B34</t>
    <phoneticPr fontId="10"/>
  </si>
  <si>
    <t>0x00000B36</t>
    <phoneticPr fontId="10"/>
  </si>
  <si>
    <t>0x00000B38</t>
    <phoneticPr fontId="10"/>
  </si>
  <si>
    <t>0x00000B3A</t>
    <phoneticPr fontId="10"/>
  </si>
  <si>
    <t>0x00000B3C</t>
    <phoneticPr fontId="10"/>
  </si>
  <si>
    <t>0x00000B3E</t>
    <phoneticPr fontId="10"/>
  </si>
  <si>
    <t>0x00000B40</t>
    <phoneticPr fontId="10"/>
  </si>
  <si>
    <t>0x00000B42</t>
    <phoneticPr fontId="10"/>
  </si>
  <si>
    <t>0x00000B44</t>
    <phoneticPr fontId="10"/>
  </si>
  <si>
    <t>0x00000B46</t>
    <phoneticPr fontId="10"/>
  </si>
  <si>
    <t>0x00000B48</t>
    <phoneticPr fontId="10"/>
  </si>
  <si>
    <t>0x00000B4A</t>
    <phoneticPr fontId="10"/>
  </si>
  <si>
    <t>0x00000B4C</t>
    <phoneticPr fontId="10"/>
  </si>
  <si>
    <t>0x00000B4E</t>
    <phoneticPr fontId="10"/>
  </si>
  <si>
    <t>0x00000B50</t>
    <phoneticPr fontId="10"/>
  </si>
  <si>
    <t>0x00000B52</t>
    <phoneticPr fontId="10"/>
  </si>
  <si>
    <t>0x00000B54</t>
    <phoneticPr fontId="10"/>
  </si>
  <si>
    <t>0x00000B56</t>
    <phoneticPr fontId="10"/>
  </si>
  <si>
    <t>0x00000B58</t>
    <phoneticPr fontId="10"/>
  </si>
  <si>
    <t>0x00000B5A</t>
    <phoneticPr fontId="10"/>
  </si>
  <si>
    <t>0x00000B5C</t>
    <phoneticPr fontId="10"/>
  </si>
  <si>
    <t>0x00000B5E</t>
    <phoneticPr fontId="10"/>
  </si>
  <si>
    <t>0x00000B60</t>
    <phoneticPr fontId="10"/>
  </si>
  <si>
    <t>0x00000B62</t>
    <phoneticPr fontId="10"/>
  </si>
  <si>
    <t>0x00000B64</t>
    <phoneticPr fontId="10"/>
  </si>
  <si>
    <t>0x00000B66</t>
    <phoneticPr fontId="10"/>
  </si>
  <si>
    <t>0x00000B68</t>
    <phoneticPr fontId="10"/>
  </si>
  <si>
    <t>0x00000B6A</t>
    <phoneticPr fontId="10"/>
  </si>
  <si>
    <t>0x00000B6C</t>
    <phoneticPr fontId="10"/>
  </si>
  <si>
    <t>0x00000B6E</t>
    <phoneticPr fontId="10"/>
  </si>
  <si>
    <t>0x00000B70</t>
    <phoneticPr fontId="10"/>
  </si>
  <si>
    <t>0x00000B72</t>
    <phoneticPr fontId="10"/>
  </si>
  <si>
    <t>0x00000B74</t>
    <phoneticPr fontId="10"/>
  </si>
  <si>
    <t>0x00000B76</t>
    <phoneticPr fontId="10"/>
  </si>
  <si>
    <t>0x00000B78</t>
    <phoneticPr fontId="10"/>
  </si>
  <si>
    <t>0x00000B7A</t>
    <phoneticPr fontId="10"/>
  </si>
  <si>
    <t>0x00000B7C</t>
    <phoneticPr fontId="10"/>
  </si>
  <si>
    <t>0x00000B7E</t>
    <phoneticPr fontId="10"/>
  </si>
  <si>
    <t>0x00000B80</t>
    <phoneticPr fontId="10"/>
  </si>
  <si>
    <t>0x00000B82</t>
    <phoneticPr fontId="10"/>
  </si>
  <si>
    <t>0x00000B84</t>
    <phoneticPr fontId="10"/>
  </si>
  <si>
    <t>0x00000B86</t>
    <phoneticPr fontId="10"/>
  </si>
  <si>
    <t>0x00000B88</t>
    <phoneticPr fontId="10"/>
  </si>
  <si>
    <t>0x00000B8A</t>
    <phoneticPr fontId="10"/>
  </si>
  <si>
    <t>0x00000B8C</t>
    <phoneticPr fontId="10"/>
  </si>
  <si>
    <t>0x00000B8E</t>
    <phoneticPr fontId="10"/>
  </si>
  <si>
    <t>0x00000B90</t>
    <phoneticPr fontId="10"/>
  </si>
  <si>
    <t>0x00000B92</t>
    <phoneticPr fontId="10"/>
  </si>
  <si>
    <t>0x00000B94</t>
    <phoneticPr fontId="10"/>
  </si>
  <si>
    <t>0x00000B96</t>
    <phoneticPr fontId="10"/>
  </si>
  <si>
    <t>0x00000B98</t>
    <phoneticPr fontId="10"/>
  </si>
  <si>
    <t>0x00000B9A</t>
    <phoneticPr fontId="10"/>
  </si>
  <si>
    <t>0x00000B9C</t>
    <phoneticPr fontId="10"/>
  </si>
  <si>
    <t>0x00000B9E</t>
    <phoneticPr fontId="10"/>
  </si>
  <si>
    <t>0x00000BA0</t>
    <phoneticPr fontId="10"/>
  </si>
  <si>
    <t>0x00000BA2</t>
    <phoneticPr fontId="10"/>
  </si>
  <si>
    <t>0x00000BA4</t>
    <phoneticPr fontId="10"/>
  </si>
  <si>
    <t>0x00000BA6</t>
    <phoneticPr fontId="10"/>
  </si>
  <si>
    <t>0x00000BA8</t>
    <phoneticPr fontId="10"/>
  </si>
  <si>
    <t>0x00000BAA</t>
    <phoneticPr fontId="10"/>
  </si>
  <si>
    <t>0x00000BAC</t>
    <phoneticPr fontId="10"/>
  </si>
  <si>
    <t>0x00000BAE</t>
    <phoneticPr fontId="10"/>
  </si>
  <si>
    <t>0x00000BB0</t>
    <phoneticPr fontId="10"/>
  </si>
  <si>
    <t>0x00000BB2</t>
    <phoneticPr fontId="10"/>
  </si>
  <si>
    <t>0x00000BB4</t>
    <phoneticPr fontId="10"/>
  </si>
  <si>
    <t>0x00000BB6</t>
    <phoneticPr fontId="10"/>
  </si>
  <si>
    <t>0x00000BB8</t>
    <phoneticPr fontId="10"/>
  </si>
  <si>
    <t>0x00000BBA</t>
    <phoneticPr fontId="10"/>
  </si>
  <si>
    <t>0x00000BBC</t>
    <phoneticPr fontId="10"/>
  </si>
  <si>
    <t>0x00000BBE</t>
    <phoneticPr fontId="10"/>
  </si>
  <si>
    <t>0x00000BC0</t>
    <phoneticPr fontId="10"/>
  </si>
  <si>
    <t>0x00000BC2</t>
    <phoneticPr fontId="10"/>
  </si>
  <si>
    <t>0x00000BC4</t>
    <phoneticPr fontId="10"/>
  </si>
  <si>
    <t>0x00000BC6</t>
    <phoneticPr fontId="10"/>
  </si>
  <si>
    <t>0x00000BC8</t>
    <phoneticPr fontId="10"/>
  </si>
  <si>
    <t>0x00000BCA</t>
    <phoneticPr fontId="10"/>
  </si>
  <si>
    <t>0x00000BCC</t>
    <phoneticPr fontId="10"/>
  </si>
  <si>
    <t>0x00000BCE</t>
    <phoneticPr fontId="10"/>
  </si>
  <si>
    <t>0x00000BD0</t>
    <phoneticPr fontId="10"/>
  </si>
  <si>
    <t>0x00000BD2</t>
    <phoneticPr fontId="10"/>
  </si>
  <si>
    <t>0x00000BD4</t>
    <phoneticPr fontId="10"/>
  </si>
  <si>
    <t>0x00000BD6</t>
    <phoneticPr fontId="10"/>
  </si>
  <si>
    <t>0x00000BD8</t>
    <phoneticPr fontId="10"/>
  </si>
  <si>
    <t>0x00000BDA</t>
    <phoneticPr fontId="10"/>
  </si>
  <si>
    <t>0x00000BDC</t>
    <phoneticPr fontId="10"/>
  </si>
  <si>
    <t>0x00000BDE</t>
    <phoneticPr fontId="10"/>
  </si>
  <si>
    <t>0x00000BE0</t>
    <phoneticPr fontId="10"/>
  </si>
  <si>
    <t>0x00000BE2</t>
    <phoneticPr fontId="10"/>
  </si>
  <si>
    <t>0x00000BE4</t>
    <phoneticPr fontId="10"/>
  </si>
  <si>
    <t>0x00000BE6</t>
    <phoneticPr fontId="10"/>
  </si>
  <si>
    <t>0x00000BE8</t>
    <phoneticPr fontId="10"/>
  </si>
  <si>
    <t>0x00000BEA</t>
    <phoneticPr fontId="10"/>
  </si>
  <si>
    <t>0x00000BEC</t>
    <phoneticPr fontId="10"/>
  </si>
  <si>
    <t>0x00000BEE</t>
    <phoneticPr fontId="10"/>
  </si>
  <si>
    <t>0x00000BF0</t>
    <phoneticPr fontId="10"/>
  </si>
  <si>
    <t>0x00000BF2</t>
    <phoneticPr fontId="10"/>
  </si>
  <si>
    <t>0x00000BF4</t>
    <phoneticPr fontId="10"/>
  </si>
  <si>
    <t>0x00000BF6</t>
    <phoneticPr fontId="10"/>
  </si>
  <si>
    <t>0x00000BF8</t>
    <phoneticPr fontId="10"/>
  </si>
  <si>
    <t>0x00000BFA</t>
    <phoneticPr fontId="10"/>
  </si>
  <si>
    <t>0x00000BFC</t>
    <phoneticPr fontId="10"/>
  </si>
  <si>
    <t>0x00000BFE</t>
    <phoneticPr fontId="10"/>
  </si>
  <si>
    <t>0x00000C00</t>
    <phoneticPr fontId="10"/>
  </si>
  <si>
    <t>0x00000C02</t>
    <phoneticPr fontId="10"/>
  </si>
  <si>
    <t>0x00000C04</t>
    <phoneticPr fontId="10"/>
  </si>
  <si>
    <t>0x00000C06</t>
    <phoneticPr fontId="10"/>
  </si>
  <si>
    <t>0x00000C08</t>
    <phoneticPr fontId="10"/>
  </si>
  <si>
    <t>0x00000C0A</t>
    <phoneticPr fontId="10"/>
  </si>
  <si>
    <t>0x00000C0C</t>
    <phoneticPr fontId="10"/>
  </si>
  <si>
    <t>0x00000C0E</t>
    <phoneticPr fontId="10"/>
  </si>
  <si>
    <t>0x00000C10</t>
    <phoneticPr fontId="10"/>
  </si>
  <si>
    <t>0x00000C12</t>
    <phoneticPr fontId="10"/>
  </si>
  <si>
    <t>0x00000C14</t>
    <phoneticPr fontId="10"/>
  </si>
  <si>
    <t>0x00000C16</t>
    <phoneticPr fontId="10"/>
  </si>
  <si>
    <t>0x00000C18</t>
    <phoneticPr fontId="10"/>
  </si>
  <si>
    <t>0x00000C1A</t>
    <phoneticPr fontId="10"/>
  </si>
  <si>
    <t>0x00000C1C</t>
    <phoneticPr fontId="10"/>
  </si>
  <si>
    <t>0x00000C1E</t>
    <phoneticPr fontId="10"/>
  </si>
  <si>
    <t>0x00000C20</t>
    <phoneticPr fontId="10"/>
  </si>
  <si>
    <t>0x00000C22</t>
    <phoneticPr fontId="10"/>
  </si>
  <si>
    <t>0x00000C24</t>
    <phoneticPr fontId="10"/>
  </si>
  <si>
    <t>0x00000C26</t>
    <phoneticPr fontId="10"/>
  </si>
  <si>
    <t>0x00000C28</t>
    <phoneticPr fontId="10"/>
  </si>
  <si>
    <t>0x00000C2A</t>
    <phoneticPr fontId="10"/>
  </si>
  <si>
    <t>0x00000C2C</t>
    <phoneticPr fontId="10"/>
  </si>
  <si>
    <t>0x00000C2E</t>
    <phoneticPr fontId="10"/>
  </si>
  <si>
    <t>0x00000C30</t>
    <phoneticPr fontId="10"/>
  </si>
  <si>
    <t>0x00000C32</t>
    <phoneticPr fontId="10"/>
  </si>
  <si>
    <t>0x00000C34</t>
    <phoneticPr fontId="10"/>
  </si>
  <si>
    <t>0x00000C36</t>
    <phoneticPr fontId="10"/>
  </si>
  <si>
    <t>0x00000C38</t>
    <phoneticPr fontId="10"/>
  </si>
  <si>
    <t>0x00000C3A</t>
    <phoneticPr fontId="10"/>
  </si>
  <si>
    <t>0x00000C3C</t>
    <phoneticPr fontId="10"/>
  </si>
  <si>
    <t>0x00000C3E</t>
    <phoneticPr fontId="10"/>
  </si>
  <si>
    <t>0x00000C40</t>
    <phoneticPr fontId="10"/>
  </si>
  <si>
    <t>0x00000C42</t>
    <phoneticPr fontId="10"/>
  </si>
  <si>
    <t>0x00000C44</t>
    <phoneticPr fontId="10"/>
  </si>
  <si>
    <t>0x00000C46</t>
    <phoneticPr fontId="10"/>
  </si>
  <si>
    <t>0x00000C48</t>
    <phoneticPr fontId="10"/>
  </si>
  <si>
    <t>0x00000C4A</t>
    <phoneticPr fontId="10"/>
  </si>
  <si>
    <t>0x00000C4C</t>
    <phoneticPr fontId="10"/>
  </si>
  <si>
    <t>0x00000C4E</t>
    <phoneticPr fontId="10"/>
  </si>
  <si>
    <t>0x00000C50</t>
    <phoneticPr fontId="10"/>
  </si>
  <si>
    <t>0x00000C52</t>
    <phoneticPr fontId="10"/>
  </si>
  <si>
    <t>0x00000C54</t>
    <phoneticPr fontId="10"/>
  </si>
  <si>
    <t>0x00000C56</t>
    <phoneticPr fontId="10"/>
  </si>
  <si>
    <t>0x00000C58</t>
    <phoneticPr fontId="10"/>
  </si>
  <si>
    <t>0x00000C5A</t>
    <phoneticPr fontId="10"/>
  </si>
  <si>
    <t>0x00000C5C</t>
    <phoneticPr fontId="10"/>
  </si>
  <si>
    <t>0x00000C5E</t>
    <phoneticPr fontId="10"/>
  </si>
  <si>
    <t>0x00000C60</t>
    <phoneticPr fontId="10"/>
  </si>
  <si>
    <t>0x00000C62</t>
    <phoneticPr fontId="10"/>
  </si>
  <si>
    <t>0x00000C64</t>
    <phoneticPr fontId="10"/>
  </si>
  <si>
    <t>0x00000C66</t>
    <phoneticPr fontId="10"/>
  </si>
  <si>
    <t>0x00000C68</t>
    <phoneticPr fontId="10"/>
  </si>
  <si>
    <t>0x00000C6A</t>
    <phoneticPr fontId="10"/>
  </si>
  <si>
    <t>0x00000C6C</t>
    <phoneticPr fontId="10"/>
  </si>
  <si>
    <t>0x00000C6E</t>
    <phoneticPr fontId="10"/>
  </si>
  <si>
    <t>0x00000C70</t>
    <phoneticPr fontId="10"/>
  </si>
  <si>
    <t>0x00000C72</t>
    <phoneticPr fontId="10"/>
  </si>
  <si>
    <t>0x00000C74</t>
    <phoneticPr fontId="10"/>
  </si>
  <si>
    <t>0x00000C76</t>
    <phoneticPr fontId="10"/>
  </si>
  <si>
    <t>0x00000C78</t>
    <phoneticPr fontId="10"/>
  </si>
  <si>
    <t>0x00000C7A</t>
    <phoneticPr fontId="10"/>
  </si>
  <si>
    <t>0x00000C7C</t>
    <phoneticPr fontId="10"/>
  </si>
  <si>
    <t>0x00000C7E</t>
    <phoneticPr fontId="10"/>
  </si>
  <si>
    <t>0x00000C80</t>
    <phoneticPr fontId="10"/>
  </si>
  <si>
    <t>0x00000C82</t>
    <phoneticPr fontId="10"/>
  </si>
  <si>
    <t>0x00000C84</t>
    <phoneticPr fontId="10"/>
  </si>
  <si>
    <t>0x00000C86</t>
    <phoneticPr fontId="10"/>
  </si>
  <si>
    <t>0x00000C88</t>
    <phoneticPr fontId="10"/>
  </si>
  <si>
    <t>0x00000C8A</t>
    <phoneticPr fontId="10"/>
  </si>
  <si>
    <t>0x00000C8C</t>
    <phoneticPr fontId="10"/>
  </si>
  <si>
    <t>0x00000C8E</t>
    <phoneticPr fontId="10"/>
  </si>
  <si>
    <t>0x00000C90</t>
    <phoneticPr fontId="10"/>
  </si>
  <si>
    <t>0x00000C92</t>
    <phoneticPr fontId="10"/>
  </si>
  <si>
    <t>0x00000C94</t>
    <phoneticPr fontId="10"/>
  </si>
  <si>
    <t>0x00000C96</t>
    <phoneticPr fontId="10"/>
  </si>
  <si>
    <t>0x00000C98</t>
    <phoneticPr fontId="10"/>
  </si>
  <si>
    <t>0x00000C9A</t>
    <phoneticPr fontId="10"/>
  </si>
  <si>
    <t>0x00000C9C</t>
    <phoneticPr fontId="10"/>
  </si>
  <si>
    <t>0x00000C9E</t>
    <phoneticPr fontId="10"/>
  </si>
  <si>
    <t>0x00000CA0</t>
    <phoneticPr fontId="10"/>
  </si>
  <si>
    <t>0x00000CA2</t>
    <phoneticPr fontId="10"/>
  </si>
  <si>
    <t>0x00000CA4</t>
    <phoneticPr fontId="10"/>
  </si>
  <si>
    <t>0x00000CA6</t>
    <phoneticPr fontId="10"/>
  </si>
  <si>
    <t>0x00000CA8</t>
    <phoneticPr fontId="10"/>
  </si>
  <si>
    <t>0x00000CAA</t>
    <phoneticPr fontId="10"/>
  </si>
  <si>
    <t>0x00000CAC</t>
    <phoneticPr fontId="10"/>
  </si>
  <si>
    <t>0x00000CAE</t>
    <phoneticPr fontId="10"/>
  </si>
  <si>
    <t>0x00000CB0</t>
    <phoneticPr fontId="10"/>
  </si>
  <si>
    <t>0x00000CB2</t>
    <phoneticPr fontId="10"/>
  </si>
  <si>
    <t>0x00000CB4</t>
    <phoneticPr fontId="10"/>
  </si>
  <si>
    <t>0x00000CB6</t>
    <phoneticPr fontId="10"/>
  </si>
  <si>
    <t>0x00000CB8</t>
    <phoneticPr fontId="10"/>
  </si>
  <si>
    <t>0x00000CBA</t>
    <phoneticPr fontId="10"/>
  </si>
  <si>
    <t>0x00000CBC</t>
    <phoneticPr fontId="10"/>
  </si>
  <si>
    <t>0x00000CBE</t>
    <phoneticPr fontId="10"/>
  </si>
  <si>
    <t>0x00000CC0</t>
    <phoneticPr fontId="10"/>
  </si>
  <si>
    <t>0x00000CC2</t>
    <phoneticPr fontId="10"/>
  </si>
  <si>
    <t>0x00000CC4</t>
    <phoneticPr fontId="10"/>
  </si>
  <si>
    <t>0x00000CC6</t>
    <phoneticPr fontId="10"/>
  </si>
  <si>
    <t>0x00000CC8</t>
    <phoneticPr fontId="10"/>
  </si>
  <si>
    <t>0x00000CCA</t>
    <phoneticPr fontId="10"/>
  </si>
  <si>
    <t>0x00000CCC</t>
    <phoneticPr fontId="10"/>
  </si>
  <si>
    <t>0x00000CCE</t>
    <phoneticPr fontId="10"/>
  </si>
  <si>
    <t>0x00000CD0</t>
    <phoneticPr fontId="10"/>
  </si>
  <si>
    <t>0x00000CD2</t>
    <phoneticPr fontId="10"/>
  </si>
  <si>
    <t>0x00000CD4</t>
    <phoneticPr fontId="10"/>
  </si>
  <si>
    <t>0x00000CD6</t>
    <phoneticPr fontId="10"/>
  </si>
  <si>
    <t>0x00000CD8</t>
    <phoneticPr fontId="10"/>
  </si>
  <si>
    <t>0x00000CDA</t>
    <phoneticPr fontId="10"/>
  </si>
  <si>
    <t>0x00000CDC</t>
    <phoneticPr fontId="10"/>
  </si>
  <si>
    <t>0x00000CDE</t>
    <phoneticPr fontId="10"/>
  </si>
  <si>
    <t>0x00000CE0</t>
    <phoneticPr fontId="10"/>
  </si>
  <si>
    <t>0x00000CE2</t>
    <phoneticPr fontId="10"/>
  </si>
  <si>
    <t>0x00000CE4</t>
    <phoneticPr fontId="10"/>
  </si>
  <si>
    <t>0x00000CE6</t>
    <phoneticPr fontId="10"/>
  </si>
  <si>
    <t>0x00000CE8</t>
    <phoneticPr fontId="10"/>
  </si>
  <si>
    <t>0x00000CEA</t>
    <phoneticPr fontId="10"/>
  </si>
  <si>
    <t>0x00000CEC</t>
    <phoneticPr fontId="10"/>
  </si>
  <si>
    <t>0x00000CEE</t>
    <phoneticPr fontId="10"/>
  </si>
  <si>
    <t>0x00000CF0</t>
    <phoneticPr fontId="10"/>
  </si>
  <si>
    <t>0x00000CF2</t>
    <phoneticPr fontId="10"/>
  </si>
  <si>
    <t>0x00000CF4</t>
    <phoneticPr fontId="10"/>
  </si>
  <si>
    <t>0x00000CF6</t>
    <phoneticPr fontId="10"/>
  </si>
  <si>
    <t>0x00000CF8</t>
    <phoneticPr fontId="10"/>
  </si>
  <si>
    <t>0x00000CFA</t>
    <phoneticPr fontId="10"/>
  </si>
  <si>
    <t>0x00000CFC</t>
    <phoneticPr fontId="10"/>
  </si>
  <si>
    <t>0x00000CFE</t>
    <phoneticPr fontId="10"/>
  </si>
  <si>
    <t>0x00000D00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</si>
</sst>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\K\B"/>
  </numFmts>
  <fonts count="5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name val="Tahoma"/>
      <family val="2"/>
    </font>
    <font>
      <sz val="11"/>
      <name val="Tahoma"/>
      <family val="2"/>
    </font>
    <font>
      <b/>
      <sz val="10"/>
      <color indexed="10"/>
      <name val="Tahoma"/>
      <family val="2"/>
    </font>
    <font>
      <sz val="10"/>
      <color indexed="10"/>
      <name val="Tahoma"/>
      <family val="2"/>
    </font>
    <font>
      <sz val="10"/>
      <name val="Tahoma"/>
      <family val="2"/>
    </font>
    <font>
      <sz val="11"/>
      <color rgb="FFFFFF00"/>
      <name val="ＭＳ Ｐゴシック"/>
      <family val="3"/>
      <charset val="128"/>
    </font>
    <font>
      <b/>
      <sz val="10"/>
      <color indexed="10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rgb="FFFF0000"/>
      <name val="Tahoma"/>
      <family val="2"/>
    </font>
    <font>
      <b/>
      <sz val="11"/>
      <color rgb="FFFF0000"/>
      <name val="Tahoma"/>
      <family val="2"/>
    </font>
    <font>
      <sz val="11"/>
      <name val="ＭＳ ゴシック"/>
      <family val="3"/>
      <charset val="128"/>
    </font>
    <font>
      <sz val="11"/>
      <color theme="1" tint="4.9989318521683403E-2"/>
      <name val="ＭＳ Ｐゴシック"/>
      <family val="3"/>
      <charset val="128"/>
    </font>
    <font>
      <sz val="11"/>
      <color theme="1" tint="4.9989318521683403E-2"/>
      <name val="ＭＳ ゴシック"/>
      <family val="3"/>
      <charset val="128"/>
    </font>
    <font>
      <sz val="1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돋움"/>
      <family val="3"/>
      <charset val="129"/>
    </font>
    <font>
      <sz val="11"/>
      <name val="ＭＳ Ｐゴシック"/>
      <family val="2"/>
    </font>
    <font>
      <sz val="11"/>
      <color rgb="FFFFFF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70">
    <xf numFmtId="0" fontId="0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7" fillId="29" borderId="41" applyNumberFormat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15" fillId="31" borderId="42" applyNumberFormat="0" applyFont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1" fillId="32" borderId="44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7" fillId="32" borderId="49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39" fillId="16" borderId="44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</cellStyleXfs>
  <cellXfs count="241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16" fillId="0" borderId="0" xfId="0" applyFont="1" applyProtection="1"/>
    <xf numFmtId="0" fontId="17" fillId="0" borderId="5" xfId="0" applyFont="1" applyBorder="1" applyAlignment="1" applyProtection="1">
      <alignment horizontal="left"/>
    </xf>
    <xf numFmtId="0" fontId="18" fillId="0" borderId="0" xfId="0" applyFont="1" applyAlignment="1" applyProtection="1">
      <alignment horizontal="center" vertical="center"/>
    </xf>
    <xf numFmtId="0" fontId="18" fillId="0" borderId="5" xfId="0" applyFont="1" applyBorder="1" applyAlignment="1" applyProtection="1">
      <alignment horizontal="left" vertical="center"/>
    </xf>
    <xf numFmtId="0" fontId="18" fillId="0" borderId="5" xfId="0" applyFont="1" applyBorder="1" applyAlignment="1" applyProtection="1">
      <alignment horizontal="right" vertical="center"/>
    </xf>
    <xf numFmtId="0" fontId="18" fillId="0" borderId="0" xfId="0" applyFont="1" applyFill="1" applyBorder="1" applyAlignment="1" applyProtection="1">
      <alignment horizontal="left" vertical="center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0" fillId="0" borderId="1" xfId="0" applyBorder="1"/>
    <xf numFmtId="0" fontId="21" fillId="0" borderId="0" xfId="0" applyFont="1" applyFill="1" applyAlignment="1" applyProtection="1">
      <alignment vertical="top"/>
      <protection locked="0"/>
    </xf>
    <xf numFmtId="0" fontId="21" fillId="0" borderId="0" xfId="0" applyFont="1" applyFill="1" applyAlignment="1" applyProtection="1">
      <alignment horizontal="center" vertical="top"/>
      <protection locked="0"/>
    </xf>
    <xf numFmtId="0" fontId="21" fillId="0" borderId="0" xfId="0" applyFont="1" applyFill="1" applyAlignment="1" applyProtection="1">
      <alignment horizontal="left" vertical="top"/>
      <protection locked="0"/>
    </xf>
    <xf numFmtId="0" fontId="21" fillId="0" borderId="0" xfId="0" applyFont="1" applyFill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left" vertical="top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vertical="top"/>
      <protection locked="0"/>
    </xf>
    <xf numFmtId="0" fontId="21" fillId="0" borderId="2" xfId="0" applyFont="1" applyFill="1" applyBorder="1" applyAlignment="1" applyProtection="1">
      <alignment horizontal="left" vertical="center"/>
      <protection locked="0"/>
    </xf>
    <xf numFmtId="0" fontId="21" fillId="0" borderId="2" xfId="0" applyFont="1" applyFill="1" applyBorder="1" applyAlignment="1" applyProtection="1">
      <alignment horizontal="left" vertical="top"/>
      <protection locked="0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vertical="top"/>
      <protection locked="0"/>
    </xf>
    <xf numFmtId="0" fontId="21" fillId="0" borderId="0" xfId="0" applyFont="1" applyFill="1" applyAlignment="1" applyProtection="1">
      <alignment horizontal="right" vertical="top"/>
      <protection locked="0"/>
    </xf>
    <xf numFmtId="0" fontId="21" fillId="0" borderId="32" xfId="0" applyFont="1" applyFill="1" applyBorder="1" applyAlignment="1" applyProtection="1">
      <alignment horizontal="center" vertical="top"/>
      <protection locked="0"/>
    </xf>
    <xf numFmtId="0" fontId="21" fillId="0" borderId="17" xfId="0" applyFont="1" applyFill="1" applyBorder="1" applyAlignment="1" applyProtection="1">
      <alignment vertical="top"/>
      <protection locked="0"/>
    </xf>
    <xf numFmtId="0" fontId="21" fillId="0" borderId="20" xfId="0" applyFont="1" applyFill="1" applyBorder="1" applyAlignment="1" applyProtection="1">
      <alignment vertical="top" wrapText="1"/>
      <protection locked="0"/>
    </xf>
    <xf numFmtId="0" fontId="21" fillId="0" borderId="32" xfId="0" applyFont="1" applyFill="1" applyBorder="1" applyAlignment="1" applyProtection="1">
      <alignment horizontal="left" vertical="top"/>
      <protection locked="0"/>
    </xf>
    <xf numFmtId="0" fontId="21" fillId="0" borderId="32" xfId="0" applyFont="1" applyFill="1" applyBorder="1" applyAlignment="1" applyProtection="1">
      <alignment vertical="top"/>
      <protection locked="0"/>
    </xf>
    <xf numFmtId="0" fontId="21" fillId="0" borderId="1" xfId="0" applyFont="1" applyFill="1" applyBorder="1" applyAlignment="1" applyProtection="1">
      <alignment horizontal="center" vertical="top"/>
      <protection locked="0"/>
    </xf>
    <xf numFmtId="0" fontId="21" fillId="0" borderId="1" xfId="0" applyFont="1" applyFill="1" applyBorder="1" applyAlignment="1" applyProtection="1">
      <alignment horizont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21" fillId="0" borderId="18" xfId="0" applyFont="1" applyFill="1" applyBorder="1" applyAlignment="1" applyProtection="1">
      <alignment vertical="top"/>
      <protection locked="0"/>
    </xf>
    <xf numFmtId="0" fontId="21" fillId="0" borderId="19" xfId="0" applyFont="1" applyFill="1" applyBorder="1" applyAlignment="1" applyProtection="1">
      <alignment vertical="top"/>
      <protection locked="0"/>
    </xf>
    <xf numFmtId="0" fontId="21" fillId="0" borderId="12" xfId="0" applyFont="1" applyFill="1" applyBorder="1" applyAlignment="1" applyProtection="1">
      <alignment horizontal="left" vertical="top"/>
      <protection locked="0"/>
    </xf>
    <xf numFmtId="0" fontId="21" fillId="0" borderId="12" xfId="0" applyFont="1" applyFill="1" applyBorder="1" applyAlignment="1" applyProtection="1">
      <alignment vertical="top"/>
      <protection locked="0"/>
    </xf>
    <xf numFmtId="0" fontId="21" fillId="0" borderId="3" xfId="0" applyFont="1" applyFill="1" applyBorder="1" applyAlignment="1" applyProtection="1">
      <alignment horizontal="center" vertical="top"/>
      <protection locked="0"/>
    </xf>
    <xf numFmtId="0" fontId="21" fillId="0" borderId="20" xfId="0" applyFont="1" applyFill="1" applyBorder="1" applyAlignment="1" applyProtection="1">
      <alignment vertical="top"/>
      <protection locked="0"/>
    </xf>
    <xf numFmtId="0" fontId="21" fillId="0" borderId="1" xfId="0" applyFont="1" applyFill="1" applyBorder="1" applyAlignment="1" applyProtection="1">
      <alignment horizontal="left" vertical="top" wrapText="1"/>
      <protection locked="0"/>
    </xf>
    <xf numFmtId="0" fontId="21" fillId="0" borderId="3" xfId="0" applyFont="1" applyFill="1" applyBorder="1" applyAlignment="1" applyProtection="1">
      <alignment horizontal="left" vertical="center"/>
      <protection locked="0"/>
    </xf>
    <xf numFmtId="58" fontId="21" fillId="0" borderId="1" xfId="0" applyNumberFormat="1" applyFont="1" applyFill="1" applyBorder="1" applyAlignment="1" applyProtection="1">
      <alignment horizontal="center" vertical="top"/>
      <protection locked="0"/>
    </xf>
    <xf numFmtId="0" fontId="21" fillId="0" borderId="1" xfId="0" applyFont="1" applyFill="1" applyBorder="1" applyProtection="1">
      <protection locked="0"/>
    </xf>
    <xf numFmtId="0" fontId="21" fillId="0" borderId="0" xfId="0" applyFont="1" applyFill="1" applyProtection="1">
      <protection locked="0"/>
    </xf>
    <xf numFmtId="0" fontId="21" fillId="0" borderId="21" xfId="0" applyFont="1" applyFill="1" applyBorder="1" applyAlignment="1" applyProtection="1">
      <alignment vertical="top"/>
      <protection locked="0"/>
    </xf>
    <xf numFmtId="0" fontId="21" fillId="0" borderId="22" xfId="0" applyFont="1" applyFill="1" applyBorder="1" applyAlignment="1" applyProtection="1">
      <alignment vertical="top"/>
      <protection locked="0"/>
    </xf>
    <xf numFmtId="0" fontId="21" fillId="0" borderId="1" xfId="0" applyFont="1" applyFill="1" applyBorder="1" applyAlignment="1" applyProtection="1">
      <alignment horizontal="left" vertical="center"/>
      <protection locked="0"/>
    </xf>
    <xf numFmtId="0" fontId="21" fillId="0" borderId="23" xfId="0" applyFont="1" applyFill="1" applyBorder="1" applyAlignment="1" applyProtection="1">
      <alignment vertical="top"/>
      <protection locked="0"/>
    </xf>
    <xf numFmtId="0" fontId="21" fillId="0" borderId="3" xfId="0" applyFont="1" applyFill="1" applyBorder="1" applyProtection="1">
      <protection locked="0"/>
    </xf>
    <xf numFmtId="0" fontId="21" fillId="0" borderId="1" xfId="0" applyFont="1" applyFill="1" applyBorder="1" applyAlignment="1" applyProtection="1">
      <alignment horizontal="left" vertical="top"/>
      <protection locked="0"/>
    </xf>
    <xf numFmtId="0" fontId="21" fillId="0" borderId="0" xfId="0" applyFont="1" applyFill="1" applyAlignment="1" applyProtection="1">
      <alignment horizontal="left"/>
      <protection locked="0"/>
    </xf>
    <xf numFmtId="0" fontId="21" fillId="0" borderId="1" xfId="0" applyFont="1" applyFill="1" applyBorder="1" applyAlignment="1" applyProtection="1">
      <alignment horizontal="center"/>
    </xf>
    <xf numFmtId="0" fontId="21" fillId="0" borderId="0" xfId="0" applyFont="1" applyProtection="1">
      <protection locked="0"/>
    </xf>
    <xf numFmtId="0" fontId="21" fillId="0" borderId="0" xfId="0" applyFont="1" applyAlignment="1" applyProtection="1">
      <alignment horizontal="right"/>
      <protection locked="0"/>
    </xf>
    <xf numFmtId="0" fontId="21" fillId="0" borderId="0" xfId="0" applyFont="1" applyFill="1" applyAlignment="1" applyProtection="1">
      <alignment horizontal="right"/>
      <protection locked="0"/>
    </xf>
    <xf numFmtId="0" fontId="21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left"/>
      <protection locked="0"/>
    </xf>
    <xf numFmtId="0" fontId="21" fillId="0" borderId="6" xfId="0" applyFont="1" applyBorder="1" applyProtection="1">
      <protection locked="0"/>
    </xf>
    <xf numFmtId="0" fontId="18" fillId="0" borderId="8" xfId="0" applyFont="1" applyBorder="1" applyProtection="1">
      <protection locked="0"/>
    </xf>
    <xf numFmtId="0" fontId="21" fillId="0" borderId="9" xfId="0" applyFont="1" applyBorder="1" applyProtection="1">
      <protection locked="0"/>
    </xf>
    <xf numFmtId="0" fontId="21" fillId="0" borderId="10" xfId="0" applyFont="1" applyBorder="1" applyProtection="1">
      <protection locked="0"/>
    </xf>
    <xf numFmtId="0" fontId="21" fillId="0" borderId="14" xfId="0" applyFont="1" applyBorder="1" applyProtection="1">
      <protection locked="0"/>
    </xf>
    <xf numFmtId="0" fontId="21" fillId="0" borderId="16" xfId="0" applyFont="1" applyBorder="1" applyProtection="1">
      <protection locked="0"/>
    </xf>
    <xf numFmtId="0" fontId="17" fillId="0" borderId="0" xfId="0" applyFont="1" applyProtection="1">
      <protection locked="0"/>
    </xf>
    <xf numFmtId="0" fontId="21" fillId="2" borderId="24" xfId="0" applyFont="1" applyFill="1" applyBorder="1" applyProtection="1">
      <protection locked="0"/>
    </xf>
    <xf numFmtId="0" fontId="21" fillId="2" borderId="25" xfId="0" applyFont="1" applyFill="1" applyBorder="1" applyProtection="1">
      <protection locked="0"/>
    </xf>
    <xf numFmtId="0" fontId="21" fillId="2" borderId="25" xfId="0" applyFont="1" applyFill="1" applyBorder="1" applyAlignment="1" applyProtection="1">
      <alignment horizontal="center"/>
      <protection locked="0"/>
    </xf>
    <xf numFmtId="0" fontId="17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0" fontId="18" fillId="0" borderId="0" xfId="0" applyFont="1" applyBorder="1" applyAlignment="1" applyProtection="1">
      <alignment vertical="top"/>
      <protection locked="0"/>
    </xf>
    <xf numFmtId="0" fontId="21" fillId="2" borderId="0" xfId="0" applyFont="1" applyFill="1" applyBorder="1" applyProtection="1">
      <protection locked="0"/>
    </xf>
    <xf numFmtId="0" fontId="21" fillId="2" borderId="26" xfId="0" applyFont="1" applyFill="1" applyBorder="1" applyProtection="1">
      <protection locked="0"/>
    </xf>
    <xf numFmtId="0" fontId="14" fillId="0" borderId="0" xfId="0" applyFont="1" applyFill="1" applyProtection="1">
      <protection locked="0"/>
    </xf>
    <xf numFmtId="0" fontId="21" fillId="0" borderId="0" xfId="0" applyFont="1" applyAlignment="1" applyProtection="1">
      <alignment horizontal="center"/>
    </xf>
    <xf numFmtId="0" fontId="21" fillId="0" borderId="0" xfId="0" applyFont="1" applyProtection="1"/>
    <xf numFmtId="0" fontId="17" fillId="0" borderId="0" xfId="0" applyFont="1" applyAlignment="1" applyProtection="1">
      <alignment horizontal="left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5" xfId="0" applyFont="1" applyBorder="1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23" fillId="8" borderId="11" xfId="0" applyFont="1" applyFill="1" applyBorder="1" applyAlignment="1" applyProtection="1">
      <alignment horizontal="center" vertical="center"/>
      <protection locked="0"/>
    </xf>
    <xf numFmtId="0" fontId="23" fillId="8" borderId="13" xfId="0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right" vertical="center"/>
      <protection locked="0"/>
    </xf>
    <xf numFmtId="0" fontId="23" fillId="4" borderId="9" xfId="0" applyFont="1" applyFill="1" applyBorder="1" applyAlignment="1" applyProtection="1">
      <alignment horizontal="center" vertical="center"/>
      <protection locked="0"/>
    </xf>
    <xf numFmtId="0" fontId="23" fillId="4" borderId="10" xfId="0" applyFont="1" applyFill="1" applyBorder="1" applyAlignment="1" applyProtection="1">
      <alignment horizontal="center" vertical="center"/>
      <protection locked="0"/>
    </xf>
    <xf numFmtId="0" fontId="23" fillId="7" borderId="9" xfId="0" applyFont="1" applyFill="1" applyBorder="1" applyAlignment="1" applyProtection="1">
      <alignment horizontal="center" vertical="center"/>
      <protection locked="0"/>
    </xf>
    <xf numFmtId="0" fontId="23" fillId="7" borderId="10" xfId="0" applyFont="1" applyFill="1" applyBorder="1" applyAlignment="1" applyProtection="1">
      <alignment horizontal="center" vertical="center"/>
      <protection locked="0"/>
    </xf>
    <xf numFmtId="0" fontId="23" fillId="6" borderId="9" xfId="0" applyFont="1" applyFill="1" applyBorder="1" applyAlignment="1" applyProtection="1">
      <alignment horizontal="center" vertical="center"/>
      <protection locked="0"/>
    </xf>
    <xf numFmtId="0" fontId="23" fillId="6" borderId="10" xfId="0" applyFont="1" applyFill="1" applyBorder="1" applyAlignment="1" applyProtection="1">
      <alignment horizontal="center" vertical="center"/>
      <protection locked="0"/>
    </xf>
    <xf numFmtId="0" fontId="23" fillId="3" borderId="9" xfId="0" applyFont="1" applyFill="1" applyBorder="1" applyAlignment="1" applyProtection="1">
      <alignment horizontal="center" vertical="center"/>
      <protection locked="0"/>
    </xf>
    <xf numFmtId="0" fontId="23" fillId="3" borderId="10" xfId="0" applyFont="1" applyFill="1" applyBorder="1" applyAlignment="1" applyProtection="1">
      <alignment horizontal="center" vertical="center"/>
      <protection locked="0"/>
    </xf>
    <xf numFmtId="0" fontId="23" fillId="5" borderId="9" xfId="0" applyFont="1" applyFill="1" applyBorder="1" applyAlignment="1" applyProtection="1">
      <alignment horizontal="center" vertical="center"/>
      <protection locked="0"/>
    </xf>
    <xf numFmtId="0" fontId="23" fillId="5" borderId="10" xfId="0" applyFont="1" applyFill="1" applyBorder="1" applyAlignment="1" applyProtection="1">
      <alignment horizontal="center" vertical="center"/>
      <protection locked="0"/>
    </xf>
    <xf numFmtId="0" fontId="23" fillId="9" borderId="9" xfId="0" applyFont="1" applyFill="1" applyBorder="1" applyAlignment="1" applyProtection="1">
      <alignment horizontal="center" vertical="center"/>
      <protection locked="0"/>
    </xf>
    <xf numFmtId="0" fontId="23" fillId="9" borderId="10" xfId="0" applyFont="1" applyFill="1" applyBorder="1" applyAlignment="1" applyProtection="1">
      <alignment horizontal="center" vertical="center"/>
      <protection locked="0"/>
    </xf>
    <xf numFmtId="0" fontId="23" fillId="10" borderId="27" xfId="0" applyFont="1" applyFill="1" applyBorder="1" applyAlignment="1" applyProtection="1">
      <alignment horizontal="center" vertical="center"/>
      <protection locked="0"/>
    </xf>
    <xf numFmtId="0" fontId="23" fillId="10" borderId="29" xfId="0" applyFont="1" applyFill="1" applyBorder="1" applyAlignment="1" applyProtection="1">
      <alignment horizontal="center" vertical="center"/>
      <protection locked="0"/>
    </xf>
    <xf numFmtId="0" fontId="18" fillId="0" borderId="9" xfId="0" applyFont="1" applyFill="1" applyBorder="1" applyAlignment="1" applyProtection="1">
      <alignment horizontal="center" vertical="center"/>
      <protection locked="0"/>
    </xf>
    <xf numFmtId="0" fontId="18" fillId="0" borderId="38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8" fillId="0" borderId="5" xfId="0" applyFont="1" applyBorder="1" applyProtection="1">
      <protection locked="0"/>
    </xf>
    <xf numFmtId="0" fontId="0" fillId="0" borderId="1" xfId="0" applyBorder="1" applyAlignment="1">
      <alignment horizontal="left" vertical="center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41" fillId="0" borderId="0" xfId="0" applyFont="1" applyProtection="1">
      <protection locked="0"/>
    </xf>
    <xf numFmtId="0" fontId="16" fillId="0" borderId="0" xfId="0" applyFont="1" applyProtection="1">
      <protection locked="0"/>
    </xf>
    <xf numFmtId="176" fontId="21" fillId="0" borderId="0" xfId="0" applyNumberFormat="1" applyFont="1" applyFill="1" applyProtection="1">
      <protection locked="0"/>
    </xf>
    <xf numFmtId="0" fontId="21" fillId="0" borderId="4" xfId="0" applyFont="1" applyFill="1" applyBorder="1" applyAlignment="1" applyProtection="1">
      <alignment horizontal="left" vertical="top" wrapText="1"/>
      <protection locked="0"/>
    </xf>
    <xf numFmtId="0" fontId="21" fillId="0" borderId="0" xfId="0" applyFont="1" applyFill="1" applyBorder="1" applyAlignment="1" applyProtection="1">
      <alignment horizontal="left" vertical="center"/>
      <protection locked="0"/>
    </xf>
    <xf numFmtId="0" fontId="21" fillId="0" borderId="1" xfId="0" applyFont="1" applyFill="1" applyBorder="1" applyAlignment="1" applyProtection="1">
      <alignment vertical="top"/>
      <protection locked="0"/>
    </xf>
    <xf numFmtId="0" fontId="21" fillId="0" borderId="0" xfId="0" applyFont="1" applyProtection="1">
      <protection locked="0"/>
    </xf>
    <xf numFmtId="0" fontId="21" fillId="0" borderId="4" xfId="0" applyFont="1" applyFill="1" applyBorder="1" applyAlignment="1" applyProtection="1">
      <alignment vertical="top"/>
      <protection locked="0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Font="1" applyBorder="1" applyAlignment="1">
      <alignment vertical="top"/>
    </xf>
    <xf numFmtId="0" fontId="0" fillId="0" borderId="1" xfId="0" applyFont="1" applyBorder="1"/>
    <xf numFmtId="0" fontId="43" fillId="0" borderId="1" xfId="0" applyFont="1" applyBorder="1" applyAlignment="1" applyProtection="1">
      <alignment horizontal="left" vertical="center" wrapText="1"/>
    </xf>
    <xf numFmtId="14" fontId="44" fillId="0" borderId="1" xfId="0" applyNumberFormat="1" applyFont="1" applyBorder="1"/>
    <xf numFmtId="0" fontId="44" fillId="0" borderId="1" xfId="0" applyFont="1" applyBorder="1"/>
    <xf numFmtId="0" fontId="45" fillId="0" borderId="1" xfId="0" applyFont="1" applyBorder="1" applyAlignment="1" applyProtection="1">
      <alignment horizontal="left" vertical="center"/>
    </xf>
    <xf numFmtId="14" fontId="0" fillId="0" borderId="1" xfId="0" applyNumberFormat="1" applyFont="1" applyBorder="1"/>
    <xf numFmtId="0" fontId="21" fillId="0" borderId="1" xfId="0" applyFont="1" applyFill="1" applyBorder="1" applyAlignment="1" applyProtection="1">
      <alignment horizontal="center" vertical="top"/>
      <protection locked="0"/>
    </xf>
    <xf numFmtId="0" fontId="21" fillId="0" borderId="0" xfId="0" applyFont="1" applyFill="1" applyProtection="1">
      <protection locked="0"/>
    </xf>
    <xf numFmtId="0" fontId="21" fillId="0" borderId="1" xfId="0" applyFont="1" applyFill="1" applyBorder="1" applyAlignment="1" applyProtection="1">
      <alignment vertical="top"/>
      <protection locked="0"/>
    </xf>
    <xf numFmtId="14" fontId="0" fillId="0" borderId="1" xfId="0" applyNumberFormat="1" applyFont="1" applyBorder="1" applyAlignment="1">
      <alignment horizontal="right" vertical="top"/>
    </xf>
    <xf numFmtId="0" fontId="0" fillId="0" borderId="1" xfId="0" applyFont="1" applyBorder="1" applyAlignment="1">
      <alignment horizontal="left" vertical="top"/>
    </xf>
    <xf numFmtId="0" fontId="46" fillId="0" borderId="1" xfId="0" applyFont="1" applyBorder="1" applyAlignment="1">
      <alignment horizontal="left" vertical="top" wrapText="1"/>
    </xf>
    <xf numFmtId="14" fontId="47" fillId="0" borderId="1" xfId="0" applyNumberFormat="1" applyFont="1" applyBorder="1" applyAlignment="1">
      <alignment vertical="top"/>
    </xf>
    <xf numFmtId="0" fontId="47" fillId="0" borderId="1" xfId="0" applyFont="1" applyBorder="1"/>
    <xf numFmtId="0" fontId="47" fillId="0" borderId="1" xfId="0" applyFont="1" applyBorder="1" applyAlignment="1">
      <alignment vertical="top"/>
    </xf>
    <xf numFmtId="14" fontId="47" fillId="0" borderId="1" xfId="0" applyNumberFormat="1" applyFont="1" applyBorder="1" applyAlignment="1">
      <alignment vertical="center"/>
    </xf>
    <xf numFmtId="0" fontId="47" fillId="0" borderId="1" xfId="426" applyFont="1" applyBorder="1"/>
    <xf numFmtId="0" fontId="46" fillId="0" borderId="1" xfId="426" applyFont="1" applyBorder="1" applyAlignment="1">
      <alignment vertical="top"/>
    </xf>
    <xf numFmtId="1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0" fontId="41" fillId="0" borderId="6" xfId="0" applyFont="1" applyBorder="1" applyAlignment="1" applyProtection="1">
      <alignment horizontal="center" vertical="center"/>
      <protection locked="0"/>
    </xf>
    <xf numFmtId="0" fontId="41" fillId="0" borderId="7" xfId="0" applyFont="1" applyBorder="1" applyAlignment="1" applyProtection="1">
      <alignment horizontal="center" vertical="center"/>
      <protection locked="0"/>
    </xf>
    <xf numFmtId="0" fontId="41" fillId="0" borderId="8" xfId="0" applyFont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10" xfId="0" applyFont="1" applyBorder="1" applyAlignment="1" applyProtection="1">
      <alignment horizontal="center" vertical="center"/>
      <protection locked="0"/>
    </xf>
    <xf numFmtId="0" fontId="41" fillId="0" borderId="11" xfId="0" applyFont="1" applyBorder="1" applyAlignment="1" applyProtection="1">
      <alignment horizontal="center" vertical="center"/>
      <protection locked="0"/>
    </xf>
    <xf numFmtId="0" fontId="41" fillId="0" borderId="13" xfId="0" applyFont="1" applyBorder="1" applyAlignment="1" applyProtection="1">
      <alignment horizontal="center" vertical="center"/>
      <protection locked="0"/>
    </xf>
    <xf numFmtId="0" fontId="41" fillId="0" borderId="14" xfId="0" applyFont="1" applyBorder="1" applyAlignment="1" applyProtection="1">
      <alignment horizontal="center" vertical="center"/>
      <protection locked="0"/>
    </xf>
    <xf numFmtId="0" fontId="41" fillId="0" borderId="15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/>
      <protection locked="0"/>
    </xf>
    <xf numFmtId="0" fontId="49" fillId="0" borderId="1" xfId="0" applyFont="1" applyBorder="1" applyAlignment="1">
      <alignment horizontal="left" vertical="center" wrapText="1"/>
    </xf>
    <xf numFmtId="14" fontId="49" fillId="0" borderId="1" xfId="0" applyNumberFormat="1" applyFont="1" applyBorder="1" applyAlignment="1">
      <alignment horizontal="right" vertical="center"/>
    </xf>
    <xf numFmtId="0" fontId="49" fillId="0" borderId="1" xfId="0" applyFont="1" applyBorder="1" applyAlignment="1">
      <alignment horizontal="left" vertical="center"/>
    </xf>
    <xf numFmtId="0" fontId="18" fillId="33" borderId="11" xfId="0" applyFont="1" applyFill="1" applyBorder="1" applyAlignment="1" applyProtection="1">
      <alignment horizontal="center" vertical="center"/>
      <protection locked="0"/>
    </xf>
    <xf numFmtId="0" fontId="18" fillId="10" borderId="9" xfId="0" applyFont="1" applyFill="1" applyBorder="1" applyAlignment="1" applyProtection="1">
      <alignment horizontal="center" vertical="center"/>
      <protection locked="0"/>
    </xf>
    <xf numFmtId="0" fontId="18" fillId="9" borderId="9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0" fillId="6" borderId="11" xfId="0" applyFill="1" applyBorder="1" applyAlignment="1" applyProtection="1">
      <alignment horizontal="center" vertical="center"/>
      <protection locked="0"/>
    </xf>
    <xf numFmtId="0" fontId="18" fillId="7" borderId="9" xfId="0" applyFont="1" applyFill="1" applyBorder="1" applyAlignment="1" applyProtection="1">
      <alignment horizontal="center" vertical="center"/>
      <protection locked="0"/>
    </xf>
    <xf numFmtId="0" fontId="18" fillId="4" borderId="9" xfId="0" applyFont="1" applyFill="1" applyBorder="1" applyAlignment="1" applyProtection="1">
      <alignment horizontal="center" vertical="center"/>
      <protection locked="0"/>
    </xf>
    <xf numFmtId="0" fontId="22" fillId="8" borderId="27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Alignment="1">
      <alignment horizontal="left" vertical="center" wrapText="1"/>
    </xf>
    <xf numFmtId="0" fontId="18" fillId="0" borderId="33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33" borderId="36" xfId="0" applyFont="1" applyFill="1" applyBorder="1" applyAlignment="1" applyProtection="1">
      <alignment horizontal="left" vertical="center"/>
      <protection locked="0"/>
    </xf>
    <xf numFmtId="0" fontId="18" fillId="33" borderId="37" xfId="0" applyFont="1" applyFill="1" applyBorder="1" applyAlignment="1" applyProtection="1">
      <alignment horizontal="left" vertical="center"/>
      <protection locked="0"/>
    </xf>
    <xf numFmtId="0" fontId="18" fillId="10" borderId="3" xfId="0" applyFont="1" applyFill="1" applyBorder="1" applyAlignment="1" applyProtection="1">
      <alignment horizontal="left" vertical="center"/>
      <protection locked="0"/>
    </xf>
    <xf numFmtId="0" fontId="18" fillId="10" borderId="35" xfId="0" applyFont="1" applyFill="1" applyBorder="1" applyAlignment="1" applyProtection="1">
      <alignment horizontal="left" vertical="center"/>
      <protection locked="0"/>
    </xf>
    <xf numFmtId="0" fontId="18" fillId="9" borderId="3" xfId="0" applyFont="1" applyFill="1" applyBorder="1" applyAlignment="1" applyProtection="1">
      <alignment horizontal="left" vertical="center"/>
      <protection locked="0"/>
    </xf>
    <xf numFmtId="0" fontId="18" fillId="9" borderId="35" xfId="0" applyFont="1" applyFill="1" applyBorder="1" applyAlignment="1" applyProtection="1">
      <alignment horizontal="left" vertical="center"/>
      <protection locked="0"/>
    </xf>
    <xf numFmtId="0" fontId="18" fillId="0" borderId="3" xfId="0" applyFont="1" applyFill="1" applyBorder="1" applyAlignment="1" applyProtection="1">
      <alignment horizontal="left" vertical="center"/>
      <protection locked="0"/>
    </xf>
    <xf numFmtId="0" fontId="18" fillId="0" borderId="35" xfId="0" applyFont="1" applyFill="1" applyBorder="1" applyAlignment="1" applyProtection="1">
      <alignment horizontal="left" vertical="center"/>
      <protection locked="0"/>
    </xf>
    <xf numFmtId="0" fontId="18" fillId="5" borderId="3" xfId="0" applyFont="1" applyFill="1" applyBorder="1" applyAlignment="1" applyProtection="1">
      <alignment horizontal="left" vertical="center"/>
      <protection locked="0"/>
    </xf>
    <xf numFmtId="0" fontId="18" fillId="5" borderId="35" xfId="0" applyFont="1" applyFill="1" applyBorder="1" applyAlignment="1" applyProtection="1">
      <alignment horizontal="left" vertical="center"/>
      <protection locked="0"/>
    </xf>
    <xf numFmtId="0" fontId="18" fillId="3" borderId="3" xfId="0" applyFont="1" applyFill="1" applyBorder="1" applyAlignment="1" applyProtection="1">
      <alignment horizontal="left" vertical="center"/>
      <protection locked="0"/>
    </xf>
    <xf numFmtId="0" fontId="18" fillId="3" borderId="35" xfId="0" applyFont="1" applyFill="1" applyBorder="1" applyAlignment="1" applyProtection="1">
      <alignment horizontal="left" vertical="center"/>
      <protection locked="0"/>
    </xf>
    <xf numFmtId="0" fontId="18" fillId="6" borderId="3" xfId="0" applyFont="1" applyFill="1" applyBorder="1" applyAlignment="1" applyProtection="1">
      <alignment horizontal="left" vertical="center"/>
      <protection locked="0"/>
    </xf>
    <xf numFmtId="0" fontId="18" fillId="6" borderId="35" xfId="0" applyFont="1" applyFill="1" applyBorder="1" applyAlignment="1" applyProtection="1">
      <alignment horizontal="left" vertical="center"/>
      <protection locked="0"/>
    </xf>
    <xf numFmtId="0" fontId="18" fillId="0" borderId="3" xfId="0" applyFont="1" applyBorder="1" applyAlignment="1" applyProtection="1">
      <alignment horizontal="left" vertical="center"/>
      <protection locked="0"/>
    </xf>
    <xf numFmtId="0" fontId="18" fillId="0" borderId="35" xfId="0" applyFont="1" applyBorder="1" applyAlignment="1" applyProtection="1">
      <alignment horizontal="left" vertical="center"/>
      <protection locked="0"/>
    </xf>
    <xf numFmtId="0" fontId="50" fillId="8" borderId="39" xfId="0" applyFont="1" applyFill="1" applyBorder="1" applyAlignment="1" applyProtection="1">
      <alignment horizontal="left" vertical="center"/>
      <protection locked="0"/>
    </xf>
    <xf numFmtId="0" fontId="50" fillId="8" borderId="40" xfId="0" applyFont="1" applyFill="1" applyBorder="1" applyAlignment="1" applyProtection="1">
      <alignment horizontal="left" vertical="center"/>
      <protection locked="0"/>
    </xf>
    <xf numFmtId="0" fontId="18" fillId="7" borderId="3" xfId="0" applyFont="1" applyFill="1" applyBorder="1" applyAlignment="1" applyProtection="1">
      <alignment horizontal="left" vertical="center"/>
      <protection locked="0"/>
    </xf>
    <xf numFmtId="0" fontId="18" fillId="7" borderId="35" xfId="0" applyFont="1" applyFill="1" applyBorder="1" applyAlignment="1" applyProtection="1">
      <alignment horizontal="left" vertical="center"/>
      <protection locked="0"/>
    </xf>
    <xf numFmtId="0" fontId="18" fillId="4" borderId="3" xfId="0" applyFont="1" applyFill="1" applyBorder="1" applyAlignment="1" applyProtection="1">
      <alignment horizontal="left" vertical="center"/>
      <protection locked="0"/>
    </xf>
    <xf numFmtId="0" fontId="18" fillId="4" borderId="35" xfId="0" applyFont="1" applyFill="1" applyBorder="1" applyAlignment="1" applyProtection="1">
      <alignment horizontal="left" vertical="center"/>
      <protection locked="0"/>
    </xf>
  </cellXfs>
  <cellStyles count="570">
    <cellStyle name="20% - アクセント 1 10" xfId="7"/>
    <cellStyle name="20% - アクセント 1 2" xfId="8"/>
    <cellStyle name="20% - アクセント 1 3" xfId="9"/>
    <cellStyle name="20% - アクセント 1 4" xfId="10"/>
    <cellStyle name="20% - アクセント 1 5" xfId="11"/>
    <cellStyle name="20% - アクセント 1 6" xfId="12"/>
    <cellStyle name="20% - アクセント 1 7" xfId="13"/>
    <cellStyle name="20% - アクセント 1 8" xfId="14"/>
    <cellStyle name="20% - アクセント 1 9" xfId="15"/>
    <cellStyle name="20% - アクセント 2 10" xfId="16"/>
    <cellStyle name="20% - アクセント 2 2" xfId="17"/>
    <cellStyle name="20% - アクセント 2 3" xfId="18"/>
    <cellStyle name="20% - アクセント 2 4" xfId="19"/>
    <cellStyle name="20% - アクセント 2 5" xfId="20"/>
    <cellStyle name="20% - アクセント 2 6" xfId="21"/>
    <cellStyle name="20% - アクセント 2 7" xfId="22"/>
    <cellStyle name="20% - アクセント 2 8" xfId="23"/>
    <cellStyle name="20% - アクセント 2 9" xfId="24"/>
    <cellStyle name="20% - アクセント 3 10" xfId="25"/>
    <cellStyle name="20% - アクセント 3 2" xfId="26"/>
    <cellStyle name="20% - アクセント 3 3" xfId="27"/>
    <cellStyle name="20% - アクセント 3 4" xfId="28"/>
    <cellStyle name="20% - アクセント 3 5" xfId="29"/>
    <cellStyle name="20% - アクセント 3 6" xfId="30"/>
    <cellStyle name="20% - アクセント 3 7" xfId="31"/>
    <cellStyle name="20% - アクセント 3 8" xfId="32"/>
    <cellStyle name="20% - アクセント 3 9" xfId="33"/>
    <cellStyle name="20% - アクセント 4 10" xfId="34"/>
    <cellStyle name="20% - アクセント 4 2" xfId="35"/>
    <cellStyle name="20% - アクセント 4 3" xfId="36"/>
    <cellStyle name="20% - アクセント 4 4" xfId="37"/>
    <cellStyle name="20% - アクセント 4 5" xfId="38"/>
    <cellStyle name="20% - アクセント 4 6" xfId="39"/>
    <cellStyle name="20% - アクセント 4 7" xfId="40"/>
    <cellStyle name="20% - アクセント 4 8" xfId="41"/>
    <cellStyle name="20% - アクセント 4 9" xfId="42"/>
    <cellStyle name="20% - アクセント 5 10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10" xfId="52"/>
    <cellStyle name="20% - アクセント 6 2" xfId="53"/>
    <cellStyle name="20% - アクセント 6 3" xfId="54"/>
    <cellStyle name="20% - アクセント 6 4" xfId="55"/>
    <cellStyle name="20% - アクセント 6 5" xfId="56"/>
    <cellStyle name="20% - アクセント 6 6" xfId="57"/>
    <cellStyle name="20% - アクセント 6 7" xfId="58"/>
    <cellStyle name="20% - アクセント 6 8" xfId="59"/>
    <cellStyle name="20% - アクセント 6 9" xfId="60"/>
    <cellStyle name="40% - アクセント 1 10" xfId="61"/>
    <cellStyle name="40% - アクセント 1 2" xfId="62"/>
    <cellStyle name="40% - アクセント 1 3" xfId="63"/>
    <cellStyle name="40% - アクセント 1 4" xfId="64"/>
    <cellStyle name="40% - アクセント 1 5" xfId="65"/>
    <cellStyle name="40% - アクセント 1 6" xfId="66"/>
    <cellStyle name="40% - アクセント 1 7" xfId="67"/>
    <cellStyle name="40% - アクセント 1 8" xfId="68"/>
    <cellStyle name="40% - アクセント 1 9" xfId="69"/>
    <cellStyle name="40% - アクセント 2 10" xfId="70"/>
    <cellStyle name="40% - アクセント 2 2" xfId="71"/>
    <cellStyle name="40% - アクセント 2 3" xfId="72"/>
    <cellStyle name="40% - アクセント 2 4" xfId="73"/>
    <cellStyle name="40% - アクセント 2 5" xfId="74"/>
    <cellStyle name="40% - アクセント 2 6" xfId="75"/>
    <cellStyle name="40% - アクセント 2 7" xfId="76"/>
    <cellStyle name="40% - アクセント 2 8" xfId="77"/>
    <cellStyle name="40% - アクセント 2 9" xfId="78"/>
    <cellStyle name="40% - アクセント 3 10" xfId="79"/>
    <cellStyle name="40% - アクセント 3 2" xfId="80"/>
    <cellStyle name="40% - アクセント 3 3" xfId="81"/>
    <cellStyle name="40% - アクセント 3 4" xfId="82"/>
    <cellStyle name="40% - アクセント 3 5" xfId="83"/>
    <cellStyle name="40% - アクセント 3 6" xfId="84"/>
    <cellStyle name="40% - アクセント 3 7" xfId="85"/>
    <cellStyle name="40% - アクセント 3 8" xfId="86"/>
    <cellStyle name="40% - アクセント 3 9" xfId="87"/>
    <cellStyle name="40% - アクセント 4 10" xfId="88"/>
    <cellStyle name="40% - アクセント 4 2" xfId="89"/>
    <cellStyle name="40% - アクセント 4 3" xfId="90"/>
    <cellStyle name="40% - アクセント 4 4" xfId="91"/>
    <cellStyle name="40% - アクセント 4 5" xfId="92"/>
    <cellStyle name="40% - アクセント 4 6" xfId="93"/>
    <cellStyle name="40% - アクセント 4 7" xfId="94"/>
    <cellStyle name="40% - アクセント 4 8" xfId="95"/>
    <cellStyle name="40% - アクセント 4 9" xfId="96"/>
    <cellStyle name="40% - アクセント 5 10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10" xfId="106"/>
    <cellStyle name="40% - アクセント 6 2" xfId="107"/>
    <cellStyle name="40% - アクセント 6 3" xfId="108"/>
    <cellStyle name="40% - アクセント 6 4" xfId="109"/>
    <cellStyle name="40% - アクセント 6 5" xfId="110"/>
    <cellStyle name="40% - アクセント 6 6" xfId="111"/>
    <cellStyle name="40% - アクセント 6 7" xfId="112"/>
    <cellStyle name="40% - アクセント 6 8" xfId="113"/>
    <cellStyle name="40% - アクセント 6 9" xfId="114"/>
    <cellStyle name="60% - アクセント 1 10" xfId="115"/>
    <cellStyle name="60% - アクセント 1 2" xfId="116"/>
    <cellStyle name="60% - アクセント 1 3" xfId="117"/>
    <cellStyle name="60% - アクセント 1 4" xfId="118"/>
    <cellStyle name="60% - アクセント 1 5" xfId="119"/>
    <cellStyle name="60% - アクセント 1 6" xfId="120"/>
    <cellStyle name="60% - アクセント 1 7" xfId="121"/>
    <cellStyle name="60% - アクセント 1 8" xfId="122"/>
    <cellStyle name="60% - アクセント 1 9" xfId="123"/>
    <cellStyle name="60% - アクセント 2 10" xfId="124"/>
    <cellStyle name="60% - アクセント 2 2" xfId="125"/>
    <cellStyle name="60% - アクセント 2 3" xfId="126"/>
    <cellStyle name="60% - アクセント 2 4" xfId="127"/>
    <cellStyle name="60% - アクセント 2 5" xfId="128"/>
    <cellStyle name="60% - アクセント 2 6" xfId="129"/>
    <cellStyle name="60% - アクセント 2 7" xfId="130"/>
    <cellStyle name="60% - アクセント 2 8" xfId="131"/>
    <cellStyle name="60% - アクセント 2 9" xfId="132"/>
    <cellStyle name="60% - アクセント 3 10" xfId="133"/>
    <cellStyle name="60% - アクセント 3 2" xfId="134"/>
    <cellStyle name="60% - アクセント 3 3" xfId="135"/>
    <cellStyle name="60% - アクセント 3 4" xfId="136"/>
    <cellStyle name="60% - アクセント 3 5" xfId="137"/>
    <cellStyle name="60% - アクセント 3 6" xfId="138"/>
    <cellStyle name="60% - アクセント 3 7" xfId="139"/>
    <cellStyle name="60% - アクセント 3 8" xfId="140"/>
    <cellStyle name="60% - アクセント 3 9" xfId="141"/>
    <cellStyle name="60% - アクセント 4 10" xfId="142"/>
    <cellStyle name="60% - アクセント 4 2" xfId="143"/>
    <cellStyle name="60% - アクセント 4 3" xfId="144"/>
    <cellStyle name="60% - アクセント 4 4" xfId="145"/>
    <cellStyle name="60% - アクセント 4 5" xfId="146"/>
    <cellStyle name="60% - アクセント 4 6" xfId="147"/>
    <cellStyle name="60% - アクセント 4 7" xfId="148"/>
    <cellStyle name="60% - アクセント 4 8" xfId="149"/>
    <cellStyle name="60% - アクセント 4 9" xfId="150"/>
    <cellStyle name="60% - アクセント 5 10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10" xfId="160"/>
    <cellStyle name="60% - アクセント 6 2" xfId="161"/>
    <cellStyle name="60% - アクセント 6 3" xfId="162"/>
    <cellStyle name="60% - アクセント 6 4" xfId="163"/>
    <cellStyle name="60% - アクセント 6 5" xfId="164"/>
    <cellStyle name="60% - アクセント 6 6" xfId="165"/>
    <cellStyle name="60% - アクセント 6 7" xfId="166"/>
    <cellStyle name="60% - アクセント 6 8" xfId="167"/>
    <cellStyle name="60% - アクセント 6 9" xfId="168"/>
    <cellStyle name="アクセント 1 10" xfId="169"/>
    <cellStyle name="アクセント 1 2" xfId="170"/>
    <cellStyle name="アクセント 1 3" xfId="171"/>
    <cellStyle name="アクセント 1 4" xfId="172"/>
    <cellStyle name="アクセント 1 5" xfId="173"/>
    <cellStyle name="アクセント 1 6" xfId="174"/>
    <cellStyle name="アクセント 1 7" xfId="175"/>
    <cellStyle name="アクセント 1 8" xfId="176"/>
    <cellStyle name="アクセント 1 9" xfId="177"/>
    <cellStyle name="アクセント 2 10" xfId="178"/>
    <cellStyle name="アクセント 2 2" xfId="179"/>
    <cellStyle name="アクセント 2 3" xfId="180"/>
    <cellStyle name="アクセント 2 4" xfId="181"/>
    <cellStyle name="アクセント 2 5" xfId="182"/>
    <cellStyle name="アクセント 2 6" xfId="183"/>
    <cellStyle name="アクセント 2 7" xfId="184"/>
    <cellStyle name="アクセント 2 8" xfId="185"/>
    <cellStyle name="アクセント 2 9" xfId="186"/>
    <cellStyle name="アクセント 3 10" xfId="187"/>
    <cellStyle name="アクセント 3 2" xfId="188"/>
    <cellStyle name="アクセント 3 3" xfId="189"/>
    <cellStyle name="アクセント 3 4" xfId="190"/>
    <cellStyle name="アクセント 3 5" xfId="191"/>
    <cellStyle name="アクセント 3 6" xfId="192"/>
    <cellStyle name="アクセント 3 7" xfId="193"/>
    <cellStyle name="アクセント 3 8" xfId="194"/>
    <cellStyle name="アクセント 3 9" xfId="195"/>
    <cellStyle name="アクセント 4 10" xfId="196"/>
    <cellStyle name="アクセント 4 2" xfId="197"/>
    <cellStyle name="アクセント 4 3" xfId="198"/>
    <cellStyle name="アクセント 4 4" xfId="199"/>
    <cellStyle name="アクセント 4 5" xfId="200"/>
    <cellStyle name="アクセント 4 6" xfId="201"/>
    <cellStyle name="アクセント 4 7" xfId="202"/>
    <cellStyle name="アクセント 4 8" xfId="203"/>
    <cellStyle name="アクセント 4 9" xfId="204"/>
    <cellStyle name="アクセント 5 10" xfId="205"/>
    <cellStyle name="アクセント 5 2" xfId="206"/>
    <cellStyle name="アクセント 5 3" xfId="207"/>
    <cellStyle name="アクセント 5 4" xfId="208"/>
    <cellStyle name="アクセント 5 5" xfId="209"/>
    <cellStyle name="アクセント 5 6" xfId="210"/>
    <cellStyle name="アクセント 5 7" xfId="211"/>
    <cellStyle name="アクセント 5 8" xfId="212"/>
    <cellStyle name="アクセント 5 9" xfId="213"/>
    <cellStyle name="アクセント 6 10" xfId="214"/>
    <cellStyle name="アクセント 6 2" xfId="215"/>
    <cellStyle name="アクセント 6 3" xfId="216"/>
    <cellStyle name="アクセント 6 4" xfId="217"/>
    <cellStyle name="アクセント 6 5" xfId="218"/>
    <cellStyle name="アクセント 6 6" xfId="219"/>
    <cellStyle name="アクセント 6 7" xfId="220"/>
    <cellStyle name="アクセント 6 8" xfId="221"/>
    <cellStyle name="アクセント 6 9" xfId="222"/>
    <cellStyle name="タイトル 10" xfId="223"/>
    <cellStyle name="タイトル 2" xfId="224"/>
    <cellStyle name="タイトル 3" xfId="225"/>
    <cellStyle name="タイトル 4" xfId="226"/>
    <cellStyle name="タイトル 5" xfId="227"/>
    <cellStyle name="タイトル 6" xfId="228"/>
    <cellStyle name="タイトル 7" xfId="229"/>
    <cellStyle name="タイトル 8" xfId="230"/>
    <cellStyle name="タイトル 9" xfId="231"/>
    <cellStyle name="チェック セル 10" xfId="232"/>
    <cellStyle name="チェック セル 2" xfId="233"/>
    <cellStyle name="チェック セル 3" xfId="234"/>
    <cellStyle name="チェック セル 4" xfId="235"/>
    <cellStyle name="チェック セル 5" xfId="236"/>
    <cellStyle name="チェック セル 6" xfId="237"/>
    <cellStyle name="チェック セル 7" xfId="238"/>
    <cellStyle name="チェック セル 8" xfId="239"/>
    <cellStyle name="チェック セル 9" xfId="240"/>
    <cellStyle name="どちらでもない 10" xfId="241"/>
    <cellStyle name="どちらでもない 2" xfId="242"/>
    <cellStyle name="どちらでもない 3" xfId="243"/>
    <cellStyle name="どちらでもない 4" xfId="244"/>
    <cellStyle name="どちらでもない 5" xfId="245"/>
    <cellStyle name="どちらでもない 6" xfId="246"/>
    <cellStyle name="どちらでもない 7" xfId="247"/>
    <cellStyle name="どちらでもない 8" xfId="248"/>
    <cellStyle name="どちらでもない 9" xfId="249"/>
    <cellStyle name="メモ 10" xfId="250"/>
    <cellStyle name="メモ 10 2" xfId="251"/>
    <cellStyle name="メモ 10 3" xfId="252"/>
    <cellStyle name="メモ 2" xfId="253"/>
    <cellStyle name="メモ 2 2" xfId="254"/>
    <cellStyle name="メモ 2 3" xfId="255"/>
    <cellStyle name="メモ 3" xfId="256"/>
    <cellStyle name="メモ 3 2" xfId="257"/>
    <cellStyle name="メモ 3 3" xfId="258"/>
    <cellStyle name="メモ 4" xfId="259"/>
    <cellStyle name="メモ 4 2" xfId="260"/>
    <cellStyle name="メモ 4 3" xfId="261"/>
    <cellStyle name="メモ 5" xfId="262"/>
    <cellStyle name="メモ 5 2" xfId="263"/>
    <cellStyle name="メモ 5 3" xfId="264"/>
    <cellStyle name="メモ 6" xfId="265"/>
    <cellStyle name="メモ 6 2" xfId="266"/>
    <cellStyle name="メモ 6 3" xfId="267"/>
    <cellStyle name="メモ 7" xfId="268"/>
    <cellStyle name="メモ 7 2" xfId="269"/>
    <cellStyle name="メモ 7 3" xfId="270"/>
    <cellStyle name="メモ 8" xfId="271"/>
    <cellStyle name="メモ 8 2" xfId="272"/>
    <cellStyle name="メモ 8 3" xfId="273"/>
    <cellStyle name="メモ 9" xfId="274"/>
    <cellStyle name="メモ 9 2" xfId="275"/>
    <cellStyle name="メモ 9 3" xfId="276"/>
    <cellStyle name="リンク セル 10" xfId="277"/>
    <cellStyle name="リンク セル 2" xfId="278"/>
    <cellStyle name="リンク セル 3" xfId="279"/>
    <cellStyle name="リンク セル 4" xfId="280"/>
    <cellStyle name="リンク セル 5" xfId="281"/>
    <cellStyle name="リンク セル 6" xfId="282"/>
    <cellStyle name="リンク セル 7" xfId="283"/>
    <cellStyle name="リンク セル 8" xfId="284"/>
    <cellStyle name="リンク セル 9" xfId="285"/>
    <cellStyle name="悪い 10" xfId="286"/>
    <cellStyle name="悪い 2" xfId="287"/>
    <cellStyle name="悪い 3" xfId="288"/>
    <cellStyle name="悪い 4" xfId="289"/>
    <cellStyle name="悪い 5" xfId="290"/>
    <cellStyle name="悪い 6" xfId="291"/>
    <cellStyle name="悪い 7" xfId="292"/>
    <cellStyle name="悪い 8" xfId="293"/>
    <cellStyle name="悪い 9" xfId="294"/>
    <cellStyle name="計算 10" xfId="295"/>
    <cellStyle name="計算 2" xfId="296"/>
    <cellStyle name="計算 3" xfId="297"/>
    <cellStyle name="計算 4" xfId="298"/>
    <cellStyle name="計算 5" xfId="299"/>
    <cellStyle name="計算 6" xfId="300"/>
    <cellStyle name="計算 7" xfId="301"/>
    <cellStyle name="計算 8" xfId="302"/>
    <cellStyle name="計算 9" xfId="303"/>
    <cellStyle name="警告文 10" xfId="304"/>
    <cellStyle name="警告文 2" xfId="305"/>
    <cellStyle name="警告文 3" xfId="306"/>
    <cellStyle name="警告文 4" xfId="307"/>
    <cellStyle name="警告文 5" xfId="308"/>
    <cellStyle name="警告文 6" xfId="309"/>
    <cellStyle name="警告文 7" xfId="310"/>
    <cellStyle name="警告文 8" xfId="311"/>
    <cellStyle name="警告文 9" xfId="312"/>
    <cellStyle name="桁区切り 2" xfId="313"/>
    <cellStyle name="桁区切り 2 10" xfId="314"/>
    <cellStyle name="桁区切り 2 10 2" xfId="315"/>
    <cellStyle name="桁区切り 2 10 3" xfId="316"/>
    <cellStyle name="桁区切り 2 11" xfId="317"/>
    <cellStyle name="桁区切り 2 12" xfId="318"/>
    <cellStyle name="桁区切り 2 2" xfId="319"/>
    <cellStyle name="桁区切り 2 2 2" xfId="320"/>
    <cellStyle name="桁区切り 2 2 3" xfId="321"/>
    <cellStyle name="桁区切り 2 3" xfId="322"/>
    <cellStyle name="桁区切り 2 3 2" xfId="323"/>
    <cellStyle name="桁区切り 2 3 3" xfId="324"/>
    <cellStyle name="桁区切り 2 4" xfId="325"/>
    <cellStyle name="桁区切り 2 4 2" xfId="326"/>
    <cellStyle name="桁区切り 2 4 3" xfId="327"/>
    <cellStyle name="桁区切り 2 5" xfId="328"/>
    <cellStyle name="桁区切り 2 5 2" xfId="329"/>
    <cellStyle name="桁区切り 2 5 3" xfId="330"/>
    <cellStyle name="桁区切り 2 6" xfId="331"/>
    <cellStyle name="桁区切り 2 6 2" xfId="332"/>
    <cellStyle name="桁区切り 2 6 3" xfId="333"/>
    <cellStyle name="桁区切り 2 7" xfId="334"/>
    <cellStyle name="桁区切り 2 7 2" xfId="335"/>
    <cellStyle name="桁区切り 2 7 3" xfId="336"/>
    <cellStyle name="桁区切り 2 8" xfId="337"/>
    <cellStyle name="桁区切り 2 8 2" xfId="338"/>
    <cellStyle name="桁区切り 2 8 3" xfId="339"/>
    <cellStyle name="桁区切り 2 9" xfId="340"/>
    <cellStyle name="桁区切り 2 9 2" xfId="341"/>
    <cellStyle name="桁区切り 2 9 3" xfId="342"/>
    <cellStyle name="見出し 1 10" xfId="343"/>
    <cellStyle name="見出し 1 2" xfId="344"/>
    <cellStyle name="見出し 1 3" xfId="345"/>
    <cellStyle name="見出し 1 4" xfId="346"/>
    <cellStyle name="見出し 1 5" xfId="347"/>
    <cellStyle name="見出し 1 6" xfId="348"/>
    <cellStyle name="見出し 1 7" xfId="349"/>
    <cellStyle name="見出し 1 8" xfId="350"/>
    <cellStyle name="見出し 1 9" xfId="351"/>
    <cellStyle name="見出し 2 10" xfId="352"/>
    <cellStyle name="見出し 2 2" xfId="353"/>
    <cellStyle name="見出し 2 3" xfId="354"/>
    <cellStyle name="見出し 2 4" xfId="355"/>
    <cellStyle name="見出し 2 5" xfId="356"/>
    <cellStyle name="見出し 2 6" xfId="357"/>
    <cellStyle name="見出し 2 7" xfId="358"/>
    <cellStyle name="見出し 2 8" xfId="359"/>
    <cellStyle name="見出し 2 9" xfId="360"/>
    <cellStyle name="見出し 3 10" xfId="361"/>
    <cellStyle name="見出し 3 2" xfId="362"/>
    <cellStyle name="見出し 3 3" xfId="363"/>
    <cellStyle name="見出し 3 4" xfId="364"/>
    <cellStyle name="見出し 3 5" xfId="365"/>
    <cellStyle name="見出し 3 6" xfId="366"/>
    <cellStyle name="見出し 3 7" xfId="367"/>
    <cellStyle name="見出し 3 8" xfId="368"/>
    <cellStyle name="見出し 3 9" xfId="369"/>
    <cellStyle name="見出し 4 10" xfId="370"/>
    <cellStyle name="見出し 4 2" xfId="371"/>
    <cellStyle name="見出し 4 3" xfId="372"/>
    <cellStyle name="見出し 4 4" xfId="373"/>
    <cellStyle name="見出し 4 5" xfId="374"/>
    <cellStyle name="見出し 4 6" xfId="375"/>
    <cellStyle name="見出し 4 7" xfId="376"/>
    <cellStyle name="見出し 4 8" xfId="377"/>
    <cellStyle name="見出し 4 9" xfId="378"/>
    <cellStyle name="集計 10" xfId="379"/>
    <cellStyle name="集計 2" xfId="380"/>
    <cellStyle name="集計 3" xfId="381"/>
    <cellStyle name="集計 4" xfId="382"/>
    <cellStyle name="集計 5" xfId="383"/>
    <cellStyle name="集計 6" xfId="384"/>
    <cellStyle name="集計 7" xfId="385"/>
    <cellStyle name="集計 8" xfId="386"/>
    <cellStyle name="集計 9" xfId="387"/>
    <cellStyle name="出力 10" xfId="388"/>
    <cellStyle name="出力 2" xfId="389"/>
    <cellStyle name="出力 3" xfId="390"/>
    <cellStyle name="出力 4" xfId="391"/>
    <cellStyle name="出力 5" xfId="392"/>
    <cellStyle name="出力 6" xfId="393"/>
    <cellStyle name="出力 7" xfId="394"/>
    <cellStyle name="出力 8" xfId="395"/>
    <cellStyle name="出力 9" xfId="396"/>
    <cellStyle name="説明文 10" xfId="397"/>
    <cellStyle name="説明文 2" xfId="398"/>
    <cellStyle name="説明文 3" xfId="399"/>
    <cellStyle name="説明文 4" xfId="400"/>
    <cellStyle name="説明文 5" xfId="401"/>
    <cellStyle name="説明文 6" xfId="402"/>
    <cellStyle name="説明文 7" xfId="403"/>
    <cellStyle name="説明文 8" xfId="404"/>
    <cellStyle name="説明文 9" xfId="405"/>
    <cellStyle name="入力 10" xfId="406"/>
    <cellStyle name="入力 2" xfId="407"/>
    <cellStyle name="入力 3" xfId="408"/>
    <cellStyle name="入力 4" xfId="409"/>
    <cellStyle name="入力 5" xfId="410"/>
    <cellStyle name="入力 6" xfId="411"/>
    <cellStyle name="入力 7" xfId="412"/>
    <cellStyle name="入力 8" xfId="413"/>
    <cellStyle name="入力 9" xfId="414"/>
    <cellStyle name="標準" xfId="0" builtinId="0"/>
    <cellStyle name="標準 10" xfId="482"/>
    <cellStyle name="標準 11" xfId="483"/>
    <cellStyle name="標準 12" xfId="484"/>
    <cellStyle name="標準 13" xfId="485"/>
    <cellStyle name="標準 14" xfId="486"/>
    <cellStyle name="標準 15" xfId="487"/>
    <cellStyle name="標準 16" xfId="488"/>
    <cellStyle name="標準 17" xfId="489"/>
    <cellStyle name="標準 18" xfId="490"/>
    <cellStyle name="標準 18 2" xfId="509"/>
    <cellStyle name="標準 18 2 2" xfId="539"/>
    <cellStyle name="標準 18 2 3" xfId="568"/>
    <cellStyle name="標準 18 3" xfId="521"/>
    <cellStyle name="標準 18 4" xfId="550"/>
    <cellStyle name="標準 2" xfId="1"/>
    <cellStyle name="標準 2 14" xfId="569"/>
    <cellStyle name="標準 2 2" xfId="415"/>
    <cellStyle name="標準 2 2 2" xfId="416"/>
    <cellStyle name="標準 2 2 3" xfId="417"/>
    <cellStyle name="標準 2 3" xfId="418"/>
    <cellStyle name="標準 2 3 2" xfId="419"/>
    <cellStyle name="標準 2 3 3" xfId="420"/>
    <cellStyle name="標準 2 4" xfId="421"/>
    <cellStyle name="標準 2 4 2" xfId="422"/>
    <cellStyle name="標準 2 4 3" xfId="423"/>
    <cellStyle name="標準 2 5" xfId="424"/>
    <cellStyle name="標準 2 6" xfId="425"/>
    <cellStyle name="標準 3" xfId="2"/>
    <cellStyle name="標準 3 2" xfId="426"/>
    <cellStyle name="標準 3 3" xfId="427"/>
    <cellStyle name="標準 4" xfId="3"/>
    <cellStyle name="標準 4 2" xfId="428"/>
    <cellStyle name="標準 4 3" xfId="429"/>
    <cellStyle name="標準 5" xfId="6"/>
    <cellStyle name="標準 5 10" xfId="430"/>
    <cellStyle name="標準 5 10 2" xfId="431"/>
    <cellStyle name="標準 5 10 3" xfId="432"/>
    <cellStyle name="標準 5 11" xfId="433"/>
    <cellStyle name="標準 5 11 2" xfId="476"/>
    <cellStyle name="標準 5 11 2 2" xfId="492"/>
    <cellStyle name="標準 5 11 2 2 2" xfId="506"/>
    <cellStyle name="標準 5 11 2 2 2 2" xfId="536"/>
    <cellStyle name="標準 5 11 2 2 2 3" xfId="565"/>
    <cellStyle name="標準 5 11 2 2 3" xfId="523"/>
    <cellStyle name="標準 5 11 2 2 4" xfId="552"/>
    <cellStyle name="標準 5 11 2 3" xfId="500"/>
    <cellStyle name="標準 5 11 2 3 2" xfId="530"/>
    <cellStyle name="標準 5 11 2 3 3" xfId="559"/>
    <cellStyle name="標準 5 11 2 4" xfId="515"/>
    <cellStyle name="標準 5 11 2 5" xfId="544"/>
    <cellStyle name="標準 5 11 3" xfId="479"/>
    <cellStyle name="標準 5 11 3 2" xfId="503"/>
    <cellStyle name="標準 5 11 3 2 2" xfId="533"/>
    <cellStyle name="標準 5 11 3 2 3" xfId="562"/>
    <cellStyle name="標準 5 11 3 3" xfId="518"/>
    <cellStyle name="標準 5 11 3 4" xfId="547"/>
    <cellStyle name="標準 5 11 4" xfId="497"/>
    <cellStyle name="標準 5 11 4 2" xfId="527"/>
    <cellStyle name="標準 5 11 4 3" xfId="556"/>
    <cellStyle name="標準 5 11 5" xfId="512"/>
    <cellStyle name="標準 5 11 6" xfId="541"/>
    <cellStyle name="標準 5 12" xfId="434"/>
    <cellStyle name="標準 5 12 2" xfId="477"/>
    <cellStyle name="標準 5 12 2 2" xfId="493"/>
    <cellStyle name="標準 5 12 2 2 2" xfId="507"/>
    <cellStyle name="標準 5 12 2 2 2 2" xfId="537"/>
    <cellStyle name="標準 5 12 2 2 2 3" xfId="566"/>
    <cellStyle name="標準 5 12 2 2 3" xfId="524"/>
    <cellStyle name="標準 5 12 2 2 4" xfId="553"/>
    <cellStyle name="標準 5 12 2 3" xfId="501"/>
    <cellStyle name="標準 5 12 2 3 2" xfId="531"/>
    <cellStyle name="標準 5 12 2 3 3" xfId="560"/>
    <cellStyle name="標準 5 12 2 4" xfId="516"/>
    <cellStyle name="標準 5 12 2 5" xfId="545"/>
    <cellStyle name="標準 5 12 3" xfId="480"/>
    <cellStyle name="標準 5 12 3 2" xfId="504"/>
    <cellStyle name="標準 5 12 3 2 2" xfId="534"/>
    <cellStyle name="標準 5 12 3 2 3" xfId="563"/>
    <cellStyle name="標準 5 12 3 3" xfId="519"/>
    <cellStyle name="標準 5 12 3 4" xfId="548"/>
    <cellStyle name="標準 5 12 4" xfId="498"/>
    <cellStyle name="標準 5 12 4 2" xfId="528"/>
    <cellStyle name="標準 5 12 4 3" xfId="557"/>
    <cellStyle name="標準 5 12 5" xfId="513"/>
    <cellStyle name="標準 5 12 6" xfId="542"/>
    <cellStyle name="標準 5 13" xfId="475"/>
    <cellStyle name="標準 5 13 2" xfId="494"/>
    <cellStyle name="標準 5 13 2 2" xfId="505"/>
    <cellStyle name="標準 5 13 2 2 2" xfId="535"/>
    <cellStyle name="標準 5 13 2 2 3" xfId="564"/>
    <cellStyle name="標準 5 13 2 3" xfId="525"/>
    <cellStyle name="標準 5 13 2 4" xfId="554"/>
    <cellStyle name="標準 5 13 3" xfId="499"/>
    <cellStyle name="標準 5 13 3 2" xfId="529"/>
    <cellStyle name="標準 5 13 3 3" xfId="558"/>
    <cellStyle name="標準 5 13 4" xfId="514"/>
    <cellStyle name="標準 5 13 5" xfId="543"/>
    <cellStyle name="標準 5 14" xfId="478"/>
    <cellStyle name="標準 5 14 2" xfId="502"/>
    <cellStyle name="標準 5 14 2 2" xfId="532"/>
    <cellStyle name="標準 5 14 2 3" xfId="561"/>
    <cellStyle name="標準 5 14 3" xfId="517"/>
    <cellStyle name="標準 5 14 4" xfId="546"/>
    <cellStyle name="標準 5 15" xfId="495"/>
    <cellStyle name="標準 5 16" xfId="496"/>
    <cellStyle name="標準 5 16 2" xfId="526"/>
    <cellStyle name="標準 5 16 3" xfId="555"/>
    <cellStyle name="標準 5 17" xfId="511"/>
    <cellStyle name="標準 5 18" xfId="540"/>
    <cellStyle name="標準 5 2" xfId="435"/>
    <cellStyle name="標準 5 2 2" xfId="436"/>
    <cellStyle name="標準 5 2 3" xfId="437"/>
    <cellStyle name="標準 5 3" xfId="438"/>
    <cellStyle name="標準 5 3 2" xfId="439"/>
    <cellStyle name="標準 5 3 3" xfId="440"/>
    <cellStyle name="標準 5 4" xfId="441"/>
    <cellStyle name="標準 5 4 2" xfId="442"/>
    <cellStyle name="標準 5 4 3" xfId="443"/>
    <cellStyle name="標準 5 5" xfId="444"/>
    <cellStyle name="標準 5 5 2" xfId="445"/>
    <cellStyle name="標準 5 5 3" xfId="446"/>
    <cellStyle name="標準 5 6" xfId="447"/>
    <cellStyle name="標準 5 6 2" xfId="448"/>
    <cellStyle name="標準 5 6 3" xfId="449"/>
    <cellStyle name="標準 5 7" xfId="450"/>
    <cellStyle name="標準 5 7 2" xfId="451"/>
    <cellStyle name="標準 5 7 3" xfId="452"/>
    <cellStyle name="標準 5 8" xfId="453"/>
    <cellStyle name="標準 5 8 2" xfId="454"/>
    <cellStyle name="標準 5 8 3" xfId="455"/>
    <cellStyle name="標準 5 9" xfId="456"/>
    <cellStyle name="標準 5 9 2" xfId="457"/>
    <cellStyle name="標準 5 9 3" xfId="458"/>
    <cellStyle name="標準 6" xfId="4"/>
    <cellStyle name="標準 6 2" xfId="459"/>
    <cellStyle name="標準 6 3" xfId="460"/>
    <cellStyle name="標準 7" xfId="5"/>
    <cellStyle name="標準 7 2" xfId="461"/>
    <cellStyle name="標準 7 3" xfId="462"/>
    <cellStyle name="標準 8" xfId="463"/>
    <cellStyle name="標準 8 2" xfId="464"/>
    <cellStyle name="標準 8 3" xfId="465"/>
    <cellStyle name="標準 9" xfId="481"/>
    <cellStyle name="標準 9 2" xfId="491"/>
    <cellStyle name="標準 9 2 2" xfId="510"/>
    <cellStyle name="標準 9 2 3" xfId="522"/>
    <cellStyle name="標準 9 2 4" xfId="551"/>
    <cellStyle name="標準 9 3" xfId="508"/>
    <cellStyle name="標準 9 3 2" xfId="538"/>
    <cellStyle name="標準 9 3 3" xfId="567"/>
    <cellStyle name="標準 9 4" xfId="520"/>
    <cellStyle name="標準 9 5" xfId="549"/>
    <cellStyle name="良い 10" xfId="466"/>
    <cellStyle name="良い 2" xfId="467"/>
    <cellStyle name="良い 3" xfId="468"/>
    <cellStyle name="良い 4" xfId="469"/>
    <cellStyle name="良い 5" xfId="470"/>
    <cellStyle name="良い 6" xfId="471"/>
    <cellStyle name="良い 7" xfId="472"/>
    <cellStyle name="良い 8" xfId="473"/>
    <cellStyle name="良い 9" xfId="474"/>
  </cellStyles>
  <dxfs count="230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FFFF00"/>
      </font>
      <fill>
        <patternFill>
          <bgColor rgb="FF0000FF"/>
        </patternFill>
      </fill>
    </dxf>
    <dxf>
      <font>
        <color rgb="FFFFFF00"/>
      </font>
      <fill>
        <patternFill>
          <bgColor rgb="FF0000FF"/>
        </patternFill>
      </fill>
    </dxf>
    <dxf>
      <fill>
        <patternFill>
          <bgColor indexed="42"/>
        </patternFill>
      </fill>
    </dxf>
    <dxf>
      <fill>
        <patternFill>
          <bgColor indexed="51"/>
        </patternFill>
      </fill>
    </dxf>
    <dxf>
      <fill>
        <patternFill>
          <bgColor indexed="43"/>
        </patternFill>
      </fill>
    </dxf>
    <dxf>
      <fill>
        <patternFill>
          <bgColor indexed="41"/>
        </patternFill>
      </fill>
    </dxf>
    <dxf>
      <fill>
        <patternFill>
          <bgColor indexed="51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mruColors>
      <color rgb="FF17B977"/>
      <color rgb="FF53B31D"/>
      <color rgb="FF0000FF"/>
      <color rgb="FF16703F"/>
      <color rgb="FF7B93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2438400</xdr:colOff>
          <xdr:row>1</xdr:row>
          <xdr:rowOff>0</xdr:rowOff>
        </xdr:from>
        <xdr:to>
          <xdr:col>2</xdr:col>
          <xdr:colOff>1371600</xdr:colOff>
          <xdr:row>3</xdr:row>
          <xdr:rowOff>9525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1" i="0" u="none" strike="noStrike" baseline="0">
                  <a:solidFill>
                    <a:srgbClr val="FF0000"/>
                  </a:solidFill>
                  <a:latin typeface="Tahoma"/>
                  <a:cs typeface="Tahoma"/>
                </a:rPr>
                <a:t>Individual Create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mM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 of this file"/>
      <sheetName val="Macro history"/>
      <sheetName val="Macro version"/>
      <sheetName val="WORK"/>
      <sheetName val="Whole chart(BIN)"/>
    </sheetNames>
    <definedNames>
      <definedName name="ROM_HEAD_MAKE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BV145"/>
  <sheetViews>
    <sheetView tabSelected="1" zoomScale="85" zoomScaleNormal="85" workbookViewId="0"/>
  </sheetViews>
  <sheetFormatPr defaultRowHeight="13.5"/>
  <cols>
    <col min="2" max="2" width="11.625" bestFit="1" customWidth="1"/>
    <col min="3" max="3" width="13" customWidth="1"/>
    <col min="4" max="4" width="73.75" bestFit="1" customWidth="1"/>
  </cols>
  <sheetData>
    <row r="2" spans="2:4">
      <c r="B2" t="s">
        <v>316</v>
      </c>
    </row>
    <row r="5" spans="2:4">
      <c r="B5" s="12" t="s">
        <v>317</v>
      </c>
      <c r="C5" s="12"/>
      <c r="D5" s="12"/>
    </row>
    <row r="6" spans="2:4">
      <c r="B6" s="12" t="s">
        <v>318</v>
      </c>
      <c r="C6" s="12" t="s">
        <v>319</v>
      </c>
      <c r="D6" s="12" t="s">
        <v>320</v>
      </c>
    </row>
    <row r="7" spans="2:4">
      <c r="B7" s="167">
        <v>41218</v>
      </c>
      <c r="C7" s="12" t="s">
        <v>342</v>
      </c>
      <c r="D7" s="168" t="s">
        <v>343</v>
      </c>
    </row>
    <row r="8" spans="2:4">
      <c r="B8" s="181">
        <v>41263</v>
      </c>
      <c r="C8" s="182" t="s">
        <v>344</v>
      </c>
      <c r="D8" s="183" t="s">
        <v>345</v>
      </c>
    </row>
    <row r="9" spans="2:4">
      <c r="B9" s="181">
        <v>41264</v>
      </c>
      <c r="C9" s="182" t="s">
        <v>344</v>
      </c>
      <c r="D9" s="183" t="s">
        <v>346</v>
      </c>
    </row>
    <row r="10" spans="2:4">
      <c r="B10" s="184">
        <v>41264</v>
      </c>
      <c r="C10" s="185" t="s">
        <v>347</v>
      </c>
      <c r="D10" s="186" t="s">
        <v>348</v>
      </c>
    </row>
    <row r="11" spans="2:4">
      <c r="B11" s="187">
        <v>41266</v>
      </c>
      <c r="C11" s="188" t="s">
        <v>350</v>
      </c>
      <c r="D11" s="189" t="s">
        <v>351</v>
      </c>
    </row>
    <row r="12" spans="2:4">
      <c r="B12" s="184">
        <v>41266</v>
      </c>
      <c r="C12" s="185" t="s">
        <v>352</v>
      </c>
      <c r="D12" s="186" t="s">
        <v>353</v>
      </c>
    </row>
    <row r="13" spans="2:4">
      <c r="B13" s="184">
        <v>41267</v>
      </c>
      <c r="C13" s="185" t="s">
        <v>354</v>
      </c>
      <c r="D13" s="186" t="s">
        <v>355</v>
      </c>
    </row>
    <row r="14" spans="2:4">
      <c r="B14" s="184">
        <v>41267</v>
      </c>
      <c r="C14" s="185" t="s">
        <v>356</v>
      </c>
      <c r="D14" s="186" t="s">
        <v>357</v>
      </c>
    </row>
    <row r="15" spans="2:4">
      <c r="B15" s="184">
        <v>41267</v>
      </c>
      <c r="C15" s="185" t="s">
        <v>354</v>
      </c>
      <c r="D15" s="186" t="s">
        <v>358</v>
      </c>
    </row>
    <row r="16" spans="2:4">
      <c r="B16" s="184">
        <v>41267</v>
      </c>
      <c r="C16" s="185" t="s">
        <v>354</v>
      </c>
      <c r="D16" s="186" t="s">
        <v>359</v>
      </c>
    </row>
    <row r="17" spans="2:4">
      <c r="B17" s="171">
        <v>41271</v>
      </c>
      <c r="C17" s="172" t="s">
        <v>361</v>
      </c>
      <c r="D17" s="170" t="s">
        <v>360</v>
      </c>
    </row>
    <row r="18" spans="2:4">
      <c r="B18" s="169">
        <v>41274</v>
      </c>
      <c r="C18" s="12" t="s">
        <v>362</v>
      </c>
      <c r="D18" s="170" t="s">
        <v>363</v>
      </c>
    </row>
    <row r="19" spans="2:4">
      <c r="B19" s="171">
        <v>40912</v>
      </c>
      <c r="C19" s="172" t="s">
        <v>364</v>
      </c>
      <c r="D19" s="173" t="s">
        <v>366</v>
      </c>
    </row>
    <row r="20" spans="2:4">
      <c r="B20" s="174">
        <v>41281</v>
      </c>
      <c r="C20" s="175" t="s">
        <v>365</v>
      </c>
      <c r="D20" s="176" t="s">
        <v>367</v>
      </c>
    </row>
    <row r="21" spans="2:4">
      <c r="B21" s="177">
        <v>41286</v>
      </c>
      <c r="C21" s="172" t="s">
        <v>368</v>
      </c>
      <c r="D21" s="173" t="s">
        <v>369</v>
      </c>
    </row>
    <row r="22" spans="2:4">
      <c r="B22" s="177">
        <v>41286</v>
      </c>
      <c r="C22" s="172" t="s">
        <v>368</v>
      </c>
      <c r="D22" s="173" t="s">
        <v>370</v>
      </c>
    </row>
    <row r="23" spans="2:4">
      <c r="B23" s="164">
        <v>41293</v>
      </c>
      <c r="C23" s="107" t="s">
        <v>371</v>
      </c>
      <c r="D23" s="107" t="s">
        <v>372</v>
      </c>
    </row>
    <row r="24" spans="2:4">
      <c r="B24" s="164">
        <v>41296</v>
      </c>
      <c r="C24" s="107" t="s">
        <v>373</v>
      </c>
      <c r="D24" s="166" t="s">
        <v>374</v>
      </c>
    </row>
    <row r="25" spans="2:4">
      <c r="B25" s="164">
        <v>41305</v>
      </c>
      <c r="C25" s="107" t="s">
        <v>375</v>
      </c>
      <c r="D25" s="166" t="s">
        <v>376</v>
      </c>
    </row>
    <row r="26" spans="2:4">
      <c r="B26" s="164">
        <v>41312</v>
      </c>
      <c r="C26" s="107" t="s">
        <v>377</v>
      </c>
      <c r="D26" s="166" t="s">
        <v>378</v>
      </c>
    </row>
    <row r="27" spans="2:4">
      <c r="B27" s="164">
        <v>41320</v>
      </c>
      <c r="C27" s="107" t="s">
        <v>379</v>
      </c>
      <c r="D27" s="166" t="s">
        <v>380</v>
      </c>
    </row>
    <row r="28" spans="2:4">
      <c r="B28" s="164">
        <v>41327</v>
      </c>
      <c r="C28" s="107" t="s">
        <v>381</v>
      </c>
      <c r="D28" s="166" t="s">
        <v>382</v>
      </c>
    </row>
    <row r="29" spans="2:4">
      <c r="B29" s="164">
        <v>41344</v>
      </c>
      <c r="C29" s="107" t="s">
        <v>383</v>
      </c>
      <c r="D29" s="166" t="s">
        <v>384</v>
      </c>
    </row>
    <row r="30" spans="2:4">
      <c r="B30" s="190">
        <v>41352</v>
      </c>
      <c r="C30" s="191" t="s">
        <v>385</v>
      </c>
      <c r="D30" s="192" t="s">
        <v>386</v>
      </c>
    </row>
    <row r="31" spans="2:4">
      <c r="B31" s="190">
        <v>41353</v>
      </c>
      <c r="C31" s="191" t="s">
        <v>364</v>
      </c>
      <c r="D31" s="192" t="s">
        <v>387</v>
      </c>
    </row>
    <row r="32" spans="2:4">
      <c r="B32" s="190">
        <v>41676</v>
      </c>
      <c r="C32" s="191" t="s">
        <v>394</v>
      </c>
      <c r="D32" s="204" t="s">
        <v>395</v>
      </c>
    </row>
    <row r="33" spans="2:4">
      <c r="B33" s="205">
        <v>41793</v>
      </c>
      <c r="C33" s="206" t="s">
        <v>396</v>
      </c>
      <c r="D33" s="204" t="s">
        <v>398</v>
      </c>
    </row>
    <row r="34" spans="2:4">
      <c r="B34" s="205">
        <v>41807</v>
      </c>
      <c r="C34" s="206" t="s">
        <v>400</v>
      </c>
      <c r="D34" s="204" t="s">
        <v>399</v>
      </c>
    </row>
    <row r="35" spans="2:4">
      <c r="B35" s="190">
        <v>41810</v>
      </c>
      <c r="C35" s="191" t="s">
        <v>400</v>
      </c>
      <c r="D35" s="216" t="s">
        <v>401</v>
      </c>
    </row>
    <row r="36" spans="2:4">
      <c r="B36" s="190">
        <v>41831</v>
      </c>
      <c r="C36" s="191" t="s">
        <v>394</v>
      </c>
      <c r="D36" s="216" t="s">
        <v>430</v>
      </c>
    </row>
    <row r="37" spans="2:4">
      <c r="B37" s="164"/>
      <c r="C37" s="107"/>
      <c r="D37" s="107"/>
    </row>
    <row r="38" spans="2:4">
      <c r="C38" s="165"/>
    </row>
    <row r="145" spans="74:74">
      <c r="BV145" t="s">
        <v>349</v>
      </c>
    </row>
  </sheetData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N1673"/>
  <sheetViews>
    <sheetView zoomScale="85" zoomScaleNormal="85" workbookViewId="0"/>
  </sheetViews>
  <sheetFormatPr defaultColWidth="9" defaultRowHeight="12.75" outlineLevelRow="1"/>
  <cols>
    <col min="1" max="1" width="2" style="43" customWidth="1"/>
    <col min="2" max="2" width="7.125" style="43" customWidth="1"/>
    <col min="3" max="3" width="36" style="43" customWidth="1"/>
    <col min="4" max="4" width="5.75" style="43" customWidth="1"/>
    <col min="5" max="5" width="11.625" style="50" customWidth="1"/>
    <col min="6" max="6" width="12.5" style="43" customWidth="1"/>
    <col min="7" max="7" width="23.625" style="43" customWidth="1"/>
    <col min="8" max="8" width="19" style="43" bestFit="1" customWidth="1"/>
    <col min="9" max="9" width="10" style="43" customWidth="1"/>
    <col min="10" max="10" width="7.375" style="43" customWidth="1"/>
    <col min="11" max="11" width="58.75" style="43" customWidth="1"/>
    <col min="12" max="12" width="15.75" style="43" customWidth="1"/>
    <col min="13" max="16384" width="9" style="43"/>
  </cols>
  <sheetData>
    <row r="1" spans="1:14" s="13" customFormat="1">
      <c r="B1" s="14"/>
      <c r="C1" s="13" t="s">
        <v>340</v>
      </c>
      <c r="E1" s="15"/>
      <c r="F1" s="16"/>
      <c r="G1" s="160"/>
      <c r="H1" s="17"/>
      <c r="I1" s="18"/>
      <c r="J1" s="160"/>
      <c r="K1" s="19"/>
    </row>
    <row r="2" spans="1:14" s="13" customFormat="1" ht="14.25">
      <c r="B2" s="14"/>
      <c r="E2" s="15"/>
      <c r="F2" s="16"/>
      <c r="G2" s="160"/>
      <c r="H2" s="17"/>
      <c r="I2" s="18"/>
      <c r="J2" s="10"/>
      <c r="K2" s="19"/>
      <c r="L2" s="160"/>
      <c r="M2" s="160"/>
    </row>
    <row r="3" spans="1:14" s="13" customFormat="1" ht="14.25">
      <c r="B3" s="14"/>
      <c r="E3" s="15"/>
      <c r="F3" s="16"/>
      <c r="G3" s="160"/>
      <c r="H3" s="17"/>
      <c r="I3" s="18"/>
      <c r="J3" s="10"/>
      <c r="K3" s="19"/>
      <c r="L3" s="160"/>
      <c r="M3" s="160"/>
    </row>
    <row r="4" spans="1:14" s="13" customFormat="1">
      <c r="B4" s="14"/>
      <c r="E4" s="15"/>
      <c r="F4" s="16"/>
      <c r="G4" s="20"/>
      <c r="H4" s="21"/>
      <c r="I4" s="22"/>
      <c r="J4" s="20"/>
      <c r="K4" s="23"/>
      <c r="L4" s="24"/>
      <c r="M4" s="24"/>
    </row>
    <row r="5" spans="1:14" s="13" customFormat="1" ht="12" customHeight="1">
      <c r="B5" s="25" t="s">
        <v>299</v>
      </c>
      <c r="C5" s="26" t="s">
        <v>300</v>
      </c>
      <c r="D5" s="27" t="s">
        <v>295</v>
      </c>
      <c r="E5" s="28" t="s">
        <v>76</v>
      </c>
      <c r="F5" s="29" t="s">
        <v>301</v>
      </c>
      <c r="G5" s="30" t="s">
        <v>282</v>
      </c>
      <c r="H5" s="31"/>
      <c r="I5" s="30" t="s">
        <v>283</v>
      </c>
      <c r="J5" s="28" t="s">
        <v>332</v>
      </c>
      <c r="K5" s="29" t="s">
        <v>323</v>
      </c>
      <c r="L5" s="19"/>
      <c r="M5" s="19"/>
    </row>
    <row r="6" spans="1:14" s="13" customFormat="1">
      <c r="B6" s="32"/>
      <c r="C6" s="33"/>
      <c r="D6" s="34"/>
      <c r="E6" s="35"/>
      <c r="F6" s="36"/>
      <c r="G6" s="37" t="s">
        <v>324</v>
      </c>
      <c r="H6" s="37" t="s">
        <v>333</v>
      </c>
      <c r="I6" s="32" t="s">
        <v>284</v>
      </c>
      <c r="J6" s="35"/>
      <c r="K6" s="36"/>
      <c r="L6" s="19"/>
      <c r="M6" s="19"/>
    </row>
    <row r="7" spans="1:14" ht="12" customHeight="1" collapsed="1">
      <c r="A7" s="13"/>
      <c r="B7" s="30">
        <v>1</v>
      </c>
      <c r="C7" s="26" t="s">
        <v>266</v>
      </c>
      <c r="D7" s="38"/>
      <c r="E7" s="39" t="s">
        <v>325</v>
      </c>
      <c r="F7" s="180" t="s">
        <v>431</v>
      </c>
      <c r="G7" s="40" t="s">
        <v>79</v>
      </c>
      <c r="H7" s="46" t="s">
        <v>80</v>
      </c>
      <c r="I7" s="51" t="str">
        <f>"0x"&amp;AE_w_WORK!D6</f>
        <v>0xFFFF</v>
      </c>
      <c r="J7" s="41">
        <v>40473</v>
      </c>
      <c r="K7" s="42" t="s">
        <v>326</v>
      </c>
    </row>
    <row r="8" spans="1:14" ht="12" hidden="1" customHeight="1" outlineLevel="1">
      <c r="A8" s="13"/>
      <c r="B8" s="30">
        <v>2</v>
      </c>
      <c r="C8" s="44"/>
      <c r="D8" s="45"/>
      <c r="E8" s="39" t="s">
        <v>325</v>
      </c>
      <c r="F8" s="180" t="s">
        <v>432</v>
      </c>
      <c r="G8" s="40" t="s">
        <v>77</v>
      </c>
      <c r="H8" s="46" t="s">
        <v>78</v>
      </c>
      <c r="I8" s="51" t="str">
        <f>"0x"&amp;AE_w_WORK!D7</f>
        <v>0xFFFF</v>
      </c>
      <c r="J8" s="41">
        <v>40473</v>
      </c>
      <c r="K8" s="42"/>
      <c r="N8" s="179"/>
    </row>
    <row r="9" spans="1:14" ht="12" hidden="1" customHeight="1" outlineLevel="1">
      <c r="A9" s="13"/>
      <c r="B9" s="178">
        <v>3</v>
      </c>
      <c r="C9" s="44"/>
      <c r="D9" s="45"/>
      <c r="E9" s="39" t="s">
        <v>325</v>
      </c>
      <c r="F9" s="180" t="s">
        <v>433</v>
      </c>
      <c r="G9" s="40" t="s">
        <v>22</v>
      </c>
      <c r="H9" s="46" t="s">
        <v>23</v>
      </c>
      <c r="I9" s="51" t="str">
        <f>"0x"&amp;AE_w_WORK!D8</f>
        <v>0xFFFF</v>
      </c>
      <c r="J9" s="41">
        <v>40473</v>
      </c>
      <c r="K9" s="42"/>
      <c r="M9" s="179"/>
      <c r="N9" s="179"/>
    </row>
    <row r="10" spans="1:14" ht="12" hidden="1" customHeight="1" outlineLevel="1">
      <c r="A10" s="13"/>
      <c r="B10" s="178">
        <v>4</v>
      </c>
      <c r="C10" s="44"/>
      <c r="D10" s="45"/>
      <c r="E10" s="39" t="s">
        <v>325</v>
      </c>
      <c r="F10" s="180" t="s">
        <v>434</v>
      </c>
      <c r="G10" s="40" t="s">
        <v>24</v>
      </c>
      <c r="H10" s="46" t="s">
        <v>25</v>
      </c>
      <c r="I10" s="51" t="str">
        <f>"0x"&amp;AE_w_WORK!D9</f>
        <v>0xFFFF</v>
      </c>
      <c r="J10" s="41">
        <v>40473</v>
      </c>
      <c r="K10" s="42"/>
      <c r="M10" s="179"/>
      <c r="N10" s="179"/>
    </row>
    <row r="11" spans="1:14" ht="12" hidden="1" customHeight="1" outlineLevel="1">
      <c r="A11" s="13"/>
      <c r="B11" s="178">
        <v>5</v>
      </c>
      <c r="C11" s="44"/>
      <c r="D11" s="45"/>
      <c r="E11" s="39" t="s">
        <v>325</v>
      </c>
      <c r="F11" s="180" t="s">
        <v>435</v>
      </c>
      <c r="G11" s="40" t="s">
        <v>26</v>
      </c>
      <c r="H11" s="46" t="s">
        <v>27</v>
      </c>
      <c r="I11" s="51" t="str">
        <f>"0x"&amp;AE_w_WORK!D10</f>
        <v>0xFFFF</v>
      </c>
      <c r="J11" s="41">
        <v>40473</v>
      </c>
      <c r="K11" s="42"/>
      <c r="M11" s="179"/>
      <c r="N11" s="179"/>
    </row>
    <row r="12" spans="1:14" ht="12" hidden="1" customHeight="1" outlineLevel="1">
      <c r="A12" s="13"/>
      <c r="B12" s="178">
        <v>6</v>
      </c>
      <c r="C12" s="44"/>
      <c r="D12" s="45"/>
      <c r="E12" s="39" t="s">
        <v>325</v>
      </c>
      <c r="F12" s="180" t="s">
        <v>436</v>
      </c>
      <c r="G12" s="40" t="s">
        <v>28</v>
      </c>
      <c r="H12" s="46" t="s">
        <v>29</v>
      </c>
      <c r="I12" s="51" t="str">
        <f>"0x"&amp;AE_w_WORK!D11</f>
        <v>0xFFFF</v>
      </c>
      <c r="J12" s="41">
        <v>40473</v>
      </c>
      <c r="K12" s="42"/>
      <c r="M12" s="179"/>
      <c r="N12" s="179"/>
    </row>
    <row r="13" spans="1:14" ht="12" hidden="1" customHeight="1" outlineLevel="1">
      <c r="A13" s="13"/>
      <c r="B13" s="178">
        <v>7</v>
      </c>
      <c r="C13" s="44"/>
      <c r="D13" s="45"/>
      <c r="E13" s="39" t="s">
        <v>325</v>
      </c>
      <c r="F13" s="180" t="s">
        <v>437</v>
      </c>
      <c r="G13" s="40" t="s">
        <v>30</v>
      </c>
      <c r="H13" s="46" t="s">
        <v>31</v>
      </c>
      <c r="I13" s="51" t="str">
        <f>"0x"&amp;AE_w_WORK!D12</f>
        <v>0xFFFF</v>
      </c>
      <c r="J13" s="41">
        <v>40473</v>
      </c>
      <c r="K13" s="42"/>
      <c r="M13" s="179"/>
      <c r="N13" s="179"/>
    </row>
    <row r="14" spans="1:14" ht="12" hidden="1" customHeight="1" outlineLevel="1">
      <c r="A14" s="13"/>
      <c r="B14" s="178">
        <v>8</v>
      </c>
      <c r="C14" s="44"/>
      <c r="D14" s="45"/>
      <c r="E14" s="39" t="s">
        <v>325</v>
      </c>
      <c r="F14" s="180" t="s">
        <v>438</v>
      </c>
      <c r="G14" s="40" t="s">
        <v>32</v>
      </c>
      <c r="H14" s="46" t="s">
        <v>33</v>
      </c>
      <c r="I14" s="51" t="str">
        <f>"0x"&amp;AE_w_WORK!D13</f>
        <v>0xFFFF</v>
      </c>
      <c r="J14" s="41">
        <v>40473</v>
      </c>
      <c r="K14" s="42"/>
      <c r="M14" s="179"/>
      <c r="N14" s="179"/>
    </row>
    <row r="15" spans="1:14" ht="12" hidden="1" customHeight="1" outlineLevel="1">
      <c r="A15" s="13"/>
      <c r="B15" s="178">
        <v>9</v>
      </c>
      <c r="C15" s="44"/>
      <c r="D15" s="45"/>
      <c r="E15" s="39" t="s">
        <v>325</v>
      </c>
      <c r="F15" s="180" t="s">
        <v>439</v>
      </c>
      <c r="G15" s="40" t="s">
        <v>34</v>
      </c>
      <c r="H15" s="46" t="s">
        <v>35</v>
      </c>
      <c r="I15" s="51" t="str">
        <f>"0x"&amp;AE_w_WORK!D14</f>
        <v>0xFFFF</v>
      </c>
      <c r="J15" s="41">
        <v>40473</v>
      </c>
      <c r="K15" s="42"/>
      <c r="M15" s="179"/>
      <c r="N15" s="179"/>
    </row>
    <row r="16" spans="1:14" ht="12" hidden="1" customHeight="1" outlineLevel="1">
      <c r="A16" s="13"/>
      <c r="B16" s="178">
        <v>10</v>
      </c>
      <c r="C16" s="44"/>
      <c r="D16" s="45"/>
      <c r="E16" s="39" t="s">
        <v>325</v>
      </c>
      <c r="F16" s="180" t="s">
        <v>440</v>
      </c>
      <c r="G16" s="40" t="s">
        <v>36</v>
      </c>
      <c r="H16" s="46" t="s">
        <v>37</v>
      </c>
      <c r="I16" s="51" t="str">
        <f>"0x"&amp;AE_w_WORK!D15</f>
        <v>0xFFFF</v>
      </c>
      <c r="J16" s="41">
        <v>40473</v>
      </c>
      <c r="K16" s="42"/>
      <c r="M16" s="179"/>
      <c r="N16" s="179"/>
    </row>
    <row r="17" spans="1:14" ht="12" hidden="1" customHeight="1" outlineLevel="1">
      <c r="A17" s="13"/>
      <c r="B17" s="178">
        <v>11</v>
      </c>
      <c r="C17" s="44"/>
      <c r="D17" s="45"/>
      <c r="E17" s="39" t="s">
        <v>325</v>
      </c>
      <c r="F17" s="180" t="s">
        <v>441</v>
      </c>
      <c r="G17" s="40" t="s">
        <v>38</v>
      </c>
      <c r="H17" s="46" t="s">
        <v>39</v>
      </c>
      <c r="I17" s="51" t="str">
        <f>"0x"&amp;AE_w_WORK!D16</f>
        <v>0xFFFF</v>
      </c>
      <c r="J17" s="41">
        <v>40473</v>
      </c>
      <c r="K17" s="42"/>
      <c r="M17" s="179"/>
      <c r="N17" s="179"/>
    </row>
    <row r="18" spans="1:14" ht="12" hidden="1" customHeight="1" outlineLevel="1">
      <c r="A18" s="13"/>
      <c r="B18" s="178">
        <v>12</v>
      </c>
      <c r="C18" s="44"/>
      <c r="D18" s="45"/>
      <c r="E18" s="39" t="s">
        <v>325</v>
      </c>
      <c r="F18" s="180" t="s">
        <v>442</v>
      </c>
      <c r="G18" s="40" t="s">
        <v>40</v>
      </c>
      <c r="H18" s="46" t="s">
        <v>41</v>
      </c>
      <c r="I18" s="51" t="str">
        <f>"0x"&amp;AE_w_WORK!D17</f>
        <v>0xFFFF</v>
      </c>
      <c r="J18" s="41">
        <v>40473</v>
      </c>
      <c r="K18" s="42"/>
      <c r="M18" s="179"/>
      <c r="N18" s="179"/>
    </row>
    <row r="19" spans="1:14" ht="12" hidden="1" customHeight="1" outlineLevel="1">
      <c r="A19" s="13"/>
      <c r="B19" s="178">
        <v>13</v>
      </c>
      <c r="C19" s="44"/>
      <c r="D19" s="45"/>
      <c r="E19" s="39" t="s">
        <v>325</v>
      </c>
      <c r="F19" s="180" t="s">
        <v>443</v>
      </c>
      <c r="G19" s="40" t="s">
        <v>42</v>
      </c>
      <c r="H19" s="46" t="s">
        <v>43</v>
      </c>
      <c r="I19" s="51" t="str">
        <f>"0x"&amp;AE_w_WORK!D18</f>
        <v>0xFFFF</v>
      </c>
      <c r="J19" s="41">
        <v>40473</v>
      </c>
      <c r="K19" s="42"/>
      <c r="M19" s="179"/>
      <c r="N19" s="179"/>
    </row>
    <row r="20" spans="1:14" ht="12" hidden="1" customHeight="1" outlineLevel="1">
      <c r="A20" s="13"/>
      <c r="B20" s="178">
        <v>14</v>
      </c>
      <c r="C20" s="44"/>
      <c r="D20" s="45"/>
      <c r="E20" s="39" t="s">
        <v>325</v>
      </c>
      <c r="F20" s="180" t="s">
        <v>444</v>
      </c>
      <c r="G20" s="40" t="s">
        <v>44</v>
      </c>
      <c r="H20" s="46" t="s">
        <v>45</v>
      </c>
      <c r="I20" s="51" t="str">
        <f>"0x"&amp;AE_w_WORK!D19</f>
        <v>0xFFFF</v>
      </c>
      <c r="J20" s="41">
        <v>40473</v>
      </c>
      <c r="K20" s="42"/>
      <c r="M20" s="179"/>
      <c r="N20" s="179"/>
    </row>
    <row r="21" spans="1:14" ht="12" hidden="1" customHeight="1" outlineLevel="1">
      <c r="A21" s="13"/>
      <c r="B21" s="178">
        <v>15</v>
      </c>
      <c r="C21" s="44"/>
      <c r="D21" s="45"/>
      <c r="E21" s="39" t="s">
        <v>325</v>
      </c>
      <c r="F21" s="180" t="s">
        <v>445</v>
      </c>
      <c r="G21" s="40" t="s">
        <v>46</v>
      </c>
      <c r="H21" s="46" t="s">
        <v>47</v>
      </c>
      <c r="I21" s="51" t="str">
        <f>"0x"&amp;AE_w_WORK!D20</f>
        <v>0xFFFF</v>
      </c>
      <c r="J21" s="41">
        <v>40473</v>
      </c>
      <c r="K21" s="42"/>
      <c r="M21" s="179"/>
      <c r="N21" s="179"/>
    </row>
    <row r="22" spans="1:14" ht="12" hidden="1" customHeight="1" outlineLevel="1">
      <c r="A22" s="13"/>
      <c r="B22" s="178">
        <v>16</v>
      </c>
      <c r="C22" s="44"/>
      <c r="D22" s="45"/>
      <c r="E22" s="39" t="s">
        <v>325</v>
      </c>
      <c r="F22" s="180" t="s">
        <v>446</v>
      </c>
      <c r="G22" s="40" t="s">
        <v>48</v>
      </c>
      <c r="H22" s="46" t="s">
        <v>49</v>
      </c>
      <c r="I22" s="51" t="str">
        <f>"0x"&amp;AE_w_WORK!D21</f>
        <v>0xFFFF</v>
      </c>
      <c r="J22" s="41">
        <v>40473</v>
      </c>
      <c r="K22" s="42"/>
      <c r="M22" s="179"/>
      <c r="N22" s="179"/>
    </row>
    <row r="23" spans="1:14" ht="12" hidden="1" customHeight="1" outlineLevel="1">
      <c r="A23" s="13"/>
      <c r="B23" s="178">
        <v>17</v>
      </c>
      <c r="C23" s="44"/>
      <c r="D23" s="45"/>
      <c r="E23" s="39" t="s">
        <v>325</v>
      </c>
      <c r="F23" s="180" t="s">
        <v>447</v>
      </c>
      <c r="G23" s="40" t="s">
        <v>50</v>
      </c>
      <c r="H23" s="46" t="s">
        <v>51</v>
      </c>
      <c r="I23" s="51" t="str">
        <f>"0x"&amp;AE_w_WORK!D22</f>
        <v>0xFFFF</v>
      </c>
      <c r="J23" s="41">
        <v>40473</v>
      </c>
      <c r="K23" s="42"/>
      <c r="M23" s="179"/>
      <c r="N23" s="179"/>
    </row>
    <row r="24" spans="1:14" ht="12" hidden="1" customHeight="1" outlineLevel="1">
      <c r="A24" s="13"/>
      <c r="B24" s="178">
        <v>18</v>
      </c>
      <c r="C24" s="44"/>
      <c r="D24" s="45"/>
      <c r="E24" s="39" t="s">
        <v>325</v>
      </c>
      <c r="F24" s="180" t="s">
        <v>448</v>
      </c>
      <c r="G24" s="40" t="s">
        <v>52</v>
      </c>
      <c r="H24" s="46" t="s">
        <v>53</v>
      </c>
      <c r="I24" s="51" t="str">
        <f>"0x"&amp;AE_w_WORK!D23</f>
        <v>0xFFFF</v>
      </c>
      <c r="J24" s="41">
        <v>40473</v>
      </c>
      <c r="K24" s="42"/>
      <c r="M24" s="179"/>
      <c r="N24" s="179"/>
    </row>
    <row r="25" spans="1:14" ht="12" hidden="1" customHeight="1" outlineLevel="1">
      <c r="A25" s="13"/>
      <c r="B25" s="178">
        <v>19</v>
      </c>
      <c r="C25" s="44"/>
      <c r="D25" s="45"/>
      <c r="E25" s="39" t="s">
        <v>325</v>
      </c>
      <c r="F25" s="180" t="s">
        <v>449</v>
      </c>
      <c r="G25" s="40" t="s">
        <v>54</v>
      </c>
      <c r="H25" s="46" t="s">
        <v>55</v>
      </c>
      <c r="I25" s="51" t="str">
        <f>"0x"&amp;AE_w_WORK!D24</f>
        <v>0xFFFF</v>
      </c>
      <c r="J25" s="41">
        <v>40473</v>
      </c>
      <c r="K25" s="42"/>
      <c r="M25" s="179"/>
      <c r="N25" s="179"/>
    </row>
    <row r="26" spans="1:14" ht="12" hidden="1" customHeight="1" outlineLevel="1">
      <c r="A26" s="13"/>
      <c r="B26" s="178">
        <v>20</v>
      </c>
      <c r="C26" s="44"/>
      <c r="D26" s="45"/>
      <c r="E26" s="39" t="s">
        <v>325</v>
      </c>
      <c r="F26" s="180" t="s">
        <v>450</v>
      </c>
      <c r="G26" s="40" t="s">
        <v>56</v>
      </c>
      <c r="H26" s="46" t="s">
        <v>57</v>
      </c>
      <c r="I26" s="51" t="str">
        <f>"0x"&amp;AE_w_WORK!D25</f>
        <v>0xFFFF</v>
      </c>
      <c r="J26" s="41">
        <v>40473</v>
      </c>
      <c r="K26" s="42"/>
      <c r="M26" s="179"/>
      <c r="N26" s="179"/>
    </row>
    <row r="27" spans="1:14" ht="12" hidden="1" customHeight="1" outlineLevel="1">
      <c r="A27" s="13"/>
      <c r="B27" s="178">
        <v>21</v>
      </c>
      <c r="C27" s="44"/>
      <c r="D27" s="45"/>
      <c r="E27" s="39" t="s">
        <v>325</v>
      </c>
      <c r="F27" s="180" t="s">
        <v>451</v>
      </c>
      <c r="G27" s="40" t="s">
        <v>58</v>
      </c>
      <c r="H27" s="46" t="s">
        <v>59</v>
      </c>
      <c r="I27" s="51" t="str">
        <f>"0x"&amp;AE_w_WORK!D26</f>
        <v>0xFFFF</v>
      </c>
      <c r="J27" s="41">
        <v>40473</v>
      </c>
      <c r="K27" s="42"/>
      <c r="M27" s="179"/>
      <c r="N27" s="179"/>
    </row>
    <row r="28" spans="1:14" ht="12" hidden="1" customHeight="1" outlineLevel="1">
      <c r="A28" s="13"/>
      <c r="B28" s="178">
        <v>22</v>
      </c>
      <c r="C28" s="44"/>
      <c r="D28" s="45"/>
      <c r="E28" s="39" t="s">
        <v>325</v>
      </c>
      <c r="F28" s="180" t="s">
        <v>452</v>
      </c>
      <c r="G28" s="40" t="s">
        <v>60</v>
      </c>
      <c r="H28" s="46" t="s">
        <v>61</v>
      </c>
      <c r="I28" s="51" t="str">
        <f>"0x"&amp;AE_w_WORK!D27</f>
        <v>0xFFFF</v>
      </c>
      <c r="J28" s="41">
        <v>40473</v>
      </c>
      <c r="K28" s="42"/>
      <c r="M28" s="179"/>
      <c r="N28" s="179"/>
    </row>
    <row r="29" spans="1:14" ht="12" hidden="1" customHeight="1" outlineLevel="1">
      <c r="A29" s="13"/>
      <c r="B29" s="178">
        <v>23</v>
      </c>
      <c r="C29" s="44"/>
      <c r="D29" s="45"/>
      <c r="E29" s="39" t="s">
        <v>325</v>
      </c>
      <c r="F29" s="180" t="s">
        <v>453</v>
      </c>
      <c r="G29" s="40" t="s">
        <v>62</v>
      </c>
      <c r="H29" s="46" t="s">
        <v>63</v>
      </c>
      <c r="I29" s="51" t="str">
        <f>"0x"&amp;AE_w_WORK!D28</f>
        <v>0xFFFF</v>
      </c>
      <c r="J29" s="41">
        <v>40473</v>
      </c>
      <c r="K29" s="42"/>
      <c r="M29" s="179"/>
      <c r="N29" s="179"/>
    </row>
    <row r="30" spans="1:14" ht="12" hidden="1" customHeight="1" outlineLevel="1">
      <c r="A30" s="13"/>
      <c r="B30" s="178">
        <v>24</v>
      </c>
      <c r="C30" s="44"/>
      <c r="D30" s="45"/>
      <c r="E30" s="39" t="s">
        <v>325</v>
      </c>
      <c r="F30" s="180" t="s">
        <v>454</v>
      </c>
      <c r="G30" s="40" t="s">
        <v>64</v>
      </c>
      <c r="H30" s="46" t="s">
        <v>65</v>
      </c>
      <c r="I30" s="51" t="str">
        <f>"0x"&amp;AE_w_WORK!D29</f>
        <v>0xFFFF</v>
      </c>
      <c r="J30" s="41">
        <v>40473</v>
      </c>
      <c r="K30" s="42"/>
      <c r="M30" s="179"/>
      <c r="N30" s="179"/>
    </row>
    <row r="31" spans="1:14" ht="12" hidden="1" customHeight="1" outlineLevel="1">
      <c r="A31" s="13"/>
      <c r="B31" s="178">
        <v>25</v>
      </c>
      <c r="C31" s="44"/>
      <c r="D31" s="45"/>
      <c r="E31" s="39" t="s">
        <v>325</v>
      </c>
      <c r="F31" s="180" t="s">
        <v>455</v>
      </c>
      <c r="G31" s="40" t="s">
        <v>66</v>
      </c>
      <c r="H31" s="46" t="s">
        <v>67</v>
      </c>
      <c r="I31" s="51" t="str">
        <f>"0x"&amp;AE_w_WORK!D30</f>
        <v>0xFFFF</v>
      </c>
      <c r="J31" s="41">
        <v>40473</v>
      </c>
      <c r="K31" s="42"/>
      <c r="M31" s="179"/>
      <c r="N31" s="179"/>
    </row>
    <row r="32" spans="1:14" ht="12" hidden="1" customHeight="1" outlineLevel="1">
      <c r="A32" s="13"/>
      <c r="B32" s="178">
        <v>26</v>
      </c>
      <c r="C32" s="44"/>
      <c r="D32" s="45"/>
      <c r="E32" s="39" t="s">
        <v>325</v>
      </c>
      <c r="F32" s="180" t="s">
        <v>456</v>
      </c>
      <c r="G32" s="40" t="s">
        <v>68</v>
      </c>
      <c r="H32" s="46" t="s">
        <v>69</v>
      </c>
      <c r="I32" s="51" t="str">
        <f>"0x"&amp;AE_w_WORK!D31</f>
        <v>0xFFFF</v>
      </c>
      <c r="J32" s="41">
        <v>40473</v>
      </c>
      <c r="K32" s="42"/>
      <c r="M32" s="179"/>
      <c r="N32" s="179"/>
    </row>
    <row r="33" spans="1:14" ht="12" hidden="1" customHeight="1" outlineLevel="1">
      <c r="A33" s="13"/>
      <c r="B33" s="178">
        <v>27</v>
      </c>
      <c r="C33" s="44"/>
      <c r="D33" s="45"/>
      <c r="E33" s="39" t="s">
        <v>325</v>
      </c>
      <c r="F33" s="180" t="s">
        <v>457</v>
      </c>
      <c r="G33" s="40" t="s">
        <v>70</v>
      </c>
      <c r="H33" s="46" t="s">
        <v>71</v>
      </c>
      <c r="I33" s="51" t="str">
        <f>"0x"&amp;AE_w_WORK!D32</f>
        <v>0xFFFF</v>
      </c>
      <c r="J33" s="41">
        <v>40473</v>
      </c>
      <c r="K33" s="42"/>
      <c r="M33" s="179"/>
      <c r="N33" s="179"/>
    </row>
    <row r="34" spans="1:14" ht="12" hidden="1" customHeight="1" outlineLevel="1">
      <c r="A34" s="13"/>
      <c r="B34" s="178">
        <v>28</v>
      </c>
      <c r="C34" s="44"/>
      <c r="D34" s="45"/>
      <c r="E34" s="39" t="s">
        <v>325</v>
      </c>
      <c r="F34" s="180" t="s">
        <v>458</v>
      </c>
      <c r="G34" s="40" t="s">
        <v>72</v>
      </c>
      <c r="H34" s="46" t="s">
        <v>73</v>
      </c>
      <c r="I34" s="51" t="str">
        <f>"0x"&amp;AE_w_WORK!D33</f>
        <v>0xFFFF</v>
      </c>
      <c r="J34" s="41">
        <v>40473</v>
      </c>
      <c r="K34" s="42"/>
      <c r="M34" s="179"/>
      <c r="N34" s="179"/>
    </row>
    <row r="35" spans="1:14" ht="12" hidden="1" customHeight="1" outlineLevel="1">
      <c r="A35" s="13"/>
      <c r="B35" s="178">
        <v>29</v>
      </c>
      <c r="C35" s="44"/>
      <c r="D35" s="45"/>
      <c r="E35" s="39" t="s">
        <v>325</v>
      </c>
      <c r="F35" s="180" t="s">
        <v>459</v>
      </c>
      <c r="G35" s="40" t="s">
        <v>74</v>
      </c>
      <c r="H35" s="46" t="s">
        <v>128</v>
      </c>
      <c r="I35" s="51" t="str">
        <f>"0x"&amp;AE_w_WORK!D34</f>
        <v>0xFFFF</v>
      </c>
      <c r="J35" s="41">
        <v>40473</v>
      </c>
      <c r="K35" s="42"/>
      <c r="M35" s="179"/>
      <c r="N35" s="179"/>
    </row>
    <row r="36" spans="1:14" ht="12" hidden="1" customHeight="1" outlineLevel="1">
      <c r="A36" s="13"/>
      <c r="B36" s="178">
        <v>30</v>
      </c>
      <c r="C36" s="44"/>
      <c r="D36" s="45"/>
      <c r="E36" s="39" t="s">
        <v>325</v>
      </c>
      <c r="F36" s="180" t="s">
        <v>460</v>
      </c>
      <c r="G36" s="40" t="s">
        <v>129</v>
      </c>
      <c r="H36" s="46" t="s">
        <v>130</v>
      </c>
      <c r="I36" s="51" t="str">
        <f>"0x"&amp;AE_w_WORK!D35</f>
        <v>0xFFFF</v>
      </c>
      <c r="J36" s="41">
        <v>40473</v>
      </c>
      <c r="K36" s="42"/>
      <c r="M36" s="179"/>
      <c r="N36" s="179"/>
    </row>
    <row r="37" spans="1:14" ht="12" hidden="1" customHeight="1" outlineLevel="1">
      <c r="A37" s="13"/>
      <c r="B37" s="178">
        <v>31</v>
      </c>
      <c r="C37" s="44"/>
      <c r="D37" s="45"/>
      <c r="E37" s="39" t="s">
        <v>325</v>
      </c>
      <c r="F37" s="180" t="s">
        <v>461</v>
      </c>
      <c r="G37" s="40" t="s">
        <v>131</v>
      </c>
      <c r="H37" s="46" t="s">
        <v>132</v>
      </c>
      <c r="I37" s="51" t="str">
        <f>"0x"&amp;AE_w_WORK!D36</f>
        <v>0xFFFF</v>
      </c>
      <c r="J37" s="41">
        <v>40473</v>
      </c>
      <c r="K37" s="42"/>
      <c r="M37" s="179"/>
      <c r="N37" s="179"/>
    </row>
    <row r="38" spans="1:14" ht="12" hidden="1" customHeight="1" outlineLevel="1">
      <c r="A38" s="13"/>
      <c r="B38" s="178">
        <v>32</v>
      </c>
      <c r="C38" s="44"/>
      <c r="D38" s="45"/>
      <c r="E38" s="39" t="s">
        <v>325</v>
      </c>
      <c r="F38" s="180" t="s">
        <v>462</v>
      </c>
      <c r="G38" s="40" t="s">
        <v>133</v>
      </c>
      <c r="H38" s="46" t="s">
        <v>134</v>
      </c>
      <c r="I38" s="51" t="str">
        <f>"0x"&amp;AE_w_WORK!D37</f>
        <v>0xFFFF</v>
      </c>
      <c r="J38" s="41">
        <v>40473</v>
      </c>
      <c r="K38" s="42"/>
      <c r="M38" s="179"/>
      <c r="N38" s="179"/>
    </row>
    <row r="39" spans="1:14" ht="12" hidden="1" customHeight="1" outlineLevel="1">
      <c r="A39" s="13"/>
      <c r="B39" s="178">
        <v>33</v>
      </c>
      <c r="C39" s="44"/>
      <c r="D39" s="45"/>
      <c r="E39" s="39" t="s">
        <v>325</v>
      </c>
      <c r="F39" s="180" t="s">
        <v>463</v>
      </c>
      <c r="G39" s="40" t="s">
        <v>135</v>
      </c>
      <c r="H39" s="46" t="s">
        <v>136</v>
      </c>
      <c r="I39" s="51" t="str">
        <f>"0x"&amp;AE_w_WORK!D38</f>
        <v>0xFFFF</v>
      </c>
      <c r="J39" s="41">
        <v>40473</v>
      </c>
      <c r="K39" s="42"/>
      <c r="M39" s="179"/>
      <c r="N39" s="179"/>
    </row>
    <row r="40" spans="1:14" ht="12" hidden="1" customHeight="1" outlineLevel="1">
      <c r="A40" s="13"/>
      <c r="B40" s="178">
        <v>34</v>
      </c>
      <c r="C40" s="44"/>
      <c r="D40" s="45"/>
      <c r="E40" s="39" t="s">
        <v>325</v>
      </c>
      <c r="F40" s="180" t="s">
        <v>464</v>
      </c>
      <c r="G40" s="40" t="s">
        <v>137</v>
      </c>
      <c r="H40" s="46" t="s">
        <v>138</v>
      </c>
      <c r="I40" s="51" t="str">
        <f>"0x"&amp;AE_w_WORK!D39</f>
        <v>0xFFFF</v>
      </c>
      <c r="J40" s="41">
        <v>40473</v>
      </c>
      <c r="K40" s="42"/>
      <c r="M40" s="179"/>
      <c r="N40" s="179"/>
    </row>
    <row r="41" spans="1:14" ht="12" hidden="1" customHeight="1" outlineLevel="1">
      <c r="A41" s="13"/>
      <c r="B41" s="178">
        <v>35</v>
      </c>
      <c r="C41" s="44"/>
      <c r="D41" s="45"/>
      <c r="E41" s="39" t="s">
        <v>325</v>
      </c>
      <c r="F41" s="180" t="s">
        <v>465</v>
      </c>
      <c r="G41" s="40" t="s">
        <v>139</v>
      </c>
      <c r="H41" s="46" t="s">
        <v>140</v>
      </c>
      <c r="I41" s="51" t="str">
        <f>"0x"&amp;AE_w_WORK!D40</f>
        <v>0xFFFF</v>
      </c>
      <c r="J41" s="41">
        <v>40473</v>
      </c>
      <c r="K41" s="42"/>
      <c r="M41" s="179"/>
      <c r="N41" s="179"/>
    </row>
    <row r="42" spans="1:14" ht="12" hidden="1" customHeight="1" outlineLevel="1">
      <c r="A42" s="13"/>
      <c r="B42" s="178">
        <v>36</v>
      </c>
      <c r="C42" s="44"/>
      <c r="D42" s="45"/>
      <c r="E42" s="39" t="s">
        <v>325</v>
      </c>
      <c r="F42" s="180" t="s">
        <v>466</v>
      </c>
      <c r="G42" s="40" t="s">
        <v>141</v>
      </c>
      <c r="H42" s="46" t="s">
        <v>142</v>
      </c>
      <c r="I42" s="51" t="str">
        <f>"0x"&amp;AE_w_WORK!D41</f>
        <v>0xFFFF</v>
      </c>
      <c r="J42" s="41">
        <v>40473</v>
      </c>
      <c r="K42" s="42"/>
      <c r="M42" s="179"/>
      <c r="N42" s="179"/>
    </row>
    <row r="43" spans="1:14" ht="12" hidden="1" customHeight="1" outlineLevel="1">
      <c r="A43" s="13"/>
      <c r="B43" s="178">
        <v>37</v>
      </c>
      <c r="C43" s="44"/>
      <c r="D43" s="45"/>
      <c r="E43" s="39" t="s">
        <v>325</v>
      </c>
      <c r="F43" s="180" t="s">
        <v>467</v>
      </c>
      <c r="G43" s="40" t="s">
        <v>143</v>
      </c>
      <c r="H43" s="46" t="s">
        <v>144</v>
      </c>
      <c r="I43" s="51" t="str">
        <f>"0x"&amp;AE_w_WORK!D42</f>
        <v>0xFFFF</v>
      </c>
      <c r="J43" s="41">
        <v>40473</v>
      </c>
      <c r="K43" s="42"/>
      <c r="M43" s="179"/>
      <c r="N43" s="179"/>
    </row>
    <row r="44" spans="1:14" ht="12" hidden="1" customHeight="1" outlineLevel="1">
      <c r="A44" s="13"/>
      <c r="B44" s="178">
        <v>38</v>
      </c>
      <c r="C44" s="44"/>
      <c r="D44" s="45"/>
      <c r="E44" s="39" t="s">
        <v>325</v>
      </c>
      <c r="F44" s="180" t="s">
        <v>468</v>
      </c>
      <c r="G44" s="40" t="s">
        <v>145</v>
      </c>
      <c r="H44" s="46" t="s">
        <v>146</v>
      </c>
      <c r="I44" s="51" t="str">
        <f>"0x"&amp;AE_w_WORK!D43</f>
        <v>0xFFFF</v>
      </c>
      <c r="J44" s="41">
        <v>40473</v>
      </c>
      <c r="K44" s="42"/>
      <c r="M44" s="179"/>
      <c r="N44" s="179"/>
    </row>
    <row r="45" spans="1:14" ht="12" hidden="1" customHeight="1" outlineLevel="1">
      <c r="A45" s="13"/>
      <c r="B45" s="178">
        <v>39</v>
      </c>
      <c r="C45" s="44"/>
      <c r="D45" s="45"/>
      <c r="E45" s="39" t="s">
        <v>325</v>
      </c>
      <c r="F45" s="180" t="s">
        <v>469</v>
      </c>
      <c r="G45" s="40" t="s">
        <v>147</v>
      </c>
      <c r="H45" s="46" t="s">
        <v>148</v>
      </c>
      <c r="I45" s="51" t="str">
        <f>"0x"&amp;AE_w_WORK!D44</f>
        <v>0xFFFF</v>
      </c>
      <c r="J45" s="41">
        <v>40473</v>
      </c>
      <c r="K45" s="42"/>
      <c r="M45" s="179"/>
      <c r="N45" s="179"/>
    </row>
    <row r="46" spans="1:14" ht="12" hidden="1" customHeight="1" outlineLevel="1">
      <c r="A46" s="13"/>
      <c r="B46" s="178">
        <v>40</v>
      </c>
      <c r="C46" s="44"/>
      <c r="D46" s="45"/>
      <c r="E46" s="39" t="s">
        <v>325</v>
      </c>
      <c r="F46" s="180" t="s">
        <v>470</v>
      </c>
      <c r="G46" s="40" t="s">
        <v>149</v>
      </c>
      <c r="H46" s="46" t="s">
        <v>150</v>
      </c>
      <c r="I46" s="51" t="str">
        <f>"0x"&amp;AE_w_WORK!D45</f>
        <v>0xFFFF</v>
      </c>
      <c r="J46" s="41">
        <v>40473</v>
      </c>
      <c r="K46" s="42"/>
      <c r="M46" s="179"/>
      <c r="N46" s="179"/>
    </row>
    <row r="47" spans="1:14" ht="12" hidden="1" customHeight="1" outlineLevel="1">
      <c r="A47" s="13"/>
      <c r="B47" s="178">
        <v>41</v>
      </c>
      <c r="C47" s="44"/>
      <c r="D47" s="45"/>
      <c r="E47" s="39" t="s">
        <v>325</v>
      </c>
      <c r="F47" s="180" t="s">
        <v>471</v>
      </c>
      <c r="G47" s="40" t="s">
        <v>151</v>
      </c>
      <c r="H47" s="46" t="s">
        <v>152</v>
      </c>
      <c r="I47" s="51" t="str">
        <f>"0x"&amp;AE_w_WORK!D46</f>
        <v>0xFFFF</v>
      </c>
      <c r="J47" s="41">
        <v>40473</v>
      </c>
      <c r="K47" s="42"/>
      <c r="M47" s="179"/>
      <c r="N47" s="179"/>
    </row>
    <row r="48" spans="1:14" ht="12" hidden="1" customHeight="1" outlineLevel="1">
      <c r="A48" s="13"/>
      <c r="B48" s="178">
        <v>42</v>
      </c>
      <c r="C48" s="44"/>
      <c r="D48" s="45"/>
      <c r="E48" s="39" t="s">
        <v>325</v>
      </c>
      <c r="F48" s="180" t="s">
        <v>472</v>
      </c>
      <c r="G48" s="40" t="s">
        <v>153</v>
      </c>
      <c r="H48" s="46" t="s">
        <v>154</v>
      </c>
      <c r="I48" s="51" t="str">
        <f>"0x"&amp;AE_w_WORK!D47</f>
        <v>0xFFFF</v>
      </c>
      <c r="J48" s="41">
        <v>40473</v>
      </c>
      <c r="K48" s="42"/>
      <c r="M48" s="179"/>
      <c r="N48" s="179"/>
    </row>
    <row r="49" spans="1:14" ht="12" hidden="1" customHeight="1" outlineLevel="1">
      <c r="A49" s="13"/>
      <c r="B49" s="178">
        <v>43</v>
      </c>
      <c r="C49" s="44"/>
      <c r="D49" s="45"/>
      <c r="E49" s="39" t="s">
        <v>325</v>
      </c>
      <c r="F49" s="180" t="s">
        <v>473</v>
      </c>
      <c r="G49" s="40" t="s">
        <v>155</v>
      </c>
      <c r="H49" s="46" t="s">
        <v>156</v>
      </c>
      <c r="I49" s="51" t="str">
        <f>"0x"&amp;AE_w_WORK!D48</f>
        <v>0xFFFF</v>
      </c>
      <c r="J49" s="41">
        <v>40473</v>
      </c>
      <c r="K49" s="42"/>
      <c r="M49" s="179"/>
      <c r="N49" s="179"/>
    </row>
    <row r="50" spans="1:14" ht="12" hidden="1" customHeight="1" outlineLevel="1">
      <c r="A50" s="13"/>
      <c r="B50" s="178">
        <v>44</v>
      </c>
      <c r="C50" s="44"/>
      <c r="D50" s="45"/>
      <c r="E50" s="39" t="s">
        <v>325</v>
      </c>
      <c r="F50" s="180" t="s">
        <v>474</v>
      </c>
      <c r="G50" s="40" t="s">
        <v>157</v>
      </c>
      <c r="H50" s="46" t="s">
        <v>158</v>
      </c>
      <c r="I50" s="51" t="str">
        <f>"0x"&amp;AE_w_WORK!D49</f>
        <v>0xFFFF</v>
      </c>
      <c r="J50" s="41">
        <v>40473</v>
      </c>
      <c r="K50" s="42"/>
      <c r="M50" s="179"/>
      <c r="N50" s="179"/>
    </row>
    <row r="51" spans="1:14" ht="12" hidden="1" customHeight="1" outlineLevel="1">
      <c r="A51" s="13"/>
      <c r="B51" s="178">
        <v>45</v>
      </c>
      <c r="C51" s="44"/>
      <c r="D51" s="45"/>
      <c r="E51" s="39" t="s">
        <v>325</v>
      </c>
      <c r="F51" s="180" t="s">
        <v>475</v>
      </c>
      <c r="G51" s="40" t="s">
        <v>159</v>
      </c>
      <c r="H51" s="46" t="s">
        <v>160</v>
      </c>
      <c r="I51" s="51" t="str">
        <f>"0x"&amp;AE_w_WORK!D50</f>
        <v>0xFFFF</v>
      </c>
      <c r="J51" s="41">
        <v>40473</v>
      </c>
      <c r="K51" s="42"/>
      <c r="M51" s="179"/>
      <c r="N51" s="179"/>
    </row>
    <row r="52" spans="1:14" ht="12" hidden="1" customHeight="1" outlineLevel="1">
      <c r="A52" s="13"/>
      <c r="B52" s="178">
        <v>46</v>
      </c>
      <c r="C52" s="44"/>
      <c r="D52" s="45"/>
      <c r="E52" s="39" t="s">
        <v>325</v>
      </c>
      <c r="F52" s="180" t="s">
        <v>476</v>
      </c>
      <c r="G52" s="40" t="s">
        <v>161</v>
      </c>
      <c r="H52" s="46" t="s">
        <v>162</v>
      </c>
      <c r="I52" s="51" t="str">
        <f>"0x"&amp;AE_w_WORK!D51</f>
        <v>0xFFFF</v>
      </c>
      <c r="J52" s="41">
        <v>40473</v>
      </c>
      <c r="K52" s="42"/>
      <c r="M52" s="179"/>
      <c r="N52" s="179"/>
    </row>
    <row r="53" spans="1:14" ht="12" hidden="1" customHeight="1" outlineLevel="1">
      <c r="A53" s="13"/>
      <c r="B53" s="178">
        <v>47</v>
      </c>
      <c r="C53" s="44"/>
      <c r="D53" s="45"/>
      <c r="E53" s="39" t="s">
        <v>325</v>
      </c>
      <c r="F53" s="180" t="s">
        <v>477</v>
      </c>
      <c r="G53" s="40" t="s">
        <v>163</v>
      </c>
      <c r="H53" s="46" t="s">
        <v>164</v>
      </c>
      <c r="I53" s="51" t="str">
        <f>"0x"&amp;AE_w_WORK!D52</f>
        <v>0xFFFF</v>
      </c>
      <c r="J53" s="41">
        <v>40473</v>
      </c>
      <c r="K53" s="42"/>
      <c r="M53" s="179"/>
      <c r="N53" s="179"/>
    </row>
    <row r="54" spans="1:14" ht="12" hidden="1" customHeight="1" outlineLevel="1">
      <c r="A54" s="13"/>
      <c r="B54" s="178">
        <v>48</v>
      </c>
      <c r="C54" s="44"/>
      <c r="D54" s="45"/>
      <c r="E54" s="39" t="s">
        <v>325</v>
      </c>
      <c r="F54" s="180" t="s">
        <v>478</v>
      </c>
      <c r="G54" s="40" t="s">
        <v>165</v>
      </c>
      <c r="H54" s="46" t="s">
        <v>166</v>
      </c>
      <c r="I54" s="51" t="str">
        <f>"0x"&amp;AE_w_WORK!D53</f>
        <v>0xFFFF</v>
      </c>
      <c r="J54" s="41">
        <v>40473</v>
      </c>
      <c r="K54" s="42"/>
      <c r="M54" s="179"/>
      <c r="N54" s="179"/>
    </row>
    <row r="55" spans="1:14" ht="12" hidden="1" customHeight="1" outlineLevel="1">
      <c r="A55" s="13"/>
      <c r="B55" s="178">
        <v>49</v>
      </c>
      <c r="C55" s="44"/>
      <c r="D55" s="45"/>
      <c r="E55" s="39" t="s">
        <v>325</v>
      </c>
      <c r="F55" s="180" t="s">
        <v>479</v>
      </c>
      <c r="G55" s="40" t="s">
        <v>167</v>
      </c>
      <c r="H55" s="46" t="s">
        <v>168</v>
      </c>
      <c r="I55" s="51" t="str">
        <f>"0x"&amp;AE_w_WORK!D54</f>
        <v>0xFFFF</v>
      </c>
      <c r="J55" s="41">
        <v>40473</v>
      </c>
      <c r="K55" s="42"/>
      <c r="M55" s="179"/>
      <c r="N55" s="179"/>
    </row>
    <row r="56" spans="1:14" ht="12" hidden="1" customHeight="1" outlineLevel="1">
      <c r="A56" s="13"/>
      <c r="B56" s="178">
        <v>50</v>
      </c>
      <c r="C56" s="44"/>
      <c r="D56" s="45"/>
      <c r="E56" s="39" t="s">
        <v>325</v>
      </c>
      <c r="F56" s="180" t="s">
        <v>480</v>
      </c>
      <c r="G56" s="40" t="s">
        <v>169</v>
      </c>
      <c r="H56" s="46" t="s">
        <v>170</v>
      </c>
      <c r="I56" s="51" t="str">
        <f>"0x"&amp;AE_w_WORK!D55</f>
        <v>0xFFFF</v>
      </c>
      <c r="J56" s="41">
        <v>40473</v>
      </c>
      <c r="K56" s="42"/>
      <c r="M56" s="179"/>
      <c r="N56" s="179"/>
    </row>
    <row r="57" spans="1:14" ht="12" hidden="1" customHeight="1" outlineLevel="1">
      <c r="A57" s="13"/>
      <c r="B57" s="178">
        <v>51</v>
      </c>
      <c r="C57" s="44"/>
      <c r="D57" s="45"/>
      <c r="E57" s="39" t="s">
        <v>325</v>
      </c>
      <c r="F57" s="180" t="s">
        <v>481</v>
      </c>
      <c r="G57" s="40" t="s">
        <v>171</v>
      </c>
      <c r="H57" s="46" t="s">
        <v>172</v>
      </c>
      <c r="I57" s="51" t="str">
        <f>"0x"&amp;AE_w_WORK!D56</f>
        <v>0xFFFF</v>
      </c>
      <c r="J57" s="41">
        <v>40473</v>
      </c>
      <c r="K57" s="42"/>
      <c r="M57" s="179"/>
      <c r="N57" s="179"/>
    </row>
    <row r="58" spans="1:14" ht="12" hidden="1" customHeight="1" outlineLevel="1">
      <c r="A58" s="13"/>
      <c r="B58" s="178">
        <v>52</v>
      </c>
      <c r="C58" s="44"/>
      <c r="D58" s="45"/>
      <c r="E58" s="39" t="s">
        <v>325</v>
      </c>
      <c r="F58" s="180" t="s">
        <v>482</v>
      </c>
      <c r="G58" s="40" t="s">
        <v>173</v>
      </c>
      <c r="H58" s="46" t="s">
        <v>174</v>
      </c>
      <c r="I58" s="51" t="str">
        <f>"0x"&amp;AE_w_WORK!D57</f>
        <v>0xFFFF</v>
      </c>
      <c r="J58" s="41">
        <v>40473</v>
      </c>
      <c r="K58" s="42"/>
      <c r="M58" s="179"/>
      <c r="N58" s="179"/>
    </row>
    <row r="59" spans="1:14" ht="12" hidden="1" customHeight="1" outlineLevel="1">
      <c r="A59" s="13"/>
      <c r="B59" s="178">
        <v>53</v>
      </c>
      <c r="C59" s="44"/>
      <c r="D59" s="45"/>
      <c r="E59" s="39" t="s">
        <v>325</v>
      </c>
      <c r="F59" s="180" t="s">
        <v>483</v>
      </c>
      <c r="G59" s="40" t="s">
        <v>175</v>
      </c>
      <c r="H59" s="46" t="s">
        <v>176</v>
      </c>
      <c r="I59" s="51" t="str">
        <f>"0x"&amp;AE_w_WORK!D58</f>
        <v>0xFFFF</v>
      </c>
      <c r="J59" s="41">
        <v>40473</v>
      </c>
      <c r="K59" s="42"/>
      <c r="M59" s="179"/>
      <c r="N59" s="179"/>
    </row>
    <row r="60" spans="1:14" ht="12" hidden="1" customHeight="1" outlineLevel="1">
      <c r="A60" s="13"/>
      <c r="B60" s="178">
        <v>54</v>
      </c>
      <c r="C60" s="44"/>
      <c r="D60" s="45"/>
      <c r="E60" s="39" t="s">
        <v>325</v>
      </c>
      <c r="F60" s="180" t="s">
        <v>484</v>
      </c>
      <c r="G60" s="40" t="s">
        <v>177</v>
      </c>
      <c r="H60" s="46" t="s">
        <v>178</v>
      </c>
      <c r="I60" s="51" t="str">
        <f>"0x"&amp;AE_w_WORK!D59</f>
        <v>0xFFFF</v>
      </c>
      <c r="J60" s="41">
        <v>40473</v>
      </c>
      <c r="K60" s="42"/>
      <c r="M60" s="179"/>
      <c r="N60" s="179"/>
    </row>
    <row r="61" spans="1:14" ht="12" hidden="1" customHeight="1" outlineLevel="1">
      <c r="A61" s="13"/>
      <c r="B61" s="178">
        <v>55</v>
      </c>
      <c r="C61" s="44"/>
      <c r="D61" s="45"/>
      <c r="E61" s="39" t="s">
        <v>325</v>
      </c>
      <c r="F61" s="180" t="s">
        <v>485</v>
      </c>
      <c r="G61" s="40" t="s">
        <v>179</v>
      </c>
      <c r="H61" s="46" t="s">
        <v>180</v>
      </c>
      <c r="I61" s="51" t="str">
        <f>"0x"&amp;AE_w_WORK!D60</f>
        <v>0xFFFF</v>
      </c>
      <c r="J61" s="41">
        <v>40473</v>
      </c>
      <c r="K61" s="42"/>
      <c r="M61" s="179"/>
      <c r="N61" s="179"/>
    </row>
    <row r="62" spans="1:14" ht="12" hidden="1" customHeight="1" outlineLevel="1">
      <c r="A62" s="13"/>
      <c r="B62" s="178">
        <v>56</v>
      </c>
      <c r="C62" s="44"/>
      <c r="D62" s="45"/>
      <c r="E62" s="39" t="s">
        <v>325</v>
      </c>
      <c r="F62" s="180" t="s">
        <v>486</v>
      </c>
      <c r="G62" s="40" t="s">
        <v>181</v>
      </c>
      <c r="H62" s="46" t="s">
        <v>182</v>
      </c>
      <c r="I62" s="51" t="str">
        <f>"0x"&amp;AE_w_WORK!D61</f>
        <v>0xFFFF</v>
      </c>
      <c r="J62" s="41">
        <v>40473</v>
      </c>
      <c r="K62" s="42"/>
      <c r="M62" s="179"/>
      <c r="N62" s="179"/>
    </row>
    <row r="63" spans="1:14" ht="12" hidden="1" customHeight="1" outlineLevel="1">
      <c r="A63" s="13"/>
      <c r="B63" s="178">
        <v>57</v>
      </c>
      <c r="C63" s="44"/>
      <c r="D63" s="45"/>
      <c r="E63" s="39" t="s">
        <v>325</v>
      </c>
      <c r="F63" s="180" t="s">
        <v>487</v>
      </c>
      <c r="G63" s="40" t="s">
        <v>183</v>
      </c>
      <c r="H63" s="46" t="s">
        <v>184</v>
      </c>
      <c r="I63" s="51" t="str">
        <f>"0x"&amp;AE_w_WORK!D62</f>
        <v>0xFFFF</v>
      </c>
      <c r="J63" s="41">
        <v>40473</v>
      </c>
      <c r="K63" s="42"/>
      <c r="M63" s="179"/>
      <c r="N63" s="179"/>
    </row>
    <row r="64" spans="1:14" ht="12" hidden="1" customHeight="1" outlineLevel="1">
      <c r="A64" s="13"/>
      <c r="B64" s="178">
        <v>58</v>
      </c>
      <c r="C64" s="44"/>
      <c r="D64" s="45"/>
      <c r="E64" s="39" t="s">
        <v>325</v>
      </c>
      <c r="F64" s="180" t="s">
        <v>488</v>
      </c>
      <c r="G64" s="40" t="s">
        <v>185</v>
      </c>
      <c r="H64" s="46" t="s">
        <v>186</v>
      </c>
      <c r="I64" s="51" t="str">
        <f>"0x"&amp;AE_w_WORK!D63</f>
        <v>0xFFFF</v>
      </c>
      <c r="J64" s="41">
        <v>40473</v>
      </c>
      <c r="K64" s="42"/>
      <c r="M64" s="179"/>
      <c r="N64" s="179"/>
    </row>
    <row r="65" spans="1:14" ht="12" hidden="1" customHeight="1" outlineLevel="1">
      <c r="A65" s="13"/>
      <c r="B65" s="178">
        <v>59</v>
      </c>
      <c r="C65" s="44"/>
      <c r="D65" s="45"/>
      <c r="E65" s="39" t="s">
        <v>325</v>
      </c>
      <c r="F65" s="180" t="s">
        <v>489</v>
      </c>
      <c r="G65" s="40" t="s">
        <v>187</v>
      </c>
      <c r="H65" s="46" t="s">
        <v>188</v>
      </c>
      <c r="I65" s="51" t="str">
        <f>"0x"&amp;AE_w_WORK!D64</f>
        <v>0xFFFF</v>
      </c>
      <c r="J65" s="41">
        <v>40473</v>
      </c>
      <c r="K65" s="42"/>
      <c r="M65" s="179"/>
      <c r="N65" s="179"/>
    </row>
    <row r="66" spans="1:14" ht="12" hidden="1" customHeight="1" outlineLevel="1">
      <c r="A66" s="13"/>
      <c r="B66" s="178">
        <v>60</v>
      </c>
      <c r="C66" s="44"/>
      <c r="D66" s="45"/>
      <c r="E66" s="39" t="s">
        <v>325</v>
      </c>
      <c r="F66" s="180" t="s">
        <v>490</v>
      </c>
      <c r="G66" s="40" t="s">
        <v>189</v>
      </c>
      <c r="H66" s="46" t="s">
        <v>190</v>
      </c>
      <c r="I66" s="51" t="str">
        <f>"0x"&amp;AE_w_WORK!D65</f>
        <v>0xFFFF</v>
      </c>
      <c r="J66" s="41">
        <v>40473</v>
      </c>
      <c r="K66" s="42"/>
      <c r="M66" s="179"/>
      <c r="N66" s="179"/>
    </row>
    <row r="67" spans="1:14" ht="12" hidden="1" customHeight="1" outlineLevel="1">
      <c r="A67" s="13"/>
      <c r="B67" s="178">
        <v>61</v>
      </c>
      <c r="C67" s="44"/>
      <c r="D67" s="45"/>
      <c r="E67" s="39" t="s">
        <v>325</v>
      </c>
      <c r="F67" s="180" t="s">
        <v>491</v>
      </c>
      <c r="G67" s="40" t="s">
        <v>191</v>
      </c>
      <c r="H67" s="46" t="s">
        <v>192</v>
      </c>
      <c r="I67" s="51" t="str">
        <f>"0x"&amp;AE_w_WORK!D66</f>
        <v>0xFFFF</v>
      </c>
      <c r="J67" s="41">
        <v>40473</v>
      </c>
      <c r="K67" s="42"/>
      <c r="M67" s="179"/>
      <c r="N67" s="179"/>
    </row>
    <row r="68" spans="1:14" ht="12" hidden="1" customHeight="1" outlineLevel="1">
      <c r="A68" s="13"/>
      <c r="B68" s="178">
        <v>62</v>
      </c>
      <c r="C68" s="44"/>
      <c r="D68" s="45"/>
      <c r="E68" s="39" t="s">
        <v>325</v>
      </c>
      <c r="F68" s="180" t="s">
        <v>492</v>
      </c>
      <c r="G68" s="40" t="s">
        <v>193</v>
      </c>
      <c r="H68" s="46" t="s">
        <v>194</v>
      </c>
      <c r="I68" s="51" t="str">
        <f>"0x"&amp;AE_w_WORK!D67</f>
        <v>0xFFFF</v>
      </c>
      <c r="J68" s="41">
        <v>40473</v>
      </c>
      <c r="K68" s="42"/>
      <c r="M68" s="179"/>
      <c r="N68" s="179"/>
    </row>
    <row r="69" spans="1:14" ht="12" hidden="1" customHeight="1" outlineLevel="1">
      <c r="A69" s="13"/>
      <c r="B69" s="178">
        <v>63</v>
      </c>
      <c r="C69" s="44"/>
      <c r="D69" s="45"/>
      <c r="E69" s="39" t="s">
        <v>325</v>
      </c>
      <c r="F69" s="180" t="s">
        <v>493</v>
      </c>
      <c r="G69" s="40" t="s">
        <v>195</v>
      </c>
      <c r="H69" s="46" t="s">
        <v>196</v>
      </c>
      <c r="I69" s="51" t="str">
        <f>"0x"&amp;AE_w_WORK!D68</f>
        <v>0xFFFF</v>
      </c>
      <c r="J69" s="41">
        <v>40473</v>
      </c>
      <c r="K69" s="42"/>
      <c r="M69" s="179"/>
      <c r="N69" s="179"/>
    </row>
    <row r="70" spans="1:14" ht="12" hidden="1" customHeight="1" outlineLevel="1">
      <c r="A70" s="13"/>
      <c r="B70" s="178">
        <v>64</v>
      </c>
      <c r="C70" s="44"/>
      <c r="D70" s="45"/>
      <c r="E70" s="39" t="s">
        <v>325</v>
      </c>
      <c r="F70" s="180" t="s">
        <v>494</v>
      </c>
      <c r="G70" s="40" t="s">
        <v>197</v>
      </c>
      <c r="H70" s="46" t="s">
        <v>198</v>
      </c>
      <c r="I70" s="51" t="str">
        <f>"0x"&amp;AE_w_WORK!D69</f>
        <v>0xFFFF</v>
      </c>
      <c r="J70" s="41">
        <v>40473</v>
      </c>
      <c r="K70" s="42"/>
      <c r="M70" s="179"/>
      <c r="N70" s="179"/>
    </row>
    <row r="71" spans="1:14" ht="12" hidden="1" customHeight="1" outlineLevel="1">
      <c r="A71" s="13"/>
      <c r="B71" s="178">
        <v>65</v>
      </c>
      <c r="C71" s="44"/>
      <c r="D71" s="45"/>
      <c r="E71" s="39" t="s">
        <v>325</v>
      </c>
      <c r="F71" s="180" t="s">
        <v>495</v>
      </c>
      <c r="G71" s="40" t="s">
        <v>199</v>
      </c>
      <c r="H71" s="46" t="s">
        <v>200</v>
      </c>
      <c r="I71" s="51" t="str">
        <f>"0x"&amp;AE_w_WORK!D70</f>
        <v>0xFFFF</v>
      </c>
      <c r="J71" s="41">
        <v>40473</v>
      </c>
      <c r="K71" s="42"/>
      <c r="M71" s="179"/>
      <c r="N71" s="179"/>
    </row>
    <row r="72" spans="1:14" ht="12" hidden="1" customHeight="1" outlineLevel="1">
      <c r="A72" s="13"/>
      <c r="B72" s="178">
        <v>66</v>
      </c>
      <c r="C72" s="44"/>
      <c r="D72" s="45"/>
      <c r="E72" s="39" t="s">
        <v>325</v>
      </c>
      <c r="F72" s="180" t="s">
        <v>496</v>
      </c>
      <c r="G72" s="40" t="s">
        <v>201</v>
      </c>
      <c r="H72" s="46" t="s">
        <v>202</v>
      </c>
      <c r="I72" s="51" t="str">
        <f>"0x"&amp;AE_w_WORK!D71</f>
        <v>0xFFFF</v>
      </c>
      <c r="J72" s="41">
        <v>40473</v>
      </c>
      <c r="K72" s="42"/>
      <c r="M72" s="179"/>
      <c r="N72" s="179"/>
    </row>
    <row r="73" spans="1:14" ht="12" hidden="1" customHeight="1" outlineLevel="1">
      <c r="A73" s="13"/>
      <c r="B73" s="178">
        <v>67</v>
      </c>
      <c r="C73" s="44"/>
      <c r="D73" s="45"/>
      <c r="E73" s="39" t="s">
        <v>325</v>
      </c>
      <c r="F73" s="180" t="s">
        <v>497</v>
      </c>
      <c r="G73" s="40" t="s">
        <v>203</v>
      </c>
      <c r="H73" s="46" t="s">
        <v>204</v>
      </c>
      <c r="I73" s="51" t="str">
        <f>"0x"&amp;AE_w_WORK!D72</f>
        <v>0xFFFF</v>
      </c>
      <c r="J73" s="41">
        <v>40473</v>
      </c>
      <c r="K73" s="42"/>
      <c r="M73" s="179"/>
      <c r="N73" s="179"/>
    </row>
    <row r="74" spans="1:14" ht="12" hidden="1" customHeight="1" outlineLevel="1">
      <c r="A74" s="13"/>
      <c r="B74" s="178">
        <v>68</v>
      </c>
      <c r="C74" s="44"/>
      <c r="D74" s="45"/>
      <c r="E74" s="39" t="s">
        <v>325</v>
      </c>
      <c r="F74" s="180" t="s">
        <v>498</v>
      </c>
      <c r="G74" s="40" t="s">
        <v>205</v>
      </c>
      <c r="H74" s="46" t="s">
        <v>206</v>
      </c>
      <c r="I74" s="51" t="str">
        <f>"0x"&amp;AE_w_WORK!D73</f>
        <v>0xFFFF</v>
      </c>
      <c r="J74" s="41">
        <v>40473</v>
      </c>
      <c r="K74" s="42"/>
      <c r="M74" s="179"/>
      <c r="N74" s="179"/>
    </row>
    <row r="75" spans="1:14" ht="12" hidden="1" customHeight="1" outlineLevel="1">
      <c r="A75" s="13"/>
      <c r="B75" s="178">
        <v>69</v>
      </c>
      <c r="C75" s="44"/>
      <c r="D75" s="45"/>
      <c r="E75" s="39" t="s">
        <v>325</v>
      </c>
      <c r="F75" s="180" t="s">
        <v>499</v>
      </c>
      <c r="G75" s="40" t="s">
        <v>207</v>
      </c>
      <c r="H75" s="46" t="s">
        <v>208</v>
      </c>
      <c r="I75" s="51" t="str">
        <f>"0x"&amp;AE_w_WORK!D74</f>
        <v>0xFFFF</v>
      </c>
      <c r="J75" s="41">
        <v>40473</v>
      </c>
      <c r="K75" s="42"/>
      <c r="M75" s="179"/>
      <c r="N75" s="179"/>
    </row>
    <row r="76" spans="1:14" ht="12" hidden="1" customHeight="1" outlineLevel="1">
      <c r="A76" s="13"/>
      <c r="B76" s="178">
        <v>70</v>
      </c>
      <c r="C76" s="44"/>
      <c r="D76" s="45"/>
      <c r="E76" s="39" t="s">
        <v>325</v>
      </c>
      <c r="F76" s="180" t="s">
        <v>500</v>
      </c>
      <c r="G76" s="40" t="s">
        <v>209</v>
      </c>
      <c r="H76" s="46" t="s">
        <v>210</v>
      </c>
      <c r="I76" s="51" t="str">
        <f>"0x"&amp;AE_w_WORK!D75</f>
        <v>0xFFFF</v>
      </c>
      <c r="J76" s="41">
        <v>40473</v>
      </c>
      <c r="K76" s="42"/>
      <c r="M76" s="179"/>
      <c r="N76" s="179"/>
    </row>
    <row r="77" spans="1:14" ht="12" hidden="1" customHeight="1" outlineLevel="1">
      <c r="A77" s="13"/>
      <c r="B77" s="178">
        <v>71</v>
      </c>
      <c r="C77" s="44"/>
      <c r="D77" s="45"/>
      <c r="E77" s="39" t="s">
        <v>325</v>
      </c>
      <c r="F77" s="180" t="s">
        <v>501</v>
      </c>
      <c r="G77" s="40" t="s">
        <v>211</v>
      </c>
      <c r="H77" s="46" t="s">
        <v>212</v>
      </c>
      <c r="I77" s="51" t="str">
        <f>"0x"&amp;AE_w_WORK!D76</f>
        <v>0xFFFF</v>
      </c>
      <c r="J77" s="41">
        <v>40473</v>
      </c>
      <c r="K77" s="42"/>
      <c r="M77" s="179"/>
      <c r="N77" s="179"/>
    </row>
    <row r="78" spans="1:14" ht="12" hidden="1" customHeight="1" outlineLevel="1">
      <c r="A78" s="13"/>
      <c r="B78" s="178">
        <v>72</v>
      </c>
      <c r="C78" s="44"/>
      <c r="D78" s="45"/>
      <c r="E78" s="39" t="s">
        <v>325</v>
      </c>
      <c r="F78" s="180" t="s">
        <v>502</v>
      </c>
      <c r="G78" s="40" t="s">
        <v>213</v>
      </c>
      <c r="H78" s="46" t="s">
        <v>214</v>
      </c>
      <c r="I78" s="51" t="str">
        <f>"0x"&amp;AE_w_WORK!D77</f>
        <v>0xFFFF</v>
      </c>
      <c r="J78" s="41">
        <v>40473</v>
      </c>
      <c r="K78" s="42"/>
      <c r="M78" s="179"/>
      <c r="N78" s="179"/>
    </row>
    <row r="79" spans="1:14" ht="12" hidden="1" customHeight="1" outlineLevel="1">
      <c r="A79" s="13"/>
      <c r="B79" s="178">
        <v>73</v>
      </c>
      <c r="C79" s="44"/>
      <c r="D79" s="45"/>
      <c r="E79" s="39" t="s">
        <v>325</v>
      </c>
      <c r="F79" s="180" t="s">
        <v>503</v>
      </c>
      <c r="G79" s="40" t="s">
        <v>215</v>
      </c>
      <c r="H79" s="46" t="s">
        <v>216</v>
      </c>
      <c r="I79" s="51" t="str">
        <f>"0x"&amp;AE_w_WORK!D78</f>
        <v>0xFFFF</v>
      </c>
      <c r="J79" s="41">
        <v>40473</v>
      </c>
      <c r="K79" s="42"/>
      <c r="M79" s="179"/>
      <c r="N79" s="179"/>
    </row>
    <row r="80" spans="1:14" ht="12" hidden="1" customHeight="1" outlineLevel="1">
      <c r="A80" s="13"/>
      <c r="B80" s="178">
        <v>74</v>
      </c>
      <c r="C80" s="44"/>
      <c r="D80" s="45"/>
      <c r="E80" s="39" t="s">
        <v>325</v>
      </c>
      <c r="F80" s="180" t="s">
        <v>504</v>
      </c>
      <c r="G80" s="40" t="s">
        <v>217</v>
      </c>
      <c r="H80" s="46" t="s">
        <v>218</v>
      </c>
      <c r="I80" s="51" t="str">
        <f>"0x"&amp;AE_w_WORK!D79</f>
        <v>0xFFFF</v>
      </c>
      <c r="J80" s="41">
        <v>40473</v>
      </c>
      <c r="K80" s="42"/>
      <c r="M80" s="179"/>
      <c r="N80" s="179"/>
    </row>
    <row r="81" spans="1:14" ht="12" hidden="1" customHeight="1" outlineLevel="1">
      <c r="A81" s="13"/>
      <c r="B81" s="178">
        <v>75</v>
      </c>
      <c r="C81" s="44"/>
      <c r="D81" s="45"/>
      <c r="E81" s="39" t="s">
        <v>325</v>
      </c>
      <c r="F81" s="180" t="s">
        <v>505</v>
      </c>
      <c r="G81" s="40" t="s">
        <v>219</v>
      </c>
      <c r="H81" s="46" t="s">
        <v>220</v>
      </c>
      <c r="I81" s="51" t="str">
        <f>"0x"&amp;AE_w_WORK!D80</f>
        <v>0xFFFF</v>
      </c>
      <c r="J81" s="41">
        <v>40473</v>
      </c>
      <c r="K81" s="42"/>
      <c r="M81" s="179"/>
      <c r="N81" s="179"/>
    </row>
    <row r="82" spans="1:14" ht="12" hidden="1" customHeight="1" outlineLevel="1">
      <c r="A82" s="13"/>
      <c r="B82" s="178">
        <v>76</v>
      </c>
      <c r="C82" s="44"/>
      <c r="D82" s="45"/>
      <c r="E82" s="39" t="s">
        <v>325</v>
      </c>
      <c r="F82" s="180" t="s">
        <v>506</v>
      </c>
      <c r="G82" s="40" t="s">
        <v>221</v>
      </c>
      <c r="H82" s="46" t="s">
        <v>222</v>
      </c>
      <c r="I82" s="51" t="str">
        <f>"0x"&amp;AE_w_WORK!D81</f>
        <v>0xFFFF</v>
      </c>
      <c r="J82" s="41">
        <v>40473</v>
      </c>
      <c r="K82" s="42"/>
      <c r="M82" s="179"/>
      <c r="N82" s="179"/>
    </row>
    <row r="83" spans="1:14" ht="12" hidden="1" customHeight="1" outlineLevel="1">
      <c r="A83" s="13"/>
      <c r="B83" s="178">
        <v>77</v>
      </c>
      <c r="C83" s="44"/>
      <c r="D83" s="45"/>
      <c r="E83" s="39" t="s">
        <v>325</v>
      </c>
      <c r="F83" s="180" t="s">
        <v>507</v>
      </c>
      <c r="G83" s="40" t="s">
        <v>223</v>
      </c>
      <c r="H83" s="46" t="s">
        <v>224</v>
      </c>
      <c r="I83" s="51" t="str">
        <f>"0x"&amp;AE_w_WORK!D82</f>
        <v>0xFFFF</v>
      </c>
      <c r="J83" s="41">
        <v>40473</v>
      </c>
      <c r="K83" s="42"/>
      <c r="M83" s="179"/>
      <c r="N83" s="179"/>
    </row>
    <row r="84" spans="1:14" ht="12" hidden="1" customHeight="1" outlineLevel="1">
      <c r="A84" s="13"/>
      <c r="B84" s="178">
        <v>78</v>
      </c>
      <c r="C84" s="44"/>
      <c r="D84" s="45"/>
      <c r="E84" s="39" t="s">
        <v>325</v>
      </c>
      <c r="F84" s="180" t="s">
        <v>508</v>
      </c>
      <c r="G84" s="40" t="s">
        <v>225</v>
      </c>
      <c r="H84" s="46" t="s">
        <v>226</v>
      </c>
      <c r="I84" s="51" t="str">
        <f>"0x"&amp;AE_w_WORK!D83</f>
        <v>0xFFFF</v>
      </c>
      <c r="J84" s="41">
        <v>40473</v>
      </c>
      <c r="K84" s="42"/>
      <c r="M84" s="179"/>
      <c r="N84" s="179"/>
    </row>
    <row r="85" spans="1:14" ht="12" hidden="1" customHeight="1" outlineLevel="1">
      <c r="A85" s="13"/>
      <c r="B85" s="178">
        <v>79</v>
      </c>
      <c r="C85" s="44"/>
      <c r="D85" s="45"/>
      <c r="E85" s="39" t="s">
        <v>325</v>
      </c>
      <c r="F85" s="180" t="s">
        <v>509</v>
      </c>
      <c r="G85" s="40" t="s">
        <v>227</v>
      </c>
      <c r="H85" s="46" t="s">
        <v>228</v>
      </c>
      <c r="I85" s="51" t="str">
        <f>"0x"&amp;AE_w_WORK!D84</f>
        <v>0xFFFF</v>
      </c>
      <c r="J85" s="41">
        <v>40473</v>
      </c>
      <c r="K85" s="42"/>
      <c r="M85" s="179"/>
      <c r="N85" s="179"/>
    </row>
    <row r="86" spans="1:14" ht="12" hidden="1" customHeight="1" outlineLevel="1">
      <c r="A86" s="13"/>
      <c r="B86" s="178">
        <v>80</v>
      </c>
      <c r="C86" s="44"/>
      <c r="D86" s="45"/>
      <c r="E86" s="39" t="s">
        <v>325</v>
      </c>
      <c r="F86" s="180" t="s">
        <v>510</v>
      </c>
      <c r="G86" s="40" t="s">
        <v>229</v>
      </c>
      <c r="H86" s="46" t="s">
        <v>230</v>
      </c>
      <c r="I86" s="51" t="str">
        <f>"0x"&amp;AE_w_WORK!D85</f>
        <v>0xFFFF</v>
      </c>
      <c r="J86" s="41">
        <v>40473</v>
      </c>
      <c r="K86" s="42"/>
      <c r="M86" s="179"/>
      <c r="N86" s="179"/>
    </row>
    <row r="87" spans="1:14" ht="12" hidden="1" customHeight="1" outlineLevel="1">
      <c r="A87" s="13"/>
      <c r="B87" s="178">
        <v>81</v>
      </c>
      <c r="C87" s="44"/>
      <c r="D87" s="45"/>
      <c r="E87" s="39" t="s">
        <v>325</v>
      </c>
      <c r="F87" s="180" t="s">
        <v>511</v>
      </c>
      <c r="G87" s="40" t="s">
        <v>231</v>
      </c>
      <c r="H87" s="46" t="s">
        <v>232</v>
      </c>
      <c r="I87" s="51" t="str">
        <f>"0x"&amp;AE_w_WORK!D86</f>
        <v>0xFFFF</v>
      </c>
      <c r="J87" s="41">
        <v>40473</v>
      </c>
      <c r="K87" s="42"/>
      <c r="M87" s="179"/>
      <c r="N87" s="179"/>
    </row>
    <row r="88" spans="1:14" ht="12" hidden="1" customHeight="1" outlineLevel="1">
      <c r="A88" s="13"/>
      <c r="B88" s="178">
        <v>82</v>
      </c>
      <c r="C88" s="44"/>
      <c r="D88" s="45"/>
      <c r="E88" s="39" t="s">
        <v>325</v>
      </c>
      <c r="F88" s="180" t="s">
        <v>512</v>
      </c>
      <c r="G88" s="40" t="s">
        <v>233</v>
      </c>
      <c r="H88" s="46" t="s">
        <v>234</v>
      </c>
      <c r="I88" s="51" t="str">
        <f>"0x"&amp;AE_w_WORK!D87</f>
        <v>0xFFFF</v>
      </c>
      <c r="J88" s="41">
        <v>40473</v>
      </c>
      <c r="K88" s="42"/>
      <c r="M88" s="179"/>
      <c r="N88" s="179"/>
    </row>
    <row r="89" spans="1:14" ht="12" hidden="1" customHeight="1" outlineLevel="1">
      <c r="A89" s="13"/>
      <c r="B89" s="178">
        <v>83</v>
      </c>
      <c r="C89" s="44"/>
      <c r="D89" s="45"/>
      <c r="E89" s="39" t="s">
        <v>325</v>
      </c>
      <c r="F89" s="180" t="s">
        <v>513</v>
      </c>
      <c r="G89" s="40" t="s">
        <v>235</v>
      </c>
      <c r="H89" s="46" t="s">
        <v>236</v>
      </c>
      <c r="I89" s="51" t="str">
        <f>"0x"&amp;AE_w_WORK!D88</f>
        <v>0xFFFF</v>
      </c>
      <c r="J89" s="41">
        <v>40473</v>
      </c>
      <c r="K89" s="42"/>
      <c r="M89" s="179"/>
      <c r="N89" s="179"/>
    </row>
    <row r="90" spans="1:14" ht="12" hidden="1" customHeight="1" outlineLevel="1">
      <c r="A90" s="13"/>
      <c r="B90" s="178">
        <v>84</v>
      </c>
      <c r="C90" s="44"/>
      <c r="D90" s="45"/>
      <c r="E90" s="39" t="s">
        <v>325</v>
      </c>
      <c r="F90" s="180" t="s">
        <v>514</v>
      </c>
      <c r="G90" s="40" t="s">
        <v>237</v>
      </c>
      <c r="H90" s="46" t="s">
        <v>238</v>
      </c>
      <c r="I90" s="51" t="str">
        <f>"0x"&amp;AE_w_WORK!D89</f>
        <v>0xFFFF</v>
      </c>
      <c r="J90" s="41">
        <v>40473</v>
      </c>
      <c r="K90" s="42"/>
      <c r="M90" s="179"/>
      <c r="N90" s="179"/>
    </row>
    <row r="91" spans="1:14" ht="12" hidden="1" customHeight="1" outlineLevel="1">
      <c r="A91" s="13"/>
      <c r="B91" s="178">
        <v>85</v>
      </c>
      <c r="C91" s="44"/>
      <c r="D91" s="45"/>
      <c r="E91" s="39" t="s">
        <v>325</v>
      </c>
      <c r="F91" s="180" t="s">
        <v>515</v>
      </c>
      <c r="G91" s="40" t="s">
        <v>239</v>
      </c>
      <c r="H91" s="46" t="s">
        <v>240</v>
      </c>
      <c r="I91" s="51" t="str">
        <f>"0x"&amp;AE_w_WORK!D90</f>
        <v>0xFFFF</v>
      </c>
      <c r="J91" s="41">
        <v>40473</v>
      </c>
      <c r="K91" s="42"/>
      <c r="M91" s="179"/>
      <c r="N91" s="179"/>
    </row>
    <row r="92" spans="1:14" ht="12" hidden="1" customHeight="1" outlineLevel="1">
      <c r="A92" s="13"/>
      <c r="B92" s="178">
        <v>86</v>
      </c>
      <c r="C92" s="44"/>
      <c r="D92" s="45"/>
      <c r="E92" s="39" t="s">
        <v>325</v>
      </c>
      <c r="F92" s="180" t="s">
        <v>516</v>
      </c>
      <c r="G92" s="40" t="s">
        <v>241</v>
      </c>
      <c r="H92" s="46" t="s">
        <v>242</v>
      </c>
      <c r="I92" s="51" t="str">
        <f>"0x"&amp;AE_w_WORK!D91</f>
        <v>0xFFFF</v>
      </c>
      <c r="J92" s="41">
        <v>40473</v>
      </c>
      <c r="K92" s="42"/>
      <c r="M92" s="179"/>
      <c r="N92" s="179"/>
    </row>
    <row r="93" spans="1:14" ht="12" hidden="1" customHeight="1" outlineLevel="1">
      <c r="A93" s="13"/>
      <c r="B93" s="178">
        <v>87</v>
      </c>
      <c r="C93" s="44"/>
      <c r="D93" s="45"/>
      <c r="E93" s="39" t="s">
        <v>325</v>
      </c>
      <c r="F93" s="180" t="s">
        <v>517</v>
      </c>
      <c r="G93" s="40" t="s">
        <v>243</v>
      </c>
      <c r="H93" s="46" t="s">
        <v>244</v>
      </c>
      <c r="I93" s="51" t="str">
        <f>"0x"&amp;AE_w_WORK!D92</f>
        <v>0xFFFF</v>
      </c>
      <c r="J93" s="41">
        <v>40473</v>
      </c>
      <c r="K93" s="42"/>
      <c r="M93" s="179"/>
      <c r="N93" s="179"/>
    </row>
    <row r="94" spans="1:14" ht="12" hidden="1" customHeight="1" outlineLevel="1">
      <c r="A94" s="13"/>
      <c r="B94" s="178">
        <v>88</v>
      </c>
      <c r="C94" s="44"/>
      <c r="D94" s="45"/>
      <c r="E94" s="39" t="s">
        <v>325</v>
      </c>
      <c r="F94" s="180" t="s">
        <v>518</v>
      </c>
      <c r="G94" s="40" t="s">
        <v>245</v>
      </c>
      <c r="H94" s="46" t="s">
        <v>246</v>
      </c>
      <c r="I94" s="51" t="str">
        <f>"0x"&amp;AE_w_WORK!D93</f>
        <v>0xFFFF</v>
      </c>
      <c r="J94" s="41">
        <v>40473</v>
      </c>
      <c r="K94" s="42"/>
      <c r="M94" s="179"/>
      <c r="N94" s="179"/>
    </row>
    <row r="95" spans="1:14" ht="12" hidden="1" customHeight="1" outlineLevel="1">
      <c r="A95" s="13"/>
      <c r="B95" s="178">
        <v>89</v>
      </c>
      <c r="C95" s="44"/>
      <c r="D95" s="45"/>
      <c r="E95" s="39" t="s">
        <v>325</v>
      </c>
      <c r="F95" s="180" t="s">
        <v>519</v>
      </c>
      <c r="G95" s="40" t="s">
        <v>247</v>
      </c>
      <c r="H95" s="46" t="s">
        <v>248</v>
      </c>
      <c r="I95" s="51" t="str">
        <f>"0x"&amp;AE_w_WORK!D94</f>
        <v>0xFFFF</v>
      </c>
      <c r="J95" s="41">
        <v>40473</v>
      </c>
      <c r="K95" s="42"/>
      <c r="M95" s="179"/>
      <c r="N95" s="179"/>
    </row>
    <row r="96" spans="1:14" ht="12" hidden="1" customHeight="1" outlineLevel="1">
      <c r="A96" s="13"/>
      <c r="B96" s="178">
        <v>90</v>
      </c>
      <c r="C96" s="44"/>
      <c r="D96" s="45"/>
      <c r="E96" s="39" t="s">
        <v>325</v>
      </c>
      <c r="F96" s="180" t="s">
        <v>520</v>
      </c>
      <c r="G96" s="40" t="s">
        <v>249</v>
      </c>
      <c r="H96" s="46" t="s">
        <v>250</v>
      </c>
      <c r="I96" s="51" t="str">
        <f>"0x"&amp;AE_w_WORK!D95</f>
        <v>0xFFFF</v>
      </c>
      <c r="J96" s="41">
        <v>40473</v>
      </c>
      <c r="K96" s="42"/>
      <c r="M96" s="179"/>
      <c r="N96" s="179"/>
    </row>
    <row r="97" spans="1:14" ht="12" hidden="1" customHeight="1" outlineLevel="1">
      <c r="A97" s="13"/>
      <c r="B97" s="178">
        <v>91</v>
      </c>
      <c r="C97" s="44"/>
      <c r="D97" s="45"/>
      <c r="E97" s="39" t="s">
        <v>325</v>
      </c>
      <c r="F97" s="180" t="s">
        <v>521</v>
      </c>
      <c r="G97" s="40" t="s">
        <v>251</v>
      </c>
      <c r="H97" s="46" t="s">
        <v>252</v>
      </c>
      <c r="I97" s="51" t="str">
        <f>"0x"&amp;AE_w_WORK!D96</f>
        <v>0xFFFF</v>
      </c>
      <c r="J97" s="41">
        <v>40473</v>
      </c>
      <c r="K97" s="42"/>
      <c r="M97" s="179"/>
      <c r="N97" s="179"/>
    </row>
    <row r="98" spans="1:14" ht="12" hidden="1" customHeight="1" outlineLevel="1">
      <c r="A98" s="13"/>
      <c r="B98" s="178">
        <v>92</v>
      </c>
      <c r="C98" s="44"/>
      <c r="D98" s="45"/>
      <c r="E98" s="39" t="s">
        <v>325</v>
      </c>
      <c r="F98" s="180" t="s">
        <v>522</v>
      </c>
      <c r="G98" s="40" t="s">
        <v>253</v>
      </c>
      <c r="H98" s="46" t="s">
        <v>254</v>
      </c>
      <c r="I98" s="51" t="str">
        <f>"0x"&amp;AE_w_WORK!D97</f>
        <v>0xFFFF</v>
      </c>
      <c r="J98" s="41">
        <v>40473</v>
      </c>
      <c r="K98" s="42"/>
      <c r="M98" s="179"/>
      <c r="N98" s="179"/>
    </row>
    <row r="99" spans="1:14" ht="12" hidden="1" customHeight="1" outlineLevel="1">
      <c r="A99" s="13"/>
      <c r="B99" s="178">
        <v>93</v>
      </c>
      <c r="C99" s="44"/>
      <c r="D99" s="45"/>
      <c r="E99" s="39" t="s">
        <v>325</v>
      </c>
      <c r="F99" s="180" t="s">
        <v>523</v>
      </c>
      <c r="G99" s="40" t="s">
        <v>255</v>
      </c>
      <c r="H99" s="46" t="s">
        <v>256</v>
      </c>
      <c r="I99" s="51" t="str">
        <f>"0x"&amp;AE_w_WORK!D98</f>
        <v>0xFFFF</v>
      </c>
      <c r="J99" s="41">
        <v>40473</v>
      </c>
      <c r="K99" s="42"/>
      <c r="M99" s="179"/>
      <c r="N99" s="179"/>
    </row>
    <row r="100" spans="1:14" ht="12" hidden="1" customHeight="1" outlineLevel="1">
      <c r="A100" s="13"/>
      <c r="B100" s="178">
        <v>94</v>
      </c>
      <c r="C100" s="44"/>
      <c r="D100" s="45"/>
      <c r="E100" s="39" t="s">
        <v>325</v>
      </c>
      <c r="F100" s="180" t="s">
        <v>524</v>
      </c>
      <c r="G100" s="40" t="s">
        <v>257</v>
      </c>
      <c r="H100" s="46" t="s">
        <v>258</v>
      </c>
      <c r="I100" s="51" t="str">
        <f>"0x"&amp;AE_w_WORK!D99</f>
        <v>0xFFFF</v>
      </c>
      <c r="J100" s="41">
        <v>40473</v>
      </c>
      <c r="K100" s="42"/>
      <c r="M100" s="179"/>
      <c r="N100" s="179"/>
    </row>
    <row r="101" spans="1:14" ht="12" hidden="1" customHeight="1" outlineLevel="1">
      <c r="A101" s="13"/>
      <c r="B101" s="178">
        <v>95</v>
      </c>
      <c r="C101" s="44"/>
      <c r="D101" s="45"/>
      <c r="E101" s="39" t="s">
        <v>325</v>
      </c>
      <c r="F101" s="180" t="s">
        <v>525</v>
      </c>
      <c r="G101" s="40" t="s">
        <v>259</v>
      </c>
      <c r="H101" s="46" t="s">
        <v>260</v>
      </c>
      <c r="I101" s="51" t="str">
        <f>"0x"&amp;AE_w_WORK!D100</f>
        <v>0xFFFF</v>
      </c>
      <c r="J101" s="41">
        <v>40473</v>
      </c>
      <c r="K101" s="42"/>
      <c r="M101" s="179"/>
      <c r="N101" s="179"/>
    </row>
    <row r="102" spans="1:14" ht="12" hidden="1" customHeight="1" outlineLevel="1">
      <c r="A102" s="13"/>
      <c r="B102" s="178">
        <v>96</v>
      </c>
      <c r="C102" s="44"/>
      <c r="D102" s="45"/>
      <c r="E102" s="39" t="s">
        <v>325</v>
      </c>
      <c r="F102" s="180" t="s">
        <v>526</v>
      </c>
      <c r="G102" s="40" t="s">
        <v>261</v>
      </c>
      <c r="H102" s="46" t="s">
        <v>262</v>
      </c>
      <c r="I102" s="51" t="str">
        <f>"0x"&amp;AE_w_WORK!D101</f>
        <v>0xFFFF</v>
      </c>
      <c r="J102" s="41">
        <v>40473</v>
      </c>
      <c r="K102" s="42"/>
      <c r="M102" s="179"/>
      <c r="N102" s="179"/>
    </row>
    <row r="103" spans="1:14" ht="12" hidden="1" customHeight="1" outlineLevel="1">
      <c r="A103" s="13"/>
      <c r="B103" s="178">
        <v>97</v>
      </c>
      <c r="C103" s="44"/>
      <c r="D103" s="45"/>
      <c r="E103" s="39" t="s">
        <v>325</v>
      </c>
      <c r="F103" s="180" t="s">
        <v>527</v>
      </c>
      <c r="G103" s="40" t="s">
        <v>263</v>
      </c>
      <c r="H103" s="46" t="s">
        <v>81</v>
      </c>
      <c r="I103" s="51" t="str">
        <f>"0x"&amp;AE_w_WORK!D102</f>
        <v>0xFFFF</v>
      </c>
      <c r="J103" s="41">
        <v>40473</v>
      </c>
      <c r="K103" s="42"/>
      <c r="M103" s="179"/>
      <c r="N103" s="179"/>
    </row>
    <row r="104" spans="1:14" ht="12" hidden="1" customHeight="1" outlineLevel="1">
      <c r="A104" s="13"/>
      <c r="B104" s="178">
        <v>98</v>
      </c>
      <c r="C104" s="44"/>
      <c r="D104" s="45"/>
      <c r="E104" s="39" t="s">
        <v>325</v>
      </c>
      <c r="F104" s="180" t="s">
        <v>528</v>
      </c>
      <c r="G104" s="40" t="s">
        <v>82</v>
      </c>
      <c r="H104" s="46" t="s">
        <v>83</v>
      </c>
      <c r="I104" s="51" t="str">
        <f>"0x"&amp;AE_w_WORK!D103</f>
        <v>0xFFFF</v>
      </c>
      <c r="J104" s="41">
        <v>40473</v>
      </c>
      <c r="K104" s="42"/>
      <c r="M104" s="179"/>
      <c r="N104" s="179"/>
    </row>
    <row r="105" spans="1:14" ht="12" hidden="1" customHeight="1" outlineLevel="1">
      <c r="A105" s="13"/>
      <c r="B105" s="178">
        <v>99</v>
      </c>
      <c r="C105" s="44"/>
      <c r="D105" s="45"/>
      <c r="E105" s="39" t="s">
        <v>325</v>
      </c>
      <c r="F105" s="180" t="s">
        <v>529</v>
      </c>
      <c r="G105" s="40" t="s">
        <v>84</v>
      </c>
      <c r="H105" s="46" t="s">
        <v>85</v>
      </c>
      <c r="I105" s="51" t="str">
        <f>"0x"&amp;AE_w_WORK!D104</f>
        <v>0xFFFF</v>
      </c>
      <c r="J105" s="41">
        <v>40473</v>
      </c>
      <c r="K105" s="42"/>
      <c r="M105" s="179"/>
      <c r="N105" s="179"/>
    </row>
    <row r="106" spans="1:14" ht="12" hidden="1" customHeight="1" outlineLevel="1">
      <c r="A106" s="13"/>
      <c r="B106" s="178">
        <v>100</v>
      </c>
      <c r="C106" s="44"/>
      <c r="D106" s="45"/>
      <c r="E106" s="39" t="s">
        <v>325</v>
      </c>
      <c r="F106" s="180" t="s">
        <v>530</v>
      </c>
      <c r="G106" s="40" t="s">
        <v>86</v>
      </c>
      <c r="H106" s="46" t="s">
        <v>87</v>
      </c>
      <c r="I106" s="51" t="str">
        <f>"0x"&amp;AE_w_WORK!D105</f>
        <v>0xFFFF</v>
      </c>
      <c r="J106" s="41">
        <v>40473</v>
      </c>
      <c r="K106" s="42"/>
      <c r="M106" s="179"/>
      <c r="N106" s="179"/>
    </row>
    <row r="107" spans="1:14" ht="12" hidden="1" customHeight="1" outlineLevel="1">
      <c r="A107" s="13"/>
      <c r="B107" s="178">
        <v>101</v>
      </c>
      <c r="C107" s="44"/>
      <c r="D107" s="45"/>
      <c r="E107" s="39" t="s">
        <v>325</v>
      </c>
      <c r="F107" s="180" t="s">
        <v>531</v>
      </c>
      <c r="G107" s="40" t="s">
        <v>88</v>
      </c>
      <c r="H107" s="46" t="s">
        <v>89</v>
      </c>
      <c r="I107" s="51" t="str">
        <f>"0x"&amp;AE_w_WORK!D106</f>
        <v>0xFFFF</v>
      </c>
      <c r="J107" s="41">
        <v>40473</v>
      </c>
      <c r="K107" s="42"/>
      <c r="M107" s="179"/>
      <c r="N107" s="179"/>
    </row>
    <row r="108" spans="1:14" ht="12" hidden="1" customHeight="1" outlineLevel="1">
      <c r="A108" s="13"/>
      <c r="B108" s="178">
        <v>102</v>
      </c>
      <c r="C108" s="44"/>
      <c r="D108" s="45"/>
      <c r="E108" s="39" t="s">
        <v>325</v>
      </c>
      <c r="F108" s="180" t="s">
        <v>532</v>
      </c>
      <c r="G108" s="40" t="s">
        <v>90</v>
      </c>
      <c r="H108" s="46" t="s">
        <v>91</v>
      </c>
      <c r="I108" s="51" t="str">
        <f>"0x"&amp;AE_w_WORK!D107</f>
        <v>0xFFFF</v>
      </c>
      <c r="J108" s="41">
        <v>40473</v>
      </c>
      <c r="K108" s="42"/>
      <c r="M108" s="179"/>
      <c r="N108" s="179"/>
    </row>
    <row r="109" spans="1:14" ht="12" hidden="1" customHeight="1" outlineLevel="1">
      <c r="A109" s="13"/>
      <c r="B109" s="178">
        <v>103</v>
      </c>
      <c r="C109" s="44"/>
      <c r="D109" s="45"/>
      <c r="E109" s="39" t="s">
        <v>325</v>
      </c>
      <c r="F109" s="180" t="s">
        <v>533</v>
      </c>
      <c r="G109" s="40" t="s">
        <v>92</v>
      </c>
      <c r="H109" s="46" t="s">
        <v>93</v>
      </c>
      <c r="I109" s="51" t="str">
        <f>"0x"&amp;AE_w_WORK!D108</f>
        <v>0xFFFF</v>
      </c>
      <c r="J109" s="41">
        <v>40473</v>
      </c>
      <c r="K109" s="42"/>
      <c r="M109" s="179"/>
      <c r="N109" s="179"/>
    </row>
    <row r="110" spans="1:14" ht="12" hidden="1" customHeight="1" outlineLevel="1">
      <c r="A110" s="13"/>
      <c r="B110" s="178">
        <v>104</v>
      </c>
      <c r="C110" s="44"/>
      <c r="D110" s="45"/>
      <c r="E110" s="39" t="s">
        <v>325</v>
      </c>
      <c r="F110" s="180" t="s">
        <v>534</v>
      </c>
      <c r="G110" s="40" t="s">
        <v>94</v>
      </c>
      <c r="H110" s="46" t="s">
        <v>95</v>
      </c>
      <c r="I110" s="51" t="str">
        <f>"0x"&amp;AE_w_WORK!D109</f>
        <v>0xFFFF</v>
      </c>
      <c r="J110" s="41">
        <v>40473</v>
      </c>
      <c r="K110" s="42"/>
      <c r="M110" s="179"/>
      <c r="N110" s="179"/>
    </row>
    <row r="111" spans="1:14" ht="12" hidden="1" customHeight="1" outlineLevel="1">
      <c r="A111" s="13"/>
      <c r="B111" s="178">
        <v>105</v>
      </c>
      <c r="C111" s="44"/>
      <c r="D111" s="45"/>
      <c r="E111" s="39" t="s">
        <v>325</v>
      </c>
      <c r="F111" s="180" t="s">
        <v>535</v>
      </c>
      <c r="G111" s="40" t="s">
        <v>96</v>
      </c>
      <c r="H111" s="46" t="s">
        <v>97</v>
      </c>
      <c r="I111" s="51" t="str">
        <f>"0x"&amp;AE_w_WORK!D110</f>
        <v>0xFFFF</v>
      </c>
      <c r="J111" s="41">
        <v>40473</v>
      </c>
      <c r="K111" s="42"/>
      <c r="M111" s="179"/>
      <c r="N111" s="179"/>
    </row>
    <row r="112" spans="1:14" ht="12" hidden="1" customHeight="1" outlineLevel="1">
      <c r="A112" s="13"/>
      <c r="B112" s="178">
        <v>106</v>
      </c>
      <c r="C112" s="44"/>
      <c r="D112" s="45"/>
      <c r="E112" s="39" t="s">
        <v>325</v>
      </c>
      <c r="F112" s="180" t="s">
        <v>536</v>
      </c>
      <c r="G112" s="40" t="s">
        <v>98</v>
      </c>
      <c r="H112" s="46" t="s">
        <v>99</v>
      </c>
      <c r="I112" s="51" t="str">
        <f>"0x"&amp;AE_w_WORK!D111</f>
        <v>0xFFFF</v>
      </c>
      <c r="J112" s="41">
        <v>40473</v>
      </c>
      <c r="K112" s="42"/>
      <c r="M112" s="179"/>
      <c r="N112" s="179"/>
    </row>
    <row r="113" spans="1:14" ht="12" hidden="1" customHeight="1" outlineLevel="1">
      <c r="A113" s="13"/>
      <c r="B113" s="178">
        <v>107</v>
      </c>
      <c r="C113" s="44"/>
      <c r="D113" s="45"/>
      <c r="E113" s="39" t="s">
        <v>325</v>
      </c>
      <c r="F113" s="180" t="s">
        <v>537</v>
      </c>
      <c r="G113" s="40" t="s">
        <v>100</v>
      </c>
      <c r="H113" s="46" t="s">
        <v>101</v>
      </c>
      <c r="I113" s="51" t="str">
        <f>"0x"&amp;AE_w_WORK!D112</f>
        <v>0xFFFF</v>
      </c>
      <c r="J113" s="41">
        <v>40473</v>
      </c>
      <c r="K113" s="42"/>
      <c r="M113" s="179"/>
      <c r="N113" s="179"/>
    </row>
    <row r="114" spans="1:14" ht="12" hidden="1" customHeight="1" outlineLevel="1">
      <c r="A114" s="13"/>
      <c r="B114" s="178">
        <v>108</v>
      </c>
      <c r="C114" s="44"/>
      <c r="D114" s="45"/>
      <c r="E114" s="39" t="s">
        <v>325</v>
      </c>
      <c r="F114" s="180" t="s">
        <v>538</v>
      </c>
      <c r="G114" s="40" t="s">
        <v>102</v>
      </c>
      <c r="H114" s="46" t="s">
        <v>103</v>
      </c>
      <c r="I114" s="51" t="str">
        <f>"0x"&amp;AE_w_WORK!D113</f>
        <v>0xFFFF</v>
      </c>
      <c r="J114" s="41">
        <v>40473</v>
      </c>
      <c r="K114" s="42"/>
      <c r="M114" s="179"/>
      <c r="N114" s="179"/>
    </row>
    <row r="115" spans="1:14" ht="12" hidden="1" customHeight="1" outlineLevel="1">
      <c r="A115" s="13"/>
      <c r="B115" s="178">
        <v>109</v>
      </c>
      <c r="C115" s="44"/>
      <c r="D115" s="45"/>
      <c r="E115" s="39" t="s">
        <v>325</v>
      </c>
      <c r="F115" s="180" t="s">
        <v>539</v>
      </c>
      <c r="G115" s="40" t="s">
        <v>104</v>
      </c>
      <c r="H115" s="46" t="s">
        <v>105</v>
      </c>
      <c r="I115" s="51" t="str">
        <f>"0x"&amp;AE_w_WORK!D114</f>
        <v>0xFFFF</v>
      </c>
      <c r="J115" s="41">
        <v>40473</v>
      </c>
      <c r="K115" s="42"/>
      <c r="M115" s="179"/>
      <c r="N115" s="179"/>
    </row>
    <row r="116" spans="1:14" ht="12" hidden="1" customHeight="1" outlineLevel="1">
      <c r="A116" s="13"/>
      <c r="B116" s="178">
        <v>110</v>
      </c>
      <c r="C116" s="44"/>
      <c r="D116" s="45"/>
      <c r="E116" s="39" t="s">
        <v>325</v>
      </c>
      <c r="F116" s="180" t="s">
        <v>540</v>
      </c>
      <c r="G116" s="40" t="s">
        <v>106</v>
      </c>
      <c r="H116" s="46" t="s">
        <v>107</v>
      </c>
      <c r="I116" s="51" t="str">
        <f>"0x"&amp;AE_w_WORK!D115</f>
        <v>0xFFFF</v>
      </c>
      <c r="J116" s="41">
        <v>40473</v>
      </c>
      <c r="K116" s="42"/>
      <c r="M116" s="179"/>
      <c r="N116" s="179"/>
    </row>
    <row r="117" spans="1:14" ht="12" hidden="1" customHeight="1" outlineLevel="1">
      <c r="A117" s="13"/>
      <c r="B117" s="178">
        <v>111</v>
      </c>
      <c r="C117" s="44"/>
      <c r="D117" s="45"/>
      <c r="E117" s="39" t="s">
        <v>325</v>
      </c>
      <c r="F117" s="180" t="s">
        <v>541</v>
      </c>
      <c r="G117" s="40" t="s">
        <v>108</v>
      </c>
      <c r="H117" s="46" t="s">
        <v>109</v>
      </c>
      <c r="I117" s="51" t="str">
        <f>"0x"&amp;AE_w_WORK!D116</f>
        <v>0xFFFF</v>
      </c>
      <c r="J117" s="41">
        <v>40473</v>
      </c>
      <c r="K117" s="42"/>
      <c r="M117" s="179"/>
      <c r="N117" s="179"/>
    </row>
    <row r="118" spans="1:14" ht="12" hidden="1" customHeight="1" outlineLevel="1">
      <c r="A118" s="13"/>
      <c r="B118" s="178">
        <v>112</v>
      </c>
      <c r="C118" s="44"/>
      <c r="D118" s="45"/>
      <c r="E118" s="39" t="s">
        <v>325</v>
      </c>
      <c r="F118" s="180" t="s">
        <v>542</v>
      </c>
      <c r="G118" s="40" t="s">
        <v>110</v>
      </c>
      <c r="H118" s="46" t="s">
        <v>111</v>
      </c>
      <c r="I118" s="51" t="str">
        <f>"0x"&amp;AE_w_WORK!D117</f>
        <v>0xFFFF</v>
      </c>
      <c r="J118" s="41">
        <v>40473</v>
      </c>
      <c r="K118" s="42"/>
      <c r="M118" s="179"/>
      <c r="N118" s="179"/>
    </row>
    <row r="119" spans="1:14" ht="12" hidden="1" customHeight="1" outlineLevel="1">
      <c r="A119" s="13"/>
      <c r="B119" s="178">
        <v>113</v>
      </c>
      <c r="C119" s="44"/>
      <c r="D119" s="45"/>
      <c r="E119" s="39" t="s">
        <v>325</v>
      </c>
      <c r="F119" s="180" t="s">
        <v>543</v>
      </c>
      <c r="G119" s="40" t="s">
        <v>112</v>
      </c>
      <c r="H119" s="46" t="s">
        <v>113</v>
      </c>
      <c r="I119" s="51" t="str">
        <f>"0x"&amp;AE_w_WORK!D118</f>
        <v>0xFFFF</v>
      </c>
      <c r="J119" s="41">
        <v>40473</v>
      </c>
      <c r="K119" s="42"/>
      <c r="M119" s="179"/>
      <c r="N119" s="179"/>
    </row>
    <row r="120" spans="1:14" ht="12" hidden="1" customHeight="1" outlineLevel="1">
      <c r="A120" s="13"/>
      <c r="B120" s="178">
        <v>114</v>
      </c>
      <c r="C120" s="44"/>
      <c r="D120" s="45"/>
      <c r="E120" s="39" t="s">
        <v>325</v>
      </c>
      <c r="F120" s="180" t="s">
        <v>544</v>
      </c>
      <c r="G120" s="40" t="s">
        <v>114</v>
      </c>
      <c r="H120" s="46" t="s">
        <v>115</v>
      </c>
      <c r="I120" s="51" t="str">
        <f>"0x"&amp;AE_w_WORK!D119</f>
        <v>0xFFFF</v>
      </c>
      <c r="J120" s="41">
        <v>40473</v>
      </c>
      <c r="K120" s="42"/>
      <c r="M120" s="179"/>
      <c r="N120" s="179"/>
    </row>
    <row r="121" spans="1:14" ht="12" hidden="1" customHeight="1" outlineLevel="1">
      <c r="A121" s="13"/>
      <c r="B121" s="178">
        <v>115</v>
      </c>
      <c r="C121" s="44"/>
      <c r="D121" s="45"/>
      <c r="E121" s="39" t="s">
        <v>325</v>
      </c>
      <c r="F121" s="180" t="s">
        <v>545</v>
      </c>
      <c r="G121" s="40" t="s">
        <v>116</v>
      </c>
      <c r="H121" s="46" t="s">
        <v>117</v>
      </c>
      <c r="I121" s="51" t="str">
        <f>"0x"&amp;AE_w_WORK!D120</f>
        <v>0xFFFF</v>
      </c>
      <c r="J121" s="41">
        <v>40473</v>
      </c>
      <c r="K121" s="42"/>
      <c r="M121" s="179"/>
      <c r="N121" s="179"/>
    </row>
    <row r="122" spans="1:14" ht="12" hidden="1" customHeight="1" outlineLevel="1">
      <c r="A122" s="13"/>
      <c r="B122" s="178">
        <v>116</v>
      </c>
      <c r="C122" s="44"/>
      <c r="D122" s="45"/>
      <c r="E122" s="39" t="s">
        <v>325</v>
      </c>
      <c r="F122" s="180" t="s">
        <v>546</v>
      </c>
      <c r="G122" s="40" t="s">
        <v>118</v>
      </c>
      <c r="H122" s="46" t="s">
        <v>119</v>
      </c>
      <c r="I122" s="51" t="str">
        <f>"0x"&amp;AE_w_WORK!D121</f>
        <v>0xFFFF</v>
      </c>
      <c r="J122" s="41">
        <v>40473</v>
      </c>
      <c r="K122" s="42"/>
      <c r="M122" s="179"/>
      <c r="N122" s="179"/>
    </row>
    <row r="123" spans="1:14" ht="12" hidden="1" customHeight="1" outlineLevel="1">
      <c r="A123" s="13"/>
      <c r="B123" s="178">
        <v>117</v>
      </c>
      <c r="C123" s="44"/>
      <c r="D123" s="45"/>
      <c r="E123" s="39" t="s">
        <v>325</v>
      </c>
      <c r="F123" s="180" t="s">
        <v>547</v>
      </c>
      <c r="G123" s="40" t="s">
        <v>120</v>
      </c>
      <c r="H123" s="46" t="s">
        <v>264</v>
      </c>
      <c r="I123" s="51" t="str">
        <f>"0x"&amp;AE_w_WORK!D122</f>
        <v>0xFFFF</v>
      </c>
      <c r="J123" s="41">
        <v>40473</v>
      </c>
      <c r="K123" s="42"/>
      <c r="M123" s="179"/>
      <c r="N123" s="179"/>
    </row>
    <row r="124" spans="1:14" ht="12" hidden="1" customHeight="1" outlineLevel="1">
      <c r="A124" s="13"/>
      <c r="B124" s="178">
        <v>118</v>
      </c>
      <c r="C124" s="44"/>
      <c r="D124" s="45"/>
      <c r="E124" s="39" t="s">
        <v>325</v>
      </c>
      <c r="F124" s="180" t="s">
        <v>548</v>
      </c>
      <c r="G124" s="40" t="s">
        <v>0</v>
      </c>
      <c r="H124" s="46" t="s">
        <v>1</v>
      </c>
      <c r="I124" s="51" t="str">
        <f>"0x"&amp;AE_w_WORK!D123</f>
        <v>0xFFFF</v>
      </c>
      <c r="J124" s="41">
        <v>40473</v>
      </c>
      <c r="K124" s="42"/>
      <c r="M124" s="179"/>
      <c r="N124" s="179"/>
    </row>
    <row r="125" spans="1:14" ht="12" hidden="1" customHeight="1" outlineLevel="1">
      <c r="A125" s="13"/>
      <c r="B125" s="178">
        <v>119</v>
      </c>
      <c r="C125" s="44"/>
      <c r="D125" s="45"/>
      <c r="E125" s="39" t="s">
        <v>325</v>
      </c>
      <c r="F125" s="180" t="s">
        <v>549</v>
      </c>
      <c r="G125" s="40" t="s">
        <v>2</v>
      </c>
      <c r="H125" s="46" t="s">
        <v>3</v>
      </c>
      <c r="I125" s="51" t="str">
        <f>"0x"&amp;AE_w_WORK!D124</f>
        <v>0xFFFF</v>
      </c>
      <c r="J125" s="41">
        <v>40473</v>
      </c>
      <c r="K125" s="42"/>
      <c r="M125" s="179"/>
      <c r="N125" s="179"/>
    </row>
    <row r="126" spans="1:14" ht="12" hidden="1" customHeight="1" outlineLevel="1">
      <c r="A126" s="13"/>
      <c r="B126" s="178">
        <v>120</v>
      </c>
      <c r="C126" s="44"/>
      <c r="D126" s="45"/>
      <c r="E126" s="39" t="s">
        <v>325</v>
      </c>
      <c r="F126" s="180" t="s">
        <v>550</v>
      </c>
      <c r="G126" s="40" t="s">
        <v>4</v>
      </c>
      <c r="H126" s="46" t="s">
        <v>5</v>
      </c>
      <c r="I126" s="51" t="str">
        <f>"0x"&amp;AE_w_WORK!D125</f>
        <v>0xFFFF</v>
      </c>
      <c r="J126" s="41">
        <v>40473</v>
      </c>
      <c r="K126" s="42"/>
      <c r="M126" s="179"/>
      <c r="N126" s="179"/>
    </row>
    <row r="127" spans="1:14" ht="12" hidden="1" customHeight="1" outlineLevel="1">
      <c r="A127" s="13"/>
      <c r="B127" s="178">
        <v>121</v>
      </c>
      <c r="C127" s="44"/>
      <c r="D127" s="45"/>
      <c r="E127" s="39" t="s">
        <v>325</v>
      </c>
      <c r="F127" s="180" t="s">
        <v>551</v>
      </c>
      <c r="G127" s="40" t="s">
        <v>6</v>
      </c>
      <c r="H127" s="46" t="s">
        <v>7</v>
      </c>
      <c r="I127" s="51" t="str">
        <f>"0x"&amp;AE_w_WORK!D126</f>
        <v>0xFFFF</v>
      </c>
      <c r="J127" s="41">
        <v>40473</v>
      </c>
      <c r="K127" s="42"/>
      <c r="M127" s="179"/>
      <c r="N127" s="179"/>
    </row>
    <row r="128" spans="1:14" ht="12" hidden="1" customHeight="1" outlineLevel="1">
      <c r="A128" s="13"/>
      <c r="B128" s="178">
        <v>122</v>
      </c>
      <c r="C128" s="44"/>
      <c r="D128" s="45"/>
      <c r="E128" s="39" t="s">
        <v>325</v>
      </c>
      <c r="F128" s="180" t="s">
        <v>552</v>
      </c>
      <c r="G128" s="40" t="s">
        <v>8</v>
      </c>
      <c r="H128" s="46" t="s">
        <v>9</v>
      </c>
      <c r="I128" s="51" t="str">
        <f>"0x"&amp;AE_w_WORK!D127</f>
        <v>0xFFFF</v>
      </c>
      <c r="J128" s="41">
        <v>40473</v>
      </c>
      <c r="K128" s="42"/>
      <c r="M128" s="179"/>
      <c r="N128" s="179"/>
    </row>
    <row r="129" spans="1:14" ht="12" hidden="1" customHeight="1" outlineLevel="1">
      <c r="A129" s="13"/>
      <c r="B129" s="178">
        <v>123</v>
      </c>
      <c r="C129" s="44"/>
      <c r="D129" s="45"/>
      <c r="E129" s="39" t="s">
        <v>325</v>
      </c>
      <c r="F129" s="180" t="s">
        <v>553</v>
      </c>
      <c r="G129" s="40" t="s">
        <v>10</v>
      </c>
      <c r="H129" s="46" t="s">
        <v>11</v>
      </c>
      <c r="I129" s="51" t="str">
        <f>"0x"&amp;AE_w_WORK!D128</f>
        <v>0xFFFF</v>
      </c>
      <c r="J129" s="41">
        <v>40473</v>
      </c>
      <c r="K129" s="42"/>
      <c r="M129" s="179"/>
      <c r="N129" s="179"/>
    </row>
    <row r="130" spans="1:14" ht="12" hidden="1" customHeight="1" outlineLevel="1">
      <c r="A130" s="13"/>
      <c r="B130" s="178">
        <v>124</v>
      </c>
      <c r="C130" s="44"/>
      <c r="D130" s="45"/>
      <c r="E130" s="39" t="s">
        <v>325</v>
      </c>
      <c r="F130" s="180" t="s">
        <v>554</v>
      </c>
      <c r="G130" s="40" t="s">
        <v>12</v>
      </c>
      <c r="H130" s="46" t="s">
        <v>13</v>
      </c>
      <c r="I130" s="51" t="str">
        <f>"0x"&amp;AE_w_WORK!D129</f>
        <v>0xFFFF</v>
      </c>
      <c r="J130" s="41">
        <v>40473</v>
      </c>
      <c r="K130" s="42"/>
      <c r="M130" s="179"/>
      <c r="N130" s="179"/>
    </row>
    <row r="131" spans="1:14" ht="12" hidden="1" customHeight="1" outlineLevel="1">
      <c r="A131" s="13"/>
      <c r="B131" s="178">
        <v>125</v>
      </c>
      <c r="C131" s="44"/>
      <c r="D131" s="45"/>
      <c r="E131" s="39" t="s">
        <v>325</v>
      </c>
      <c r="F131" s="180" t="s">
        <v>555</v>
      </c>
      <c r="G131" s="40" t="s">
        <v>14</v>
      </c>
      <c r="H131" s="46" t="s">
        <v>15</v>
      </c>
      <c r="I131" s="51" t="str">
        <f>"0x"&amp;AE_w_WORK!D130</f>
        <v>0xFFFF</v>
      </c>
      <c r="J131" s="41">
        <v>40473</v>
      </c>
      <c r="K131" s="42"/>
      <c r="M131" s="179"/>
      <c r="N131" s="179"/>
    </row>
    <row r="132" spans="1:14" ht="12" hidden="1" customHeight="1" outlineLevel="1">
      <c r="A132" s="13"/>
      <c r="B132" s="178">
        <v>126</v>
      </c>
      <c r="C132" s="44"/>
      <c r="D132" s="45"/>
      <c r="E132" s="39" t="s">
        <v>325</v>
      </c>
      <c r="F132" s="180" t="s">
        <v>556</v>
      </c>
      <c r="G132" s="40" t="s">
        <v>16</v>
      </c>
      <c r="H132" s="46" t="s">
        <v>17</v>
      </c>
      <c r="I132" s="51" t="str">
        <f>"0x"&amp;AE_w_WORK!D131</f>
        <v>0xFFFF</v>
      </c>
      <c r="J132" s="41">
        <v>40473</v>
      </c>
      <c r="K132" s="42"/>
      <c r="M132" s="179"/>
      <c r="N132" s="179"/>
    </row>
    <row r="133" spans="1:14" ht="12" hidden="1" customHeight="1" outlineLevel="1">
      <c r="A133" s="13"/>
      <c r="B133" s="178">
        <v>127</v>
      </c>
      <c r="C133" s="44"/>
      <c r="D133" s="45"/>
      <c r="E133" s="39" t="s">
        <v>325</v>
      </c>
      <c r="F133" s="180" t="s">
        <v>557</v>
      </c>
      <c r="G133" s="40" t="s">
        <v>18</v>
      </c>
      <c r="H133" s="46" t="s">
        <v>19</v>
      </c>
      <c r="I133" s="51" t="str">
        <f>"0x"&amp;AE_w_WORK!D132</f>
        <v>0xFFFF</v>
      </c>
      <c r="J133" s="41">
        <v>40473</v>
      </c>
      <c r="K133" s="42"/>
      <c r="M133" s="179"/>
      <c r="N133" s="179"/>
    </row>
    <row r="134" spans="1:14" ht="12" hidden="1" customHeight="1" outlineLevel="1">
      <c r="A134" s="13"/>
      <c r="B134" s="178">
        <v>128</v>
      </c>
      <c r="C134" s="44"/>
      <c r="D134" s="45"/>
      <c r="E134" s="39" t="s">
        <v>325</v>
      </c>
      <c r="F134" s="180" t="s">
        <v>558</v>
      </c>
      <c r="G134" s="40" t="s">
        <v>20</v>
      </c>
      <c r="H134" s="46" t="s">
        <v>21</v>
      </c>
      <c r="I134" s="51" t="str">
        <f>"0x"&amp;AE_w_WORK!D133</f>
        <v>0xFFFF</v>
      </c>
      <c r="J134" s="41">
        <v>40473</v>
      </c>
      <c r="K134" s="42"/>
      <c r="M134" s="179"/>
      <c r="N134" s="179"/>
    </row>
    <row r="135" spans="1:14" ht="12" customHeight="1" collapsed="1">
      <c r="A135" s="13"/>
      <c r="B135" s="178">
        <v>129</v>
      </c>
      <c r="C135" s="44"/>
      <c r="D135" s="45"/>
      <c r="E135" s="39" t="s">
        <v>325</v>
      </c>
      <c r="F135" s="180" t="s">
        <v>559</v>
      </c>
      <c r="G135" s="40" t="s">
        <v>79</v>
      </c>
      <c r="H135" s="46" t="s">
        <v>80</v>
      </c>
      <c r="I135" s="51" t="str">
        <f>"0x"&amp;AE_w_WORK!E6</f>
        <v>0x0000</v>
      </c>
      <c r="J135" s="41">
        <v>40473</v>
      </c>
      <c r="K135" s="42" t="s">
        <v>334</v>
      </c>
      <c r="M135" s="179"/>
      <c r="N135" s="179"/>
    </row>
    <row r="136" spans="1:14" ht="12" hidden="1" customHeight="1" outlineLevel="1">
      <c r="A136" s="13"/>
      <c r="B136" s="178">
        <v>130</v>
      </c>
      <c r="C136" s="44"/>
      <c r="D136" s="45"/>
      <c r="E136" s="39" t="s">
        <v>325</v>
      </c>
      <c r="F136" s="180" t="s">
        <v>560</v>
      </c>
      <c r="G136" s="40" t="s">
        <v>77</v>
      </c>
      <c r="H136" s="46" t="s">
        <v>78</v>
      </c>
      <c r="I136" s="51" t="str">
        <f>"0x"&amp;AE_w_WORK!E7</f>
        <v>0x0000</v>
      </c>
      <c r="J136" s="41">
        <v>40473</v>
      </c>
      <c r="K136" s="42"/>
      <c r="M136" s="179"/>
      <c r="N136" s="179"/>
    </row>
    <row r="137" spans="1:14" ht="12" hidden="1" customHeight="1" outlineLevel="1">
      <c r="A137" s="13"/>
      <c r="B137" s="178">
        <v>131</v>
      </c>
      <c r="C137" s="44"/>
      <c r="D137" s="45"/>
      <c r="E137" s="39" t="s">
        <v>325</v>
      </c>
      <c r="F137" s="180" t="s">
        <v>561</v>
      </c>
      <c r="G137" s="40" t="s">
        <v>22</v>
      </c>
      <c r="H137" s="46" t="s">
        <v>23</v>
      </c>
      <c r="I137" s="51" t="str">
        <f>"0x"&amp;AE_w_WORK!E8</f>
        <v>0x0000</v>
      </c>
      <c r="J137" s="41">
        <v>40473</v>
      </c>
      <c r="K137" s="42"/>
      <c r="M137" s="179"/>
      <c r="N137" s="179"/>
    </row>
    <row r="138" spans="1:14" ht="12" hidden="1" customHeight="1" outlineLevel="1">
      <c r="A138" s="13"/>
      <c r="B138" s="178">
        <v>132</v>
      </c>
      <c r="C138" s="44"/>
      <c r="D138" s="45"/>
      <c r="E138" s="39" t="s">
        <v>325</v>
      </c>
      <c r="F138" s="180" t="s">
        <v>562</v>
      </c>
      <c r="G138" s="40" t="s">
        <v>24</v>
      </c>
      <c r="H138" s="46" t="s">
        <v>25</v>
      </c>
      <c r="I138" s="51" t="str">
        <f>"0x"&amp;AE_w_WORK!E9</f>
        <v>0x0000</v>
      </c>
      <c r="J138" s="41">
        <v>40473</v>
      </c>
      <c r="K138" s="42"/>
      <c r="M138" s="179"/>
      <c r="N138" s="179"/>
    </row>
    <row r="139" spans="1:14" ht="12" hidden="1" customHeight="1" outlineLevel="1">
      <c r="A139" s="13"/>
      <c r="B139" s="178">
        <v>133</v>
      </c>
      <c r="C139" s="44"/>
      <c r="D139" s="45"/>
      <c r="E139" s="39" t="s">
        <v>325</v>
      </c>
      <c r="F139" s="180" t="s">
        <v>563</v>
      </c>
      <c r="G139" s="40" t="s">
        <v>26</v>
      </c>
      <c r="H139" s="46" t="s">
        <v>27</v>
      </c>
      <c r="I139" s="51" t="str">
        <f>"0x"&amp;AE_w_WORK!E10</f>
        <v>0x0000</v>
      </c>
      <c r="J139" s="41">
        <v>40473</v>
      </c>
      <c r="K139" s="42"/>
      <c r="M139" s="179"/>
      <c r="N139" s="179"/>
    </row>
    <row r="140" spans="1:14" ht="12" hidden="1" customHeight="1" outlineLevel="1">
      <c r="A140" s="13"/>
      <c r="B140" s="178">
        <v>134</v>
      </c>
      <c r="C140" s="44"/>
      <c r="D140" s="45"/>
      <c r="E140" s="39" t="s">
        <v>325</v>
      </c>
      <c r="F140" s="180" t="s">
        <v>564</v>
      </c>
      <c r="G140" s="40" t="s">
        <v>28</v>
      </c>
      <c r="H140" s="46" t="s">
        <v>29</v>
      </c>
      <c r="I140" s="51" t="str">
        <f>"0x"&amp;AE_w_WORK!E11</f>
        <v>0x0000</v>
      </c>
      <c r="J140" s="41">
        <v>40473</v>
      </c>
      <c r="K140" s="42"/>
      <c r="M140" s="179"/>
      <c r="N140" s="179"/>
    </row>
    <row r="141" spans="1:14" ht="12" hidden="1" customHeight="1" outlineLevel="1">
      <c r="A141" s="13"/>
      <c r="B141" s="178">
        <v>135</v>
      </c>
      <c r="C141" s="44"/>
      <c r="D141" s="45"/>
      <c r="E141" s="39" t="s">
        <v>325</v>
      </c>
      <c r="F141" s="180" t="s">
        <v>565</v>
      </c>
      <c r="G141" s="40" t="s">
        <v>30</v>
      </c>
      <c r="H141" s="46" t="s">
        <v>31</v>
      </c>
      <c r="I141" s="51" t="str">
        <f>"0x"&amp;AE_w_WORK!E12</f>
        <v>0x0000</v>
      </c>
      <c r="J141" s="41">
        <v>40473</v>
      </c>
      <c r="K141" s="42"/>
      <c r="M141" s="179"/>
      <c r="N141" s="179"/>
    </row>
    <row r="142" spans="1:14" ht="12" hidden="1" customHeight="1" outlineLevel="1">
      <c r="A142" s="13"/>
      <c r="B142" s="178">
        <v>136</v>
      </c>
      <c r="C142" s="44"/>
      <c r="D142" s="45"/>
      <c r="E142" s="39" t="s">
        <v>325</v>
      </c>
      <c r="F142" s="180" t="s">
        <v>566</v>
      </c>
      <c r="G142" s="40" t="s">
        <v>32</v>
      </c>
      <c r="H142" s="46" t="s">
        <v>33</v>
      </c>
      <c r="I142" s="51" t="str">
        <f>"0x"&amp;AE_w_WORK!E13</f>
        <v>0x0000</v>
      </c>
      <c r="J142" s="41">
        <v>40473</v>
      </c>
      <c r="K142" s="42"/>
      <c r="M142" s="179"/>
      <c r="N142" s="179"/>
    </row>
    <row r="143" spans="1:14" ht="12" hidden="1" customHeight="1" outlineLevel="1">
      <c r="A143" s="13"/>
      <c r="B143" s="178">
        <v>137</v>
      </c>
      <c r="C143" s="44"/>
      <c r="D143" s="45"/>
      <c r="E143" s="39" t="s">
        <v>325</v>
      </c>
      <c r="F143" s="180" t="s">
        <v>567</v>
      </c>
      <c r="G143" s="40" t="s">
        <v>34</v>
      </c>
      <c r="H143" s="46" t="s">
        <v>35</v>
      </c>
      <c r="I143" s="51" t="str">
        <f>"0x"&amp;AE_w_WORK!E14</f>
        <v>0x0000</v>
      </c>
      <c r="J143" s="41">
        <v>40473</v>
      </c>
      <c r="K143" s="42"/>
      <c r="M143" s="179"/>
      <c r="N143" s="179"/>
    </row>
    <row r="144" spans="1:14" ht="12" hidden="1" customHeight="1" outlineLevel="1">
      <c r="A144" s="13"/>
      <c r="B144" s="178">
        <v>138</v>
      </c>
      <c r="C144" s="44"/>
      <c r="D144" s="45"/>
      <c r="E144" s="39" t="s">
        <v>325</v>
      </c>
      <c r="F144" s="180" t="s">
        <v>568</v>
      </c>
      <c r="G144" s="40" t="s">
        <v>36</v>
      </c>
      <c r="H144" s="46" t="s">
        <v>37</v>
      </c>
      <c r="I144" s="51" t="str">
        <f>"0x"&amp;AE_w_WORK!E15</f>
        <v>0x0000</v>
      </c>
      <c r="J144" s="41">
        <v>40473</v>
      </c>
      <c r="K144" s="42"/>
      <c r="M144" s="179"/>
      <c r="N144" s="179"/>
    </row>
    <row r="145" spans="1:14" ht="12" hidden="1" customHeight="1" outlineLevel="1">
      <c r="A145" s="13"/>
      <c r="B145" s="178">
        <v>139</v>
      </c>
      <c r="C145" s="44"/>
      <c r="D145" s="45"/>
      <c r="E145" s="39" t="s">
        <v>325</v>
      </c>
      <c r="F145" s="180" t="s">
        <v>569</v>
      </c>
      <c r="G145" s="40" t="s">
        <v>38</v>
      </c>
      <c r="H145" s="46" t="s">
        <v>39</v>
      </c>
      <c r="I145" s="51" t="str">
        <f>"0x"&amp;AE_w_WORK!E16</f>
        <v>0x0000</v>
      </c>
      <c r="J145" s="41">
        <v>40473</v>
      </c>
      <c r="K145" s="42"/>
      <c r="M145" s="179"/>
      <c r="N145" s="179"/>
    </row>
    <row r="146" spans="1:14" ht="12" hidden="1" customHeight="1" outlineLevel="1">
      <c r="A146" s="13"/>
      <c r="B146" s="178">
        <v>140</v>
      </c>
      <c r="C146" s="44"/>
      <c r="D146" s="45"/>
      <c r="E146" s="39" t="s">
        <v>325</v>
      </c>
      <c r="F146" s="180" t="s">
        <v>570</v>
      </c>
      <c r="G146" s="40" t="s">
        <v>40</v>
      </c>
      <c r="H146" s="46" t="s">
        <v>41</v>
      </c>
      <c r="I146" s="51" t="str">
        <f>"0x"&amp;AE_w_WORK!E17</f>
        <v>0x0000</v>
      </c>
      <c r="J146" s="41">
        <v>40473</v>
      </c>
      <c r="K146" s="42"/>
      <c r="M146" s="179"/>
      <c r="N146" s="179"/>
    </row>
    <row r="147" spans="1:14" ht="12" hidden="1" customHeight="1" outlineLevel="1">
      <c r="A147" s="13"/>
      <c r="B147" s="178">
        <v>141</v>
      </c>
      <c r="C147" s="44"/>
      <c r="D147" s="45"/>
      <c r="E147" s="39" t="s">
        <v>325</v>
      </c>
      <c r="F147" s="180" t="s">
        <v>571</v>
      </c>
      <c r="G147" s="40" t="s">
        <v>42</v>
      </c>
      <c r="H147" s="46" t="s">
        <v>43</v>
      </c>
      <c r="I147" s="51" t="str">
        <f>"0x"&amp;AE_w_WORK!E18</f>
        <v>0x0000</v>
      </c>
      <c r="J147" s="41">
        <v>40473</v>
      </c>
      <c r="K147" s="42"/>
      <c r="M147" s="179"/>
      <c r="N147" s="179"/>
    </row>
    <row r="148" spans="1:14" ht="12" hidden="1" customHeight="1" outlineLevel="1">
      <c r="A148" s="13"/>
      <c r="B148" s="178">
        <v>142</v>
      </c>
      <c r="C148" s="44"/>
      <c r="D148" s="45"/>
      <c r="E148" s="39" t="s">
        <v>325</v>
      </c>
      <c r="F148" s="180" t="s">
        <v>572</v>
      </c>
      <c r="G148" s="40" t="s">
        <v>44</v>
      </c>
      <c r="H148" s="46" t="s">
        <v>45</v>
      </c>
      <c r="I148" s="51" t="str">
        <f>"0x"&amp;AE_w_WORK!E19</f>
        <v>0x0000</v>
      </c>
      <c r="J148" s="41">
        <v>40473</v>
      </c>
      <c r="K148" s="42"/>
      <c r="M148" s="179"/>
      <c r="N148" s="179"/>
    </row>
    <row r="149" spans="1:14" ht="12" hidden="1" customHeight="1" outlineLevel="1">
      <c r="A149" s="13"/>
      <c r="B149" s="178">
        <v>143</v>
      </c>
      <c r="C149" s="44"/>
      <c r="D149" s="45"/>
      <c r="E149" s="39" t="s">
        <v>325</v>
      </c>
      <c r="F149" s="180" t="s">
        <v>573</v>
      </c>
      <c r="G149" s="40" t="s">
        <v>46</v>
      </c>
      <c r="H149" s="46" t="s">
        <v>47</v>
      </c>
      <c r="I149" s="51" t="str">
        <f>"0x"&amp;AE_w_WORK!E20</f>
        <v>0x0000</v>
      </c>
      <c r="J149" s="41">
        <v>40473</v>
      </c>
      <c r="K149" s="42"/>
      <c r="M149" s="179"/>
      <c r="N149" s="179"/>
    </row>
    <row r="150" spans="1:14" ht="12" hidden="1" customHeight="1" outlineLevel="1">
      <c r="A150" s="13"/>
      <c r="B150" s="178">
        <v>144</v>
      </c>
      <c r="C150" s="44"/>
      <c r="D150" s="45"/>
      <c r="E150" s="39" t="s">
        <v>325</v>
      </c>
      <c r="F150" s="180" t="s">
        <v>574</v>
      </c>
      <c r="G150" s="40" t="s">
        <v>48</v>
      </c>
      <c r="H150" s="46" t="s">
        <v>49</v>
      </c>
      <c r="I150" s="51" t="str">
        <f>"0x"&amp;AE_w_WORK!E21</f>
        <v>0x0000</v>
      </c>
      <c r="J150" s="41">
        <v>40473</v>
      </c>
      <c r="K150" s="42"/>
      <c r="M150" s="179"/>
      <c r="N150" s="179"/>
    </row>
    <row r="151" spans="1:14" ht="12" hidden="1" customHeight="1" outlineLevel="1">
      <c r="A151" s="13"/>
      <c r="B151" s="178">
        <v>145</v>
      </c>
      <c r="C151" s="44"/>
      <c r="D151" s="45"/>
      <c r="E151" s="39" t="s">
        <v>325</v>
      </c>
      <c r="F151" s="180" t="s">
        <v>575</v>
      </c>
      <c r="G151" s="40" t="s">
        <v>50</v>
      </c>
      <c r="H151" s="46" t="s">
        <v>51</v>
      </c>
      <c r="I151" s="51" t="str">
        <f>"0x"&amp;AE_w_WORK!E22</f>
        <v>0x0000</v>
      </c>
      <c r="J151" s="41">
        <v>40473</v>
      </c>
      <c r="K151" s="42"/>
      <c r="M151" s="179"/>
      <c r="N151" s="179"/>
    </row>
    <row r="152" spans="1:14" ht="12" hidden="1" customHeight="1" outlineLevel="1">
      <c r="A152" s="13"/>
      <c r="B152" s="178">
        <v>146</v>
      </c>
      <c r="C152" s="44"/>
      <c r="D152" s="45"/>
      <c r="E152" s="39" t="s">
        <v>325</v>
      </c>
      <c r="F152" s="180" t="s">
        <v>576</v>
      </c>
      <c r="G152" s="40" t="s">
        <v>52</v>
      </c>
      <c r="H152" s="46" t="s">
        <v>53</v>
      </c>
      <c r="I152" s="51" t="str">
        <f>"0x"&amp;AE_w_WORK!E23</f>
        <v>0x0000</v>
      </c>
      <c r="J152" s="41">
        <v>40473</v>
      </c>
      <c r="K152" s="42"/>
      <c r="M152" s="179"/>
      <c r="N152" s="179"/>
    </row>
    <row r="153" spans="1:14" ht="12" hidden="1" customHeight="1" outlineLevel="1">
      <c r="A153" s="13"/>
      <c r="B153" s="178">
        <v>147</v>
      </c>
      <c r="C153" s="44"/>
      <c r="D153" s="45"/>
      <c r="E153" s="39" t="s">
        <v>325</v>
      </c>
      <c r="F153" s="180" t="s">
        <v>577</v>
      </c>
      <c r="G153" s="40" t="s">
        <v>54</v>
      </c>
      <c r="H153" s="46" t="s">
        <v>55</v>
      </c>
      <c r="I153" s="51" t="str">
        <f>"0x"&amp;AE_w_WORK!E24</f>
        <v>0x0000</v>
      </c>
      <c r="J153" s="41">
        <v>40473</v>
      </c>
      <c r="K153" s="42"/>
      <c r="M153" s="179"/>
      <c r="N153" s="179"/>
    </row>
    <row r="154" spans="1:14" ht="12" hidden="1" customHeight="1" outlineLevel="1">
      <c r="A154" s="13"/>
      <c r="B154" s="178">
        <v>148</v>
      </c>
      <c r="C154" s="44"/>
      <c r="D154" s="45"/>
      <c r="E154" s="39" t="s">
        <v>325</v>
      </c>
      <c r="F154" s="180" t="s">
        <v>578</v>
      </c>
      <c r="G154" s="40" t="s">
        <v>56</v>
      </c>
      <c r="H154" s="46" t="s">
        <v>57</v>
      </c>
      <c r="I154" s="51" t="str">
        <f>"0x"&amp;AE_w_WORK!E25</f>
        <v>0x0000</v>
      </c>
      <c r="J154" s="41">
        <v>40473</v>
      </c>
      <c r="K154" s="42"/>
      <c r="M154" s="179"/>
      <c r="N154" s="179"/>
    </row>
    <row r="155" spans="1:14" ht="12" hidden="1" customHeight="1" outlineLevel="1">
      <c r="A155" s="13"/>
      <c r="B155" s="178">
        <v>149</v>
      </c>
      <c r="C155" s="44"/>
      <c r="D155" s="45"/>
      <c r="E155" s="39" t="s">
        <v>325</v>
      </c>
      <c r="F155" s="180" t="s">
        <v>579</v>
      </c>
      <c r="G155" s="40" t="s">
        <v>58</v>
      </c>
      <c r="H155" s="46" t="s">
        <v>59</v>
      </c>
      <c r="I155" s="51" t="str">
        <f>"0x"&amp;AE_w_WORK!E26</f>
        <v>0x0000</v>
      </c>
      <c r="J155" s="41">
        <v>40473</v>
      </c>
      <c r="K155" s="42"/>
      <c r="M155" s="179"/>
      <c r="N155" s="179"/>
    </row>
    <row r="156" spans="1:14" ht="12" hidden="1" customHeight="1" outlineLevel="1">
      <c r="A156" s="13"/>
      <c r="B156" s="178">
        <v>150</v>
      </c>
      <c r="C156" s="44"/>
      <c r="D156" s="45"/>
      <c r="E156" s="39" t="s">
        <v>325</v>
      </c>
      <c r="F156" s="180" t="s">
        <v>580</v>
      </c>
      <c r="G156" s="40" t="s">
        <v>60</v>
      </c>
      <c r="H156" s="46" t="s">
        <v>61</v>
      </c>
      <c r="I156" s="51" t="str">
        <f>"0x"&amp;AE_w_WORK!E27</f>
        <v>0x0000</v>
      </c>
      <c r="J156" s="41">
        <v>40473</v>
      </c>
      <c r="K156" s="42"/>
      <c r="M156" s="179"/>
      <c r="N156" s="179"/>
    </row>
    <row r="157" spans="1:14" ht="12" hidden="1" customHeight="1" outlineLevel="1">
      <c r="A157" s="13"/>
      <c r="B157" s="178">
        <v>151</v>
      </c>
      <c r="C157" s="44"/>
      <c r="D157" s="45"/>
      <c r="E157" s="39" t="s">
        <v>325</v>
      </c>
      <c r="F157" s="180" t="s">
        <v>581</v>
      </c>
      <c r="G157" s="40" t="s">
        <v>62</v>
      </c>
      <c r="H157" s="46" t="s">
        <v>63</v>
      </c>
      <c r="I157" s="51" t="str">
        <f>"0x"&amp;AE_w_WORK!E28</f>
        <v>0x0000</v>
      </c>
      <c r="J157" s="41">
        <v>40473</v>
      </c>
      <c r="K157" s="42"/>
      <c r="M157" s="179"/>
      <c r="N157" s="179"/>
    </row>
    <row r="158" spans="1:14" ht="12" hidden="1" customHeight="1" outlineLevel="1">
      <c r="A158" s="13"/>
      <c r="B158" s="178">
        <v>152</v>
      </c>
      <c r="C158" s="44"/>
      <c r="D158" s="45"/>
      <c r="E158" s="39" t="s">
        <v>325</v>
      </c>
      <c r="F158" s="180" t="s">
        <v>582</v>
      </c>
      <c r="G158" s="40" t="s">
        <v>64</v>
      </c>
      <c r="H158" s="46" t="s">
        <v>65</v>
      </c>
      <c r="I158" s="51" t="str">
        <f>"0x"&amp;AE_w_WORK!E29</f>
        <v>0x0000</v>
      </c>
      <c r="J158" s="41">
        <v>40473</v>
      </c>
      <c r="K158" s="42"/>
      <c r="M158" s="179"/>
      <c r="N158" s="179"/>
    </row>
    <row r="159" spans="1:14" ht="12" hidden="1" customHeight="1" outlineLevel="1">
      <c r="A159" s="13"/>
      <c r="B159" s="178">
        <v>153</v>
      </c>
      <c r="C159" s="44"/>
      <c r="D159" s="45"/>
      <c r="E159" s="39" t="s">
        <v>325</v>
      </c>
      <c r="F159" s="180" t="s">
        <v>583</v>
      </c>
      <c r="G159" s="40" t="s">
        <v>66</v>
      </c>
      <c r="H159" s="46" t="s">
        <v>67</v>
      </c>
      <c r="I159" s="51" t="str">
        <f>"0x"&amp;AE_w_WORK!E30</f>
        <v>0x0000</v>
      </c>
      <c r="J159" s="41">
        <v>40473</v>
      </c>
      <c r="K159" s="42"/>
      <c r="M159" s="179"/>
      <c r="N159" s="179"/>
    </row>
    <row r="160" spans="1:14" ht="12" hidden="1" customHeight="1" outlineLevel="1">
      <c r="A160" s="13"/>
      <c r="B160" s="178">
        <v>154</v>
      </c>
      <c r="C160" s="44"/>
      <c r="D160" s="45"/>
      <c r="E160" s="39" t="s">
        <v>325</v>
      </c>
      <c r="F160" s="180" t="s">
        <v>584</v>
      </c>
      <c r="G160" s="40" t="s">
        <v>68</v>
      </c>
      <c r="H160" s="46" t="s">
        <v>69</v>
      </c>
      <c r="I160" s="51" t="str">
        <f>"0x"&amp;AE_w_WORK!E31</f>
        <v>0x0000</v>
      </c>
      <c r="J160" s="41">
        <v>40473</v>
      </c>
      <c r="K160" s="42"/>
      <c r="M160" s="179"/>
      <c r="N160" s="179"/>
    </row>
    <row r="161" spans="1:14" ht="12" hidden="1" customHeight="1" outlineLevel="1">
      <c r="A161" s="13"/>
      <c r="B161" s="178">
        <v>155</v>
      </c>
      <c r="C161" s="44"/>
      <c r="D161" s="45"/>
      <c r="E161" s="39" t="s">
        <v>325</v>
      </c>
      <c r="F161" s="180" t="s">
        <v>585</v>
      </c>
      <c r="G161" s="40" t="s">
        <v>70</v>
      </c>
      <c r="H161" s="46" t="s">
        <v>71</v>
      </c>
      <c r="I161" s="51" t="str">
        <f>"0x"&amp;AE_w_WORK!E32</f>
        <v>0x0000</v>
      </c>
      <c r="J161" s="41">
        <v>40473</v>
      </c>
      <c r="K161" s="42"/>
      <c r="M161" s="179"/>
      <c r="N161" s="179"/>
    </row>
    <row r="162" spans="1:14" ht="12" hidden="1" customHeight="1" outlineLevel="1">
      <c r="A162" s="13"/>
      <c r="B162" s="178">
        <v>156</v>
      </c>
      <c r="C162" s="44"/>
      <c r="D162" s="45"/>
      <c r="E162" s="39" t="s">
        <v>325</v>
      </c>
      <c r="F162" s="180" t="s">
        <v>586</v>
      </c>
      <c r="G162" s="40" t="s">
        <v>72</v>
      </c>
      <c r="H162" s="46" t="s">
        <v>73</v>
      </c>
      <c r="I162" s="51" t="str">
        <f>"0x"&amp;AE_w_WORK!E33</f>
        <v>0x0000</v>
      </c>
      <c r="J162" s="41">
        <v>40473</v>
      </c>
      <c r="K162" s="42"/>
      <c r="M162" s="179"/>
      <c r="N162" s="179"/>
    </row>
    <row r="163" spans="1:14" ht="12" hidden="1" customHeight="1" outlineLevel="1">
      <c r="A163" s="13"/>
      <c r="B163" s="178">
        <v>157</v>
      </c>
      <c r="C163" s="44"/>
      <c r="D163" s="45"/>
      <c r="E163" s="39" t="s">
        <v>325</v>
      </c>
      <c r="F163" s="180" t="s">
        <v>587</v>
      </c>
      <c r="G163" s="40" t="s">
        <v>74</v>
      </c>
      <c r="H163" s="46" t="s">
        <v>128</v>
      </c>
      <c r="I163" s="51" t="str">
        <f>"0x"&amp;AE_w_WORK!E34</f>
        <v>0x0000</v>
      </c>
      <c r="J163" s="41">
        <v>40473</v>
      </c>
      <c r="K163" s="42"/>
      <c r="M163" s="179"/>
      <c r="N163" s="179"/>
    </row>
    <row r="164" spans="1:14" ht="12" hidden="1" customHeight="1" outlineLevel="1">
      <c r="A164" s="13"/>
      <c r="B164" s="178">
        <v>158</v>
      </c>
      <c r="C164" s="44"/>
      <c r="D164" s="45"/>
      <c r="E164" s="39" t="s">
        <v>325</v>
      </c>
      <c r="F164" s="180" t="s">
        <v>588</v>
      </c>
      <c r="G164" s="40" t="s">
        <v>129</v>
      </c>
      <c r="H164" s="46" t="s">
        <v>130</v>
      </c>
      <c r="I164" s="51" t="str">
        <f>"0x"&amp;AE_w_WORK!E35</f>
        <v>0x0002</v>
      </c>
      <c r="J164" s="41">
        <v>40473</v>
      </c>
      <c r="K164" s="42"/>
      <c r="M164" s="179"/>
      <c r="N164" s="179"/>
    </row>
    <row r="165" spans="1:14" ht="12" hidden="1" customHeight="1" outlineLevel="1">
      <c r="A165" s="13"/>
      <c r="B165" s="178">
        <v>159</v>
      </c>
      <c r="C165" s="44"/>
      <c r="D165" s="45"/>
      <c r="E165" s="39" t="s">
        <v>325</v>
      </c>
      <c r="F165" s="180" t="s">
        <v>589</v>
      </c>
      <c r="G165" s="40" t="s">
        <v>131</v>
      </c>
      <c r="H165" s="46" t="s">
        <v>132</v>
      </c>
      <c r="I165" s="51" t="str">
        <f>"0x"&amp;AE_w_WORK!E36</f>
        <v>0x2000</v>
      </c>
      <c r="J165" s="41">
        <v>40473</v>
      </c>
      <c r="K165" s="42"/>
      <c r="M165" s="179"/>
      <c r="N165" s="179"/>
    </row>
    <row r="166" spans="1:14" ht="12" hidden="1" customHeight="1" outlineLevel="1">
      <c r="A166" s="13"/>
      <c r="B166" s="178">
        <v>160</v>
      </c>
      <c r="C166" s="44"/>
      <c r="D166" s="45"/>
      <c r="E166" s="39" t="s">
        <v>325</v>
      </c>
      <c r="F166" s="180" t="s">
        <v>590</v>
      </c>
      <c r="G166" s="40" t="s">
        <v>133</v>
      </c>
      <c r="H166" s="46" t="s">
        <v>134</v>
      </c>
      <c r="I166" s="51" t="str">
        <f>"0x"&amp;AE_w_WORK!E37</f>
        <v>0x0000</v>
      </c>
      <c r="J166" s="41">
        <v>40473</v>
      </c>
      <c r="K166" s="42"/>
      <c r="M166" s="179"/>
      <c r="N166" s="179"/>
    </row>
    <row r="167" spans="1:14" ht="12" hidden="1" customHeight="1" outlineLevel="1">
      <c r="A167" s="13"/>
      <c r="B167" s="178">
        <v>161</v>
      </c>
      <c r="C167" s="44"/>
      <c r="D167" s="45"/>
      <c r="E167" s="39" t="s">
        <v>325</v>
      </c>
      <c r="F167" s="180" t="s">
        <v>591</v>
      </c>
      <c r="G167" s="40" t="s">
        <v>135</v>
      </c>
      <c r="H167" s="46" t="s">
        <v>136</v>
      </c>
      <c r="I167" s="51" t="str">
        <f>"0x"&amp;AE_w_WORK!E38</f>
        <v>0x0000</v>
      </c>
      <c r="J167" s="41">
        <v>40473</v>
      </c>
      <c r="K167" s="42"/>
      <c r="M167" s="179"/>
      <c r="N167" s="179"/>
    </row>
    <row r="168" spans="1:14" ht="12" hidden="1" customHeight="1" outlineLevel="1">
      <c r="A168" s="13"/>
      <c r="B168" s="178">
        <v>162</v>
      </c>
      <c r="C168" s="44"/>
      <c r="D168" s="45"/>
      <c r="E168" s="39" t="s">
        <v>325</v>
      </c>
      <c r="F168" s="180" t="s">
        <v>592</v>
      </c>
      <c r="G168" s="40" t="s">
        <v>137</v>
      </c>
      <c r="H168" s="46" t="s">
        <v>138</v>
      </c>
      <c r="I168" s="51" t="str">
        <f>"0x"&amp;AE_w_WORK!E39</f>
        <v>0x2223</v>
      </c>
      <c r="J168" s="41">
        <v>40473</v>
      </c>
      <c r="K168" s="42"/>
      <c r="M168" s="179"/>
      <c r="N168" s="179"/>
    </row>
    <row r="169" spans="1:14" ht="12" hidden="1" customHeight="1" outlineLevel="1">
      <c r="A169" s="13"/>
      <c r="B169" s="178">
        <v>163</v>
      </c>
      <c r="C169" s="44"/>
      <c r="D169" s="45"/>
      <c r="E169" s="39" t="s">
        <v>325</v>
      </c>
      <c r="F169" s="180" t="s">
        <v>593</v>
      </c>
      <c r="G169" s="40" t="s">
        <v>139</v>
      </c>
      <c r="H169" s="46" t="s">
        <v>140</v>
      </c>
      <c r="I169" s="51" t="str">
        <f>"0x"&amp;AE_w_WORK!E40</f>
        <v>0x3222</v>
      </c>
      <c r="J169" s="41">
        <v>40473</v>
      </c>
      <c r="K169" s="42"/>
      <c r="M169" s="179"/>
      <c r="N169" s="179"/>
    </row>
    <row r="170" spans="1:14" ht="12" hidden="1" customHeight="1" outlineLevel="1">
      <c r="A170" s="13"/>
      <c r="B170" s="178">
        <v>164</v>
      </c>
      <c r="C170" s="44"/>
      <c r="D170" s="45"/>
      <c r="E170" s="39" t="s">
        <v>325</v>
      </c>
      <c r="F170" s="180" t="s">
        <v>594</v>
      </c>
      <c r="G170" s="40" t="s">
        <v>141</v>
      </c>
      <c r="H170" s="46" t="s">
        <v>142</v>
      </c>
      <c r="I170" s="51" t="str">
        <f>"0x"&amp;AE_w_WORK!E41</f>
        <v>0x0000</v>
      </c>
      <c r="J170" s="41">
        <v>40473</v>
      </c>
      <c r="K170" s="42"/>
      <c r="M170" s="179"/>
      <c r="N170" s="179"/>
    </row>
    <row r="171" spans="1:14" ht="12" hidden="1" customHeight="1" outlineLevel="1">
      <c r="A171" s="13"/>
      <c r="B171" s="178">
        <v>165</v>
      </c>
      <c r="C171" s="44"/>
      <c r="D171" s="45"/>
      <c r="E171" s="39" t="s">
        <v>325</v>
      </c>
      <c r="F171" s="180" t="s">
        <v>595</v>
      </c>
      <c r="G171" s="40" t="s">
        <v>143</v>
      </c>
      <c r="H171" s="46" t="s">
        <v>144</v>
      </c>
      <c r="I171" s="51" t="str">
        <f>"0x"&amp;AE_w_WORK!E42</f>
        <v>0x0000</v>
      </c>
      <c r="J171" s="41">
        <v>40473</v>
      </c>
      <c r="K171" s="42"/>
      <c r="M171" s="179"/>
      <c r="N171" s="179"/>
    </row>
    <row r="172" spans="1:14" ht="12" hidden="1" customHeight="1" outlineLevel="1">
      <c r="A172" s="13"/>
      <c r="B172" s="178">
        <v>166</v>
      </c>
      <c r="C172" s="44"/>
      <c r="D172" s="45"/>
      <c r="E172" s="39" t="s">
        <v>325</v>
      </c>
      <c r="F172" s="180" t="s">
        <v>596</v>
      </c>
      <c r="G172" s="40" t="s">
        <v>145</v>
      </c>
      <c r="H172" s="46" t="s">
        <v>146</v>
      </c>
      <c r="I172" s="51" t="str">
        <f>"0x"&amp;AE_w_WORK!E43</f>
        <v>0x2233</v>
      </c>
      <c r="J172" s="41">
        <v>40473</v>
      </c>
      <c r="K172" s="42"/>
      <c r="M172" s="179"/>
      <c r="N172" s="179"/>
    </row>
    <row r="173" spans="1:14" ht="12" hidden="1" customHeight="1" outlineLevel="1">
      <c r="A173" s="13"/>
      <c r="B173" s="178">
        <v>167</v>
      </c>
      <c r="C173" s="44"/>
      <c r="D173" s="45"/>
      <c r="E173" s="39" t="s">
        <v>325</v>
      </c>
      <c r="F173" s="180" t="s">
        <v>597</v>
      </c>
      <c r="G173" s="40" t="s">
        <v>147</v>
      </c>
      <c r="H173" s="46" t="s">
        <v>148</v>
      </c>
      <c r="I173" s="51" t="str">
        <f>"0x"&amp;AE_w_WORK!E44</f>
        <v>0x3322</v>
      </c>
      <c r="J173" s="41">
        <v>40473</v>
      </c>
      <c r="K173" s="42"/>
      <c r="M173" s="179"/>
      <c r="N173" s="179"/>
    </row>
    <row r="174" spans="1:14" ht="12" hidden="1" customHeight="1" outlineLevel="1">
      <c r="A174" s="13"/>
      <c r="B174" s="178">
        <v>168</v>
      </c>
      <c r="C174" s="44"/>
      <c r="D174" s="45"/>
      <c r="E174" s="39" t="s">
        <v>325</v>
      </c>
      <c r="F174" s="180" t="s">
        <v>598</v>
      </c>
      <c r="G174" s="40" t="s">
        <v>149</v>
      </c>
      <c r="H174" s="46" t="s">
        <v>150</v>
      </c>
      <c r="I174" s="51" t="str">
        <f>"0x"&amp;AE_w_WORK!E45</f>
        <v>0x0000</v>
      </c>
      <c r="J174" s="41">
        <v>40473</v>
      </c>
      <c r="K174" s="42"/>
      <c r="M174" s="179"/>
      <c r="N174" s="179"/>
    </row>
    <row r="175" spans="1:14" ht="12" hidden="1" customHeight="1" outlineLevel="1">
      <c r="A175" s="13"/>
      <c r="B175" s="178">
        <v>169</v>
      </c>
      <c r="C175" s="44"/>
      <c r="D175" s="45"/>
      <c r="E175" s="39" t="s">
        <v>325</v>
      </c>
      <c r="F175" s="180" t="s">
        <v>599</v>
      </c>
      <c r="G175" s="40" t="s">
        <v>151</v>
      </c>
      <c r="H175" s="46" t="s">
        <v>152</v>
      </c>
      <c r="I175" s="51" t="str">
        <f>"0x"&amp;AE_w_WORK!E46</f>
        <v>0x0000</v>
      </c>
      <c r="J175" s="41">
        <v>40473</v>
      </c>
      <c r="K175" s="42"/>
      <c r="M175" s="179"/>
      <c r="N175" s="179"/>
    </row>
    <row r="176" spans="1:14" ht="12" hidden="1" customHeight="1" outlineLevel="1">
      <c r="A176" s="13"/>
      <c r="B176" s="178">
        <v>170</v>
      </c>
      <c r="C176" s="44"/>
      <c r="D176" s="45"/>
      <c r="E176" s="39" t="s">
        <v>325</v>
      </c>
      <c r="F176" s="180" t="s">
        <v>600</v>
      </c>
      <c r="G176" s="40" t="s">
        <v>153</v>
      </c>
      <c r="H176" s="46" t="s">
        <v>154</v>
      </c>
      <c r="I176" s="51" t="str">
        <f>"0x"&amp;AE_w_WORK!E47</f>
        <v>0x2333</v>
      </c>
      <c r="J176" s="41">
        <v>40473</v>
      </c>
      <c r="K176" s="42"/>
      <c r="M176" s="179"/>
      <c r="N176" s="179"/>
    </row>
    <row r="177" spans="1:14" ht="12" hidden="1" customHeight="1" outlineLevel="1">
      <c r="A177" s="13"/>
      <c r="B177" s="178">
        <v>171</v>
      </c>
      <c r="C177" s="44"/>
      <c r="D177" s="45"/>
      <c r="E177" s="39" t="s">
        <v>325</v>
      </c>
      <c r="F177" s="180" t="s">
        <v>601</v>
      </c>
      <c r="G177" s="40" t="s">
        <v>155</v>
      </c>
      <c r="H177" s="46" t="s">
        <v>156</v>
      </c>
      <c r="I177" s="51" t="str">
        <f>"0x"&amp;AE_w_WORK!E48</f>
        <v>0x3332</v>
      </c>
      <c r="J177" s="41">
        <v>40473</v>
      </c>
      <c r="K177" s="42"/>
      <c r="M177" s="179"/>
      <c r="N177" s="179"/>
    </row>
    <row r="178" spans="1:14" ht="12" hidden="1" customHeight="1" outlineLevel="1">
      <c r="A178" s="13"/>
      <c r="B178" s="178">
        <v>172</v>
      </c>
      <c r="C178" s="44"/>
      <c r="D178" s="45"/>
      <c r="E178" s="39" t="s">
        <v>325</v>
      </c>
      <c r="F178" s="180" t="s">
        <v>602</v>
      </c>
      <c r="G178" s="40" t="s">
        <v>157</v>
      </c>
      <c r="H178" s="46" t="s">
        <v>158</v>
      </c>
      <c r="I178" s="51" t="str">
        <f>"0x"&amp;AE_w_WORK!E49</f>
        <v>0x0000</v>
      </c>
      <c r="J178" s="41">
        <v>40473</v>
      </c>
      <c r="K178" s="42"/>
      <c r="M178" s="179"/>
      <c r="N178" s="179"/>
    </row>
    <row r="179" spans="1:14" ht="12" hidden="1" customHeight="1" outlineLevel="1">
      <c r="A179" s="13"/>
      <c r="B179" s="178">
        <v>173</v>
      </c>
      <c r="C179" s="44"/>
      <c r="D179" s="45"/>
      <c r="E179" s="39" t="s">
        <v>325</v>
      </c>
      <c r="F179" s="180" t="s">
        <v>603</v>
      </c>
      <c r="G179" s="40" t="s">
        <v>159</v>
      </c>
      <c r="H179" s="46" t="s">
        <v>160</v>
      </c>
      <c r="I179" s="51" t="str">
        <f>"0x"&amp;AE_w_WORK!E50</f>
        <v>0x0000</v>
      </c>
      <c r="J179" s="41">
        <v>40473</v>
      </c>
      <c r="K179" s="42"/>
      <c r="M179" s="179"/>
      <c r="N179" s="179"/>
    </row>
    <row r="180" spans="1:14" ht="12" hidden="1" customHeight="1" outlineLevel="1">
      <c r="A180" s="13"/>
      <c r="B180" s="178">
        <v>174</v>
      </c>
      <c r="C180" s="44"/>
      <c r="D180" s="45"/>
      <c r="E180" s="39" t="s">
        <v>325</v>
      </c>
      <c r="F180" s="180" t="s">
        <v>604</v>
      </c>
      <c r="G180" s="40" t="s">
        <v>161</v>
      </c>
      <c r="H180" s="46" t="s">
        <v>162</v>
      </c>
      <c r="I180" s="51" t="str">
        <f>"0x"&amp;AE_w_WORK!E51</f>
        <v>0x2333</v>
      </c>
      <c r="J180" s="41">
        <v>40473</v>
      </c>
      <c r="K180" s="42"/>
      <c r="M180" s="179"/>
      <c r="N180" s="179"/>
    </row>
    <row r="181" spans="1:14" ht="12" hidden="1" customHeight="1" outlineLevel="1">
      <c r="A181" s="13"/>
      <c r="B181" s="178">
        <v>175</v>
      </c>
      <c r="C181" s="44"/>
      <c r="D181" s="45"/>
      <c r="E181" s="39" t="s">
        <v>325</v>
      </c>
      <c r="F181" s="180" t="s">
        <v>605</v>
      </c>
      <c r="G181" s="40" t="s">
        <v>163</v>
      </c>
      <c r="H181" s="46" t="s">
        <v>164</v>
      </c>
      <c r="I181" s="51" t="str">
        <f>"0x"&amp;AE_w_WORK!E52</f>
        <v>0x3332</v>
      </c>
      <c r="J181" s="41">
        <v>40473</v>
      </c>
      <c r="K181" s="42"/>
      <c r="M181" s="179"/>
      <c r="N181" s="179"/>
    </row>
    <row r="182" spans="1:14" ht="12" hidden="1" customHeight="1" outlineLevel="1">
      <c r="A182" s="13"/>
      <c r="B182" s="178">
        <v>176</v>
      </c>
      <c r="C182" s="44"/>
      <c r="D182" s="45"/>
      <c r="E182" s="39" t="s">
        <v>325</v>
      </c>
      <c r="F182" s="180" t="s">
        <v>606</v>
      </c>
      <c r="G182" s="40" t="s">
        <v>165</v>
      </c>
      <c r="H182" s="46" t="s">
        <v>166</v>
      </c>
      <c r="I182" s="51" t="str">
        <f>"0x"&amp;AE_w_WORK!E53</f>
        <v>0x0000</v>
      </c>
      <c r="J182" s="41">
        <v>40473</v>
      </c>
      <c r="K182" s="42"/>
      <c r="M182" s="179"/>
      <c r="N182" s="179"/>
    </row>
    <row r="183" spans="1:14" ht="12" hidden="1" customHeight="1" outlineLevel="1">
      <c r="A183" s="13"/>
      <c r="B183" s="178">
        <v>177</v>
      </c>
      <c r="C183" s="44"/>
      <c r="D183" s="45"/>
      <c r="E183" s="39" t="s">
        <v>325</v>
      </c>
      <c r="F183" s="180" t="s">
        <v>607</v>
      </c>
      <c r="G183" s="40" t="s">
        <v>167</v>
      </c>
      <c r="H183" s="46" t="s">
        <v>168</v>
      </c>
      <c r="I183" s="51" t="str">
        <f>"0x"&amp;AE_w_WORK!E54</f>
        <v>0x0000</v>
      </c>
      <c r="J183" s="41">
        <v>40473</v>
      </c>
      <c r="K183" s="42"/>
      <c r="M183" s="179"/>
      <c r="N183" s="179"/>
    </row>
    <row r="184" spans="1:14" ht="12" hidden="1" customHeight="1" outlineLevel="1">
      <c r="A184" s="13"/>
      <c r="B184" s="178">
        <v>178</v>
      </c>
      <c r="C184" s="44"/>
      <c r="D184" s="45"/>
      <c r="E184" s="39" t="s">
        <v>325</v>
      </c>
      <c r="F184" s="180" t="s">
        <v>608</v>
      </c>
      <c r="G184" s="40" t="s">
        <v>169</v>
      </c>
      <c r="H184" s="46" t="s">
        <v>170</v>
      </c>
      <c r="I184" s="51" t="str">
        <f>"0x"&amp;AE_w_WORK!E55</f>
        <v>0x2333</v>
      </c>
      <c r="J184" s="41">
        <v>40473</v>
      </c>
      <c r="K184" s="42"/>
      <c r="M184" s="179"/>
      <c r="N184" s="179"/>
    </row>
    <row r="185" spans="1:14" ht="12" hidden="1" customHeight="1" outlineLevel="1">
      <c r="A185" s="13"/>
      <c r="B185" s="178">
        <v>179</v>
      </c>
      <c r="C185" s="44"/>
      <c r="D185" s="45"/>
      <c r="E185" s="39" t="s">
        <v>325</v>
      </c>
      <c r="F185" s="180" t="s">
        <v>609</v>
      </c>
      <c r="G185" s="40" t="s">
        <v>171</v>
      </c>
      <c r="H185" s="46" t="s">
        <v>172</v>
      </c>
      <c r="I185" s="51" t="str">
        <f>"0x"&amp;AE_w_WORK!E56</f>
        <v>0x3332</v>
      </c>
      <c r="J185" s="41">
        <v>40473</v>
      </c>
      <c r="K185" s="42"/>
      <c r="M185" s="179"/>
      <c r="N185" s="179"/>
    </row>
    <row r="186" spans="1:14" ht="12" hidden="1" customHeight="1" outlineLevel="1">
      <c r="A186" s="13"/>
      <c r="B186" s="178">
        <v>180</v>
      </c>
      <c r="C186" s="44"/>
      <c r="D186" s="45"/>
      <c r="E186" s="39" t="s">
        <v>325</v>
      </c>
      <c r="F186" s="180" t="s">
        <v>610</v>
      </c>
      <c r="G186" s="40" t="s">
        <v>173</v>
      </c>
      <c r="H186" s="46" t="s">
        <v>174</v>
      </c>
      <c r="I186" s="51" t="str">
        <f>"0x"&amp;AE_w_WORK!E57</f>
        <v>0x0000</v>
      </c>
      <c r="J186" s="41">
        <v>40473</v>
      </c>
      <c r="K186" s="42"/>
      <c r="M186" s="179"/>
      <c r="N186" s="179"/>
    </row>
    <row r="187" spans="1:14" ht="12" hidden="1" customHeight="1" outlineLevel="1">
      <c r="A187" s="13"/>
      <c r="B187" s="178">
        <v>181</v>
      </c>
      <c r="C187" s="44"/>
      <c r="D187" s="45"/>
      <c r="E187" s="39" t="s">
        <v>325</v>
      </c>
      <c r="F187" s="180" t="s">
        <v>611</v>
      </c>
      <c r="G187" s="40" t="s">
        <v>175</v>
      </c>
      <c r="H187" s="46" t="s">
        <v>176</v>
      </c>
      <c r="I187" s="51" t="str">
        <f>"0x"&amp;AE_w_WORK!E58</f>
        <v>0x0002</v>
      </c>
      <c r="J187" s="41">
        <v>40473</v>
      </c>
      <c r="K187" s="42"/>
      <c r="M187" s="179"/>
      <c r="N187" s="179"/>
    </row>
    <row r="188" spans="1:14" ht="12" hidden="1" customHeight="1" outlineLevel="1">
      <c r="A188" s="13"/>
      <c r="B188" s="178">
        <v>182</v>
      </c>
      <c r="C188" s="44"/>
      <c r="D188" s="45"/>
      <c r="E188" s="39" t="s">
        <v>325</v>
      </c>
      <c r="F188" s="180" t="s">
        <v>612</v>
      </c>
      <c r="G188" s="40" t="s">
        <v>177</v>
      </c>
      <c r="H188" s="46" t="s">
        <v>178</v>
      </c>
      <c r="I188" s="51" t="str">
        <f>"0x"&amp;AE_w_WORK!E59</f>
        <v>0x3333</v>
      </c>
      <c r="J188" s="41">
        <v>40473</v>
      </c>
      <c r="K188" s="42"/>
      <c r="M188" s="179"/>
      <c r="N188" s="179"/>
    </row>
    <row r="189" spans="1:14" ht="12" hidden="1" customHeight="1" outlineLevel="1">
      <c r="A189" s="13"/>
      <c r="B189" s="178">
        <v>183</v>
      </c>
      <c r="C189" s="44"/>
      <c r="D189" s="45"/>
      <c r="E189" s="39" t="s">
        <v>325</v>
      </c>
      <c r="F189" s="180" t="s">
        <v>613</v>
      </c>
      <c r="G189" s="40" t="s">
        <v>179</v>
      </c>
      <c r="H189" s="46" t="s">
        <v>180</v>
      </c>
      <c r="I189" s="51" t="str">
        <f>"0x"&amp;AE_w_WORK!E60</f>
        <v>0x3333</v>
      </c>
      <c r="J189" s="41">
        <v>40473</v>
      </c>
      <c r="K189" s="42"/>
      <c r="M189" s="179"/>
      <c r="N189" s="179"/>
    </row>
    <row r="190" spans="1:14" ht="12" hidden="1" customHeight="1" outlineLevel="1">
      <c r="A190" s="13"/>
      <c r="B190" s="178">
        <v>184</v>
      </c>
      <c r="C190" s="44"/>
      <c r="D190" s="45"/>
      <c r="E190" s="39" t="s">
        <v>325</v>
      </c>
      <c r="F190" s="180" t="s">
        <v>614</v>
      </c>
      <c r="G190" s="40" t="s">
        <v>181</v>
      </c>
      <c r="H190" s="46" t="s">
        <v>182</v>
      </c>
      <c r="I190" s="51" t="str">
        <f>"0x"&amp;AE_w_WORK!E61</f>
        <v>0x2000</v>
      </c>
      <c r="J190" s="41">
        <v>40473</v>
      </c>
      <c r="K190" s="42"/>
      <c r="M190" s="179"/>
      <c r="N190" s="179"/>
    </row>
    <row r="191" spans="1:14" ht="12" hidden="1" customHeight="1" outlineLevel="1">
      <c r="A191" s="13"/>
      <c r="B191" s="178">
        <v>185</v>
      </c>
      <c r="C191" s="44"/>
      <c r="D191" s="45"/>
      <c r="E191" s="39" t="s">
        <v>325</v>
      </c>
      <c r="F191" s="180" t="s">
        <v>615</v>
      </c>
      <c r="G191" s="40" t="s">
        <v>183</v>
      </c>
      <c r="H191" s="46" t="s">
        <v>184</v>
      </c>
      <c r="I191" s="51" t="str">
        <f>"0x"&amp;AE_w_WORK!E62</f>
        <v>0x0002</v>
      </c>
      <c r="J191" s="41">
        <v>40473</v>
      </c>
      <c r="K191" s="42"/>
      <c r="M191" s="179"/>
      <c r="N191" s="179"/>
    </row>
    <row r="192" spans="1:14" ht="12" hidden="1" customHeight="1" outlineLevel="1">
      <c r="A192" s="13"/>
      <c r="B192" s="178">
        <v>186</v>
      </c>
      <c r="C192" s="44"/>
      <c r="D192" s="45"/>
      <c r="E192" s="39" t="s">
        <v>325</v>
      </c>
      <c r="F192" s="180" t="s">
        <v>616</v>
      </c>
      <c r="G192" s="40" t="s">
        <v>185</v>
      </c>
      <c r="H192" s="46" t="s">
        <v>186</v>
      </c>
      <c r="I192" s="51" t="str">
        <f>"0x"&amp;AE_w_WORK!E63</f>
        <v>0x3333</v>
      </c>
      <c r="J192" s="41">
        <v>40473</v>
      </c>
      <c r="K192" s="42"/>
      <c r="M192" s="179"/>
      <c r="N192" s="179"/>
    </row>
    <row r="193" spans="1:14" ht="12" hidden="1" customHeight="1" outlineLevel="1">
      <c r="A193" s="13"/>
      <c r="B193" s="178">
        <v>187</v>
      </c>
      <c r="C193" s="44"/>
      <c r="D193" s="45"/>
      <c r="E193" s="39" t="s">
        <v>325</v>
      </c>
      <c r="F193" s="180" t="s">
        <v>617</v>
      </c>
      <c r="G193" s="40" t="s">
        <v>187</v>
      </c>
      <c r="H193" s="46" t="s">
        <v>188</v>
      </c>
      <c r="I193" s="51" t="str">
        <f>"0x"&amp;AE_w_WORK!E64</f>
        <v>0x3333</v>
      </c>
      <c r="J193" s="41">
        <v>40473</v>
      </c>
      <c r="K193" s="42"/>
      <c r="M193" s="179"/>
      <c r="N193" s="179"/>
    </row>
    <row r="194" spans="1:14" ht="12" hidden="1" customHeight="1" outlineLevel="1">
      <c r="A194" s="13"/>
      <c r="B194" s="178">
        <v>188</v>
      </c>
      <c r="C194" s="44"/>
      <c r="D194" s="45"/>
      <c r="E194" s="39" t="s">
        <v>325</v>
      </c>
      <c r="F194" s="180" t="s">
        <v>618</v>
      </c>
      <c r="G194" s="40" t="s">
        <v>189</v>
      </c>
      <c r="H194" s="46" t="s">
        <v>190</v>
      </c>
      <c r="I194" s="51" t="str">
        <f>"0x"&amp;AE_w_WORK!E65</f>
        <v>0x2000</v>
      </c>
      <c r="J194" s="41">
        <v>40473</v>
      </c>
      <c r="K194" s="42"/>
      <c r="M194" s="179"/>
      <c r="N194" s="179"/>
    </row>
    <row r="195" spans="1:14" ht="12" hidden="1" customHeight="1" outlineLevel="1">
      <c r="A195" s="13"/>
      <c r="B195" s="178">
        <v>189</v>
      </c>
      <c r="C195" s="44"/>
      <c r="D195" s="45"/>
      <c r="E195" s="39" t="s">
        <v>325</v>
      </c>
      <c r="F195" s="180" t="s">
        <v>619</v>
      </c>
      <c r="G195" s="40" t="s">
        <v>191</v>
      </c>
      <c r="H195" s="46" t="s">
        <v>192</v>
      </c>
      <c r="I195" s="51" t="str">
        <f>"0x"&amp;AE_w_WORK!E66</f>
        <v>0x0002</v>
      </c>
      <c r="J195" s="41">
        <v>40473</v>
      </c>
      <c r="K195" s="42"/>
      <c r="M195" s="179"/>
      <c r="N195" s="179"/>
    </row>
    <row r="196" spans="1:14" ht="12" hidden="1" customHeight="1" outlineLevel="1">
      <c r="A196" s="13"/>
      <c r="B196" s="178">
        <v>190</v>
      </c>
      <c r="C196" s="44"/>
      <c r="D196" s="45"/>
      <c r="E196" s="39" t="s">
        <v>325</v>
      </c>
      <c r="F196" s="180" t="s">
        <v>620</v>
      </c>
      <c r="G196" s="40" t="s">
        <v>193</v>
      </c>
      <c r="H196" s="46" t="s">
        <v>194</v>
      </c>
      <c r="I196" s="51" t="str">
        <f>"0x"&amp;AE_w_WORK!E67</f>
        <v>0x3333</v>
      </c>
      <c r="J196" s="41">
        <v>40473</v>
      </c>
      <c r="K196" s="42"/>
      <c r="M196" s="179"/>
      <c r="N196" s="179"/>
    </row>
    <row r="197" spans="1:14" ht="12" hidden="1" customHeight="1" outlineLevel="1">
      <c r="A197" s="13"/>
      <c r="B197" s="178">
        <v>191</v>
      </c>
      <c r="C197" s="44"/>
      <c r="D197" s="45"/>
      <c r="E197" s="39" t="s">
        <v>325</v>
      </c>
      <c r="F197" s="180" t="s">
        <v>621</v>
      </c>
      <c r="G197" s="40" t="s">
        <v>195</v>
      </c>
      <c r="H197" s="46" t="s">
        <v>196</v>
      </c>
      <c r="I197" s="51" t="str">
        <f>"0x"&amp;AE_w_WORK!E68</f>
        <v>0x3333</v>
      </c>
      <c r="J197" s="41">
        <v>40473</v>
      </c>
      <c r="K197" s="42"/>
      <c r="M197" s="179"/>
      <c r="N197" s="179"/>
    </row>
    <row r="198" spans="1:14" ht="12" hidden="1" customHeight="1" outlineLevel="1">
      <c r="A198" s="13"/>
      <c r="B198" s="178">
        <v>192</v>
      </c>
      <c r="C198" s="44"/>
      <c r="D198" s="45"/>
      <c r="E198" s="39" t="s">
        <v>325</v>
      </c>
      <c r="F198" s="180" t="s">
        <v>622</v>
      </c>
      <c r="G198" s="40" t="s">
        <v>197</v>
      </c>
      <c r="H198" s="46" t="s">
        <v>198</v>
      </c>
      <c r="I198" s="51" t="str">
        <f>"0x"&amp;AE_w_WORK!E69</f>
        <v>0x2000</v>
      </c>
      <c r="J198" s="41">
        <v>40473</v>
      </c>
      <c r="K198" s="42"/>
      <c r="M198" s="179"/>
      <c r="N198" s="179"/>
    </row>
    <row r="199" spans="1:14" ht="12" hidden="1" customHeight="1" outlineLevel="1">
      <c r="A199" s="13"/>
      <c r="B199" s="178">
        <v>193</v>
      </c>
      <c r="C199" s="44"/>
      <c r="D199" s="45"/>
      <c r="E199" s="39" t="s">
        <v>325</v>
      </c>
      <c r="F199" s="180" t="s">
        <v>623</v>
      </c>
      <c r="G199" s="40" t="s">
        <v>199</v>
      </c>
      <c r="H199" s="46" t="s">
        <v>200</v>
      </c>
      <c r="I199" s="51" t="str">
        <f>"0x"&amp;AE_w_WORK!E70</f>
        <v>0x0002</v>
      </c>
      <c r="J199" s="41">
        <v>40473</v>
      </c>
      <c r="K199" s="42"/>
      <c r="M199" s="179"/>
      <c r="N199" s="179"/>
    </row>
    <row r="200" spans="1:14" ht="12" hidden="1" customHeight="1" outlineLevel="1">
      <c r="A200" s="13"/>
      <c r="B200" s="178">
        <v>194</v>
      </c>
      <c r="C200" s="44"/>
      <c r="D200" s="45"/>
      <c r="E200" s="39" t="s">
        <v>325</v>
      </c>
      <c r="F200" s="180" t="s">
        <v>624</v>
      </c>
      <c r="G200" s="40" t="s">
        <v>201</v>
      </c>
      <c r="H200" s="46" t="s">
        <v>202</v>
      </c>
      <c r="I200" s="51" t="str">
        <f>"0x"&amp;AE_w_WORK!E71</f>
        <v>0x3333</v>
      </c>
      <c r="J200" s="41">
        <v>40473</v>
      </c>
      <c r="K200" s="42"/>
      <c r="M200" s="179"/>
      <c r="N200" s="179"/>
    </row>
    <row r="201" spans="1:14" ht="12" hidden="1" customHeight="1" outlineLevel="1">
      <c r="A201" s="13"/>
      <c r="B201" s="178">
        <v>195</v>
      </c>
      <c r="C201" s="44"/>
      <c r="D201" s="45"/>
      <c r="E201" s="39" t="s">
        <v>325</v>
      </c>
      <c r="F201" s="180" t="s">
        <v>625</v>
      </c>
      <c r="G201" s="40" t="s">
        <v>203</v>
      </c>
      <c r="H201" s="46" t="s">
        <v>204</v>
      </c>
      <c r="I201" s="51" t="str">
        <f>"0x"&amp;AE_w_WORK!E72</f>
        <v>0x3333</v>
      </c>
      <c r="J201" s="41">
        <v>40473</v>
      </c>
      <c r="K201" s="42"/>
      <c r="M201" s="179"/>
      <c r="N201" s="179"/>
    </row>
    <row r="202" spans="1:14" ht="12" hidden="1" customHeight="1" outlineLevel="1">
      <c r="A202" s="13"/>
      <c r="B202" s="178">
        <v>196</v>
      </c>
      <c r="C202" s="44"/>
      <c r="D202" s="45"/>
      <c r="E202" s="39" t="s">
        <v>325</v>
      </c>
      <c r="F202" s="180" t="s">
        <v>626</v>
      </c>
      <c r="G202" s="40" t="s">
        <v>205</v>
      </c>
      <c r="H202" s="46" t="s">
        <v>206</v>
      </c>
      <c r="I202" s="51" t="str">
        <f>"0x"&amp;AE_w_WORK!E73</f>
        <v>0x2000</v>
      </c>
      <c r="J202" s="41">
        <v>40473</v>
      </c>
      <c r="K202" s="42"/>
      <c r="M202" s="179"/>
      <c r="N202" s="179"/>
    </row>
    <row r="203" spans="1:14" ht="12" hidden="1" customHeight="1" outlineLevel="1">
      <c r="A203" s="13"/>
      <c r="B203" s="178">
        <v>197</v>
      </c>
      <c r="C203" s="44"/>
      <c r="D203" s="45"/>
      <c r="E203" s="39" t="s">
        <v>325</v>
      </c>
      <c r="F203" s="180" t="s">
        <v>627</v>
      </c>
      <c r="G203" s="40" t="s">
        <v>207</v>
      </c>
      <c r="H203" s="46" t="s">
        <v>208</v>
      </c>
      <c r="I203" s="51" t="str">
        <f>"0x"&amp;AE_w_WORK!E74</f>
        <v>0x0002</v>
      </c>
      <c r="J203" s="41">
        <v>40473</v>
      </c>
      <c r="K203" s="42"/>
      <c r="M203" s="179"/>
      <c r="N203" s="179"/>
    </row>
    <row r="204" spans="1:14" ht="12" hidden="1" customHeight="1" outlineLevel="1">
      <c r="A204" s="13"/>
      <c r="B204" s="178">
        <v>198</v>
      </c>
      <c r="C204" s="44"/>
      <c r="D204" s="45"/>
      <c r="E204" s="39" t="s">
        <v>325</v>
      </c>
      <c r="F204" s="180" t="s">
        <v>628</v>
      </c>
      <c r="G204" s="40" t="s">
        <v>209</v>
      </c>
      <c r="H204" s="46" t="s">
        <v>210</v>
      </c>
      <c r="I204" s="51" t="str">
        <f>"0x"&amp;AE_w_WORK!E75</f>
        <v>0x3333</v>
      </c>
      <c r="J204" s="41">
        <v>40473</v>
      </c>
      <c r="K204" s="42"/>
      <c r="M204" s="179"/>
      <c r="N204" s="179"/>
    </row>
    <row r="205" spans="1:14" ht="12" hidden="1" customHeight="1" outlineLevel="1">
      <c r="A205" s="13"/>
      <c r="B205" s="178">
        <v>199</v>
      </c>
      <c r="C205" s="44"/>
      <c r="D205" s="45"/>
      <c r="E205" s="39" t="s">
        <v>325</v>
      </c>
      <c r="F205" s="180" t="s">
        <v>629</v>
      </c>
      <c r="G205" s="40" t="s">
        <v>211</v>
      </c>
      <c r="H205" s="46" t="s">
        <v>212</v>
      </c>
      <c r="I205" s="51" t="str">
        <f>"0x"&amp;AE_w_WORK!E76</f>
        <v>0x3333</v>
      </c>
      <c r="J205" s="41">
        <v>40473</v>
      </c>
      <c r="K205" s="42"/>
      <c r="M205" s="179"/>
      <c r="N205" s="179"/>
    </row>
    <row r="206" spans="1:14" ht="12" hidden="1" customHeight="1" outlineLevel="1">
      <c r="A206" s="13"/>
      <c r="B206" s="178">
        <v>200</v>
      </c>
      <c r="C206" s="44"/>
      <c r="D206" s="45"/>
      <c r="E206" s="39" t="s">
        <v>325</v>
      </c>
      <c r="F206" s="180" t="s">
        <v>630</v>
      </c>
      <c r="G206" s="40" t="s">
        <v>213</v>
      </c>
      <c r="H206" s="46" t="s">
        <v>214</v>
      </c>
      <c r="I206" s="51" t="str">
        <f>"0x"&amp;AE_w_WORK!E77</f>
        <v>0x2000</v>
      </c>
      <c r="J206" s="41">
        <v>40473</v>
      </c>
      <c r="K206" s="42"/>
      <c r="M206" s="179"/>
      <c r="N206" s="179"/>
    </row>
    <row r="207" spans="1:14" ht="12" hidden="1" customHeight="1" outlineLevel="1">
      <c r="A207" s="13"/>
      <c r="B207" s="178">
        <v>201</v>
      </c>
      <c r="C207" s="44"/>
      <c r="D207" s="45"/>
      <c r="E207" s="39" t="s">
        <v>325</v>
      </c>
      <c r="F207" s="180" t="s">
        <v>631</v>
      </c>
      <c r="G207" s="40" t="s">
        <v>215</v>
      </c>
      <c r="H207" s="46" t="s">
        <v>216</v>
      </c>
      <c r="I207" s="51" t="str">
        <f>"0x"&amp;AE_w_WORK!E78</f>
        <v>0x0002</v>
      </c>
      <c r="J207" s="41">
        <v>40473</v>
      </c>
      <c r="K207" s="42"/>
      <c r="M207" s="179"/>
      <c r="N207" s="179"/>
    </row>
    <row r="208" spans="1:14" ht="12" hidden="1" customHeight="1" outlineLevel="1">
      <c r="A208" s="13"/>
      <c r="B208" s="178">
        <v>202</v>
      </c>
      <c r="C208" s="44"/>
      <c r="D208" s="45"/>
      <c r="E208" s="39" t="s">
        <v>325</v>
      </c>
      <c r="F208" s="180" t="s">
        <v>632</v>
      </c>
      <c r="G208" s="40" t="s">
        <v>217</v>
      </c>
      <c r="H208" s="46" t="s">
        <v>218</v>
      </c>
      <c r="I208" s="51" t="str">
        <f>"0x"&amp;AE_w_WORK!E79</f>
        <v>0x3333</v>
      </c>
      <c r="J208" s="41">
        <v>40473</v>
      </c>
      <c r="K208" s="42"/>
      <c r="M208" s="179"/>
      <c r="N208" s="179"/>
    </row>
    <row r="209" spans="1:14" ht="12" hidden="1" customHeight="1" outlineLevel="1">
      <c r="A209" s="13"/>
      <c r="B209" s="178">
        <v>203</v>
      </c>
      <c r="C209" s="44"/>
      <c r="D209" s="45"/>
      <c r="E209" s="39" t="s">
        <v>325</v>
      </c>
      <c r="F209" s="180" t="s">
        <v>633</v>
      </c>
      <c r="G209" s="40" t="s">
        <v>219</v>
      </c>
      <c r="H209" s="46" t="s">
        <v>220</v>
      </c>
      <c r="I209" s="51" t="str">
        <f>"0x"&amp;AE_w_WORK!E80</f>
        <v>0x3333</v>
      </c>
      <c r="J209" s="41">
        <v>40473</v>
      </c>
      <c r="K209" s="42"/>
      <c r="M209" s="179"/>
      <c r="N209" s="179"/>
    </row>
    <row r="210" spans="1:14" ht="12" hidden="1" customHeight="1" outlineLevel="1">
      <c r="A210" s="13"/>
      <c r="B210" s="178">
        <v>204</v>
      </c>
      <c r="C210" s="44"/>
      <c r="D210" s="45"/>
      <c r="E210" s="39" t="s">
        <v>325</v>
      </c>
      <c r="F210" s="180" t="s">
        <v>634</v>
      </c>
      <c r="G210" s="40" t="s">
        <v>221</v>
      </c>
      <c r="H210" s="46" t="s">
        <v>222</v>
      </c>
      <c r="I210" s="51" t="str">
        <f>"0x"&amp;AE_w_WORK!E81</f>
        <v>0x2000</v>
      </c>
      <c r="J210" s="41">
        <v>40473</v>
      </c>
      <c r="K210" s="42"/>
      <c r="M210" s="179"/>
      <c r="N210" s="179"/>
    </row>
    <row r="211" spans="1:14" ht="12" hidden="1" customHeight="1" outlineLevel="1">
      <c r="A211" s="13"/>
      <c r="B211" s="178">
        <v>205</v>
      </c>
      <c r="C211" s="44"/>
      <c r="D211" s="45"/>
      <c r="E211" s="39" t="s">
        <v>325</v>
      </c>
      <c r="F211" s="180" t="s">
        <v>635</v>
      </c>
      <c r="G211" s="40" t="s">
        <v>223</v>
      </c>
      <c r="H211" s="46" t="s">
        <v>224</v>
      </c>
      <c r="I211" s="51" t="str">
        <f>"0x"&amp;AE_w_WORK!E82</f>
        <v>0x0000</v>
      </c>
      <c r="J211" s="41">
        <v>40473</v>
      </c>
      <c r="K211" s="42"/>
      <c r="M211" s="179"/>
      <c r="N211" s="179"/>
    </row>
    <row r="212" spans="1:14" ht="12" hidden="1" customHeight="1" outlineLevel="1">
      <c r="A212" s="13"/>
      <c r="B212" s="178">
        <v>206</v>
      </c>
      <c r="C212" s="44"/>
      <c r="D212" s="45"/>
      <c r="E212" s="39" t="s">
        <v>325</v>
      </c>
      <c r="F212" s="180" t="s">
        <v>636</v>
      </c>
      <c r="G212" s="40" t="s">
        <v>225</v>
      </c>
      <c r="H212" s="46" t="s">
        <v>226</v>
      </c>
      <c r="I212" s="51" t="str">
        <f>"0x"&amp;AE_w_WORK!E83</f>
        <v>0x2333</v>
      </c>
      <c r="J212" s="41">
        <v>40473</v>
      </c>
      <c r="K212" s="42"/>
      <c r="M212" s="179"/>
      <c r="N212" s="179"/>
    </row>
    <row r="213" spans="1:14" ht="12" hidden="1" customHeight="1" outlineLevel="1">
      <c r="A213" s="13"/>
      <c r="B213" s="178">
        <v>207</v>
      </c>
      <c r="C213" s="44"/>
      <c r="D213" s="45"/>
      <c r="E213" s="39" t="s">
        <v>325</v>
      </c>
      <c r="F213" s="180" t="s">
        <v>637</v>
      </c>
      <c r="G213" s="40" t="s">
        <v>227</v>
      </c>
      <c r="H213" s="46" t="s">
        <v>228</v>
      </c>
      <c r="I213" s="51" t="str">
        <f>"0x"&amp;AE_w_WORK!E84</f>
        <v>0x3332</v>
      </c>
      <c r="J213" s="41">
        <v>40473</v>
      </c>
      <c r="K213" s="42"/>
      <c r="M213" s="179"/>
      <c r="N213" s="179"/>
    </row>
    <row r="214" spans="1:14" ht="12" hidden="1" customHeight="1" outlineLevel="1">
      <c r="A214" s="13"/>
      <c r="B214" s="178">
        <v>208</v>
      </c>
      <c r="C214" s="44"/>
      <c r="D214" s="45"/>
      <c r="E214" s="39" t="s">
        <v>325</v>
      </c>
      <c r="F214" s="180" t="s">
        <v>638</v>
      </c>
      <c r="G214" s="40" t="s">
        <v>229</v>
      </c>
      <c r="H214" s="46" t="s">
        <v>230</v>
      </c>
      <c r="I214" s="51" t="str">
        <f>"0x"&amp;AE_w_WORK!E85</f>
        <v>0x0000</v>
      </c>
      <c r="J214" s="41">
        <v>40473</v>
      </c>
      <c r="K214" s="42"/>
      <c r="M214" s="179"/>
      <c r="N214" s="179"/>
    </row>
    <row r="215" spans="1:14" ht="12" hidden="1" customHeight="1" outlineLevel="1">
      <c r="A215" s="13"/>
      <c r="B215" s="178">
        <v>209</v>
      </c>
      <c r="C215" s="44"/>
      <c r="D215" s="45"/>
      <c r="E215" s="39" t="s">
        <v>325</v>
      </c>
      <c r="F215" s="180" t="s">
        <v>639</v>
      </c>
      <c r="G215" s="40" t="s">
        <v>231</v>
      </c>
      <c r="H215" s="46" t="s">
        <v>232</v>
      </c>
      <c r="I215" s="51" t="str">
        <f>"0x"&amp;AE_w_WORK!E86</f>
        <v>0x0000</v>
      </c>
      <c r="J215" s="41">
        <v>40473</v>
      </c>
      <c r="K215" s="42"/>
      <c r="M215" s="179"/>
      <c r="N215" s="179"/>
    </row>
    <row r="216" spans="1:14" ht="12" hidden="1" customHeight="1" outlineLevel="1">
      <c r="A216" s="13"/>
      <c r="B216" s="178">
        <v>210</v>
      </c>
      <c r="C216" s="44"/>
      <c r="D216" s="45"/>
      <c r="E216" s="39" t="s">
        <v>325</v>
      </c>
      <c r="F216" s="180" t="s">
        <v>640</v>
      </c>
      <c r="G216" s="40" t="s">
        <v>233</v>
      </c>
      <c r="H216" s="46" t="s">
        <v>234</v>
      </c>
      <c r="I216" s="51" t="str">
        <f>"0x"&amp;AE_w_WORK!E87</f>
        <v>0x2333</v>
      </c>
      <c r="J216" s="41">
        <v>40473</v>
      </c>
      <c r="K216" s="42"/>
      <c r="M216" s="179"/>
      <c r="N216" s="179"/>
    </row>
    <row r="217" spans="1:14" ht="12" hidden="1" customHeight="1" outlineLevel="1">
      <c r="A217" s="13"/>
      <c r="B217" s="178">
        <v>211</v>
      </c>
      <c r="C217" s="44"/>
      <c r="D217" s="45"/>
      <c r="E217" s="39" t="s">
        <v>325</v>
      </c>
      <c r="F217" s="180" t="s">
        <v>641</v>
      </c>
      <c r="G217" s="40" t="s">
        <v>235</v>
      </c>
      <c r="H217" s="46" t="s">
        <v>236</v>
      </c>
      <c r="I217" s="51" t="str">
        <f>"0x"&amp;AE_w_WORK!E88</f>
        <v>0x3332</v>
      </c>
      <c r="J217" s="41">
        <v>40473</v>
      </c>
      <c r="K217" s="42"/>
      <c r="M217" s="179"/>
      <c r="N217" s="179"/>
    </row>
    <row r="218" spans="1:14" ht="12" hidden="1" customHeight="1" outlineLevel="1">
      <c r="A218" s="13"/>
      <c r="B218" s="178">
        <v>212</v>
      </c>
      <c r="C218" s="44"/>
      <c r="D218" s="45"/>
      <c r="E218" s="39" t="s">
        <v>325</v>
      </c>
      <c r="F218" s="180" t="s">
        <v>642</v>
      </c>
      <c r="G218" s="40" t="s">
        <v>237</v>
      </c>
      <c r="H218" s="46" t="s">
        <v>238</v>
      </c>
      <c r="I218" s="51" t="str">
        <f>"0x"&amp;AE_w_WORK!E89</f>
        <v>0x0000</v>
      </c>
      <c r="J218" s="41">
        <v>40473</v>
      </c>
      <c r="K218" s="42"/>
      <c r="M218" s="179"/>
      <c r="N218" s="179"/>
    </row>
    <row r="219" spans="1:14" ht="12" hidden="1" customHeight="1" outlineLevel="1">
      <c r="A219" s="13"/>
      <c r="B219" s="178">
        <v>213</v>
      </c>
      <c r="C219" s="44"/>
      <c r="D219" s="45"/>
      <c r="E219" s="39" t="s">
        <v>325</v>
      </c>
      <c r="F219" s="180" t="s">
        <v>643</v>
      </c>
      <c r="G219" s="40" t="s">
        <v>239</v>
      </c>
      <c r="H219" s="46" t="s">
        <v>240</v>
      </c>
      <c r="I219" s="51" t="str">
        <f>"0x"&amp;AE_w_WORK!E90</f>
        <v>0x0000</v>
      </c>
      <c r="J219" s="41">
        <v>40473</v>
      </c>
      <c r="K219" s="42"/>
      <c r="M219" s="179"/>
      <c r="N219" s="179"/>
    </row>
    <row r="220" spans="1:14" ht="12" hidden="1" customHeight="1" outlineLevel="1">
      <c r="A220" s="13"/>
      <c r="B220" s="178">
        <v>214</v>
      </c>
      <c r="C220" s="44"/>
      <c r="D220" s="45"/>
      <c r="E220" s="39" t="s">
        <v>325</v>
      </c>
      <c r="F220" s="180" t="s">
        <v>644</v>
      </c>
      <c r="G220" s="40" t="s">
        <v>241</v>
      </c>
      <c r="H220" s="46" t="s">
        <v>242</v>
      </c>
      <c r="I220" s="51" t="str">
        <f>"0x"&amp;AE_w_WORK!E91</f>
        <v>0x2333</v>
      </c>
      <c r="J220" s="41">
        <v>40473</v>
      </c>
      <c r="K220" s="42"/>
      <c r="M220" s="179"/>
      <c r="N220" s="179"/>
    </row>
    <row r="221" spans="1:14" ht="12" hidden="1" customHeight="1" outlineLevel="1">
      <c r="A221" s="13"/>
      <c r="B221" s="178">
        <v>215</v>
      </c>
      <c r="C221" s="44"/>
      <c r="D221" s="45"/>
      <c r="E221" s="39" t="s">
        <v>325</v>
      </c>
      <c r="F221" s="180" t="s">
        <v>645</v>
      </c>
      <c r="G221" s="40" t="s">
        <v>243</v>
      </c>
      <c r="H221" s="46" t="s">
        <v>244</v>
      </c>
      <c r="I221" s="51" t="str">
        <f>"0x"&amp;AE_w_WORK!E92</f>
        <v>0x3332</v>
      </c>
      <c r="J221" s="41">
        <v>40473</v>
      </c>
      <c r="K221" s="42"/>
      <c r="M221" s="179"/>
      <c r="N221" s="179"/>
    </row>
    <row r="222" spans="1:14" ht="12" hidden="1" customHeight="1" outlineLevel="1">
      <c r="A222" s="13"/>
      <c r="B222" s="178">
        <v>216</v>
      </c>
      <c r="C222" s="44"/>
      <c r="D222" s="45"/>
      <c r="E222" s="39" t="s">
        <v>325</v>
      </c>
      <c r="F222" s="180" t="s">
        <v>646</v>
      </c>
      <c r="G222" s="40" t="s">
        <v>245</v>
      </c>
      <c r="H222" s="46" t="s">
        <v>246</v>
      </c>
      <c r="I222" s="51" t="str">
        <f>"0x"&amp;AE_w_WORK!E93</f>
        <v>0x0000</v>
      </c>
      <c r="J222" s="41">
        <v>40473</v>
      </c>
      <c r="K222" s="42"/>
      <c r="M222" s="179"/>
      <c r="N222" s="179"/>
    </row>
    <row r="223" spans="1:14" ht="12" hidden="1" customHeight="1" outlineLevel="1">
      <c r="A223" s="13"/>
      <c r="B223" s="178">
        <v>217</v>
      </c>
      <c r="C223" s="44"/>
      <c r="D223" s="45"/>
      <c r="E223" s="39" t="s">
        <v>325</v>
      </c>
      <c r="F223" s="180" t="s">
        <v>647</v>
      </c>
      <c r="G223" s="40" t="s">
        <v>247</v>
      </c>
      <c r="H223" s="46" t="s">
        <v>248</v>
      </c>
      <c r="I223" s="51" t="str">
        <f>"0x"&amp;AE_w_WORK!E94</f>
        <v>0x0000</v>
      </c>
      <c r="J223" s="41">
        <v>40473</v>
      </c>
      <c r="K223" s="42"/>
      <c r="M223" s="179"/>
      <c r="N223" s="179"/>
    </row>
    <row r="224" spans="1:14" ht="12" hidden="1" customHeight="1" outlineLevel="1">
      <c r="A224" s="13"/>
      <c r="B224" s="178">
        <v>218</v>
      </c>
      <c r="C224" s="44"/>
      <c r="D224" s="45"/>
      <c r="E224" s="39" t="s">
        <v>325</v>
      </c>
      <c r="F224" s="180" t="s">
        <v>648</v>
      </c>
      <c r="G224" s="40" t="s">
        <v>249</v>
      </c>
      <c r="H224" s="46" t="s">
        <v>250</v>
      </c>
      <c r="I224" s="51" t="str">
        <f>"0x"&amp;AE_w_WORK!E95</f>
        <v>0x2333</v>
      </c>
      <c r="J224" s="41">
        <v>40473</v>
      </c>
      <c r="K224" s="42"/>
      <c r="M224" s="179"/>
      <c r="N224" s="179"/>
    </row>
    <row r="225" spans="1:14" ht="12" hidden="1" customHeight="1" outlineLevel="1">
      <c r="A225" s="13"/>
      <c r="B225" s="178">
        <v>219</v>
      </c>
      <c r="C225" s="44"/>
      <c r="D225" s="45"/>
      <c r="E225" s="39" t="s">
        <v>325</v>
      </c>
      <c r="F225" s="180" t="s">
        <v>649</v>
      </c>
      <c r="G225" s="40" t="s">
        <v>251</v>
      </c>
      <c r="H225" s="46" t="s">
        <v>252</v>
      </c>
      <c r="I225" s="51" t="str">
        <f>"0x"&amp;AE_w_WORK!E96</f>
        <v>0x3332</v>
      </c>
      <c r="J225" s="41">
        <v>40473</v>
      </c>
      <c r="K225" s="42"/>
      <c r="M225" s="179"/>
      <c r="N225" s="179"/>
    </row>
    <row r="226" spans="1:14" ht="12" hidden="1" customHeight="1" outlineLevel="1">
      <c r="A226" s="13"/>
      <c r="B226" s="178">
        <v>220</v>
      </c>
      <c r="C226" s="44"/>
      <c r="D226" s="45"/>
      <c r="E226" s="39" t="s">
        <v>325</v>
      </c>
      <c r="F226" s="180" t="s">
        <v>650</v>
      </c>
      <c r="G226" s="40" t="s">
        <v>253</v>
      </c>
      <c r="H226" s="46" t="s">
        <v>254</v>
      </c>
      <c r="I226" s="51" t="str">
        <f>"0x"&amp;AE_w_WORK!E97</f>
        <v>0x0000</v>
      </c>
      <c r="J226" s="41">
        <v>40473</v>
      </c>
      <c r="K226" s="42"/>
      <c r="M226" s="179"/>
      <c r="N226" s="179"/>
    </row>
    <row r="227" spans="1:14" ht="12" hidden="1" customHeight="1" outlineLevel="1">
      <c r="A227" s="13"/>
      <c r="B227" s="178">
        <v>221</v>
      </c>
      <c r="C227" s="44"/>
      <c r="D227" s="45"/>
      <c r="E227" s="39" t="s">
        <v>325</v>
      </c>
      <c r="F227" s="180" t="s">
        <v>651</v>
      </c>
      <c r="G227" s="40" t="s">
        <v>255</v>
      </c>
      <c r="H227" s="46" t="s">
        <v>256</v>
      </c>
      <c r="I227" s="51" t="str">
        <f>"0x"&amp;AE_w_WORK!E98</f>
        <v>0x0000</v>
      </c>
      <c r="J227" s="41">
        <v>40473</v>
      </c>
      <c r="K227" s="42"/>
      <c r="M227" s="179"/>
      <c r="N227" s="179"/>
    </row>
    <row r="228" spans="1:14" ht="12" hidden="1" customHeight="1" outlineLevel="1">
      <c r="A228" s="13"/>
      <c r="B228" s="178">
        <v>222</v>
      </c>
      <c r="C228" s="44"/>
      <c r="D228" s="45"/>
      <c r="E228" s="39" t="s">
        <v>325</v>
      </c>
      <c r="F228" s="180" t="s">
        <v>652</v>
      </c>
      <c r="G228" s="40" t="s">
        <v>257</v>
      </c>
      <c r="H228" s="46" t="s">
        <v>258</v>
      </c>
      <c r="I228" s="51" t="str">
        <f>"0x"&amp;AE_w_WORK!E99</f>
        <v>0x2233</v>
      </c>
      <c r="J228" s="41">
        <v>40473</v>
      </c>
      <c r="K228" s="42"/>
      <c r="M228" s="179"/>
      <c r="N228" s="179"/>
    </row>
    <row r="229" spans="1:14" ht="12" hidden="1" customHeight="1" outlineLevel="1">
      <c r="A229" s="13"/>
      <c r="B229" s="178">
        <v>223</v>
      </c>
      <c r="C229" s="44"/>
      <c r="D229" s="45"/>
      <c r="E229" s="39" t="s">
        <v>325</v>
      </c>
      <c r="F229" s="180" t="s">
        <v>653</v>
      </c>
      <c r="G229" s="40" t="s">
        <v>259</v>
      </c>
      <c r="H229" s="46" t="s">
        <v>260</v>
      </c>
      <c r="I229" s="51" t="str">
        <f>"0x"&amp;AE_w_WORK!E100</f>
        <v>0x3322</v>
      </c>
      <c r="J229" s="41">
        <v>40473</v>
      </c>
      <c r="K229" s="42"/>
      <c r="M229" s="179"/>
      <c r="N229" s="179"/>
    </row>
    <row r="230" spans="1:14" ht="12" hidden="1" customHeight="1" outlineLevel="1">
      <c r="A230" s="13"/>
      <c r="B230" s="178">
        <v>224</v>
      </c>
      <c r="C230" s="44"/>
      <c r="D230" s="45"/>
      <c r="E230" s="39" t="s">
        <v>325</v>
      </c>
      <c r="F230" s="180" t="s">
        <v>654</v>
      </c>
      <c r="G230" s="40" t="s">
        <v>261</v>
      </c>
      <c r="H230" s="46" t="s">
        <v>262</v>
      </c>
      <c r="I230" s="51" t="str">
        <f>"0x"&amp;AE_w_WORK!E101</f>
        <v>0x0000</v>
      </c>
      <c r="J230" s="41">
        <v>40473</v>
      </c>
      <c r="K230" s="42"/>
      <c r="M230" s="179"/>
      <c r="N230" s="179"/>
    </row>
    <row r="231" spans="1:14" ht="12" hidden="1" customHeight="1" outlineLevel="1">
      <c r="A231" s="13"/>
      <c r="B231" s="178">
        <v>225</v>
      </c>
      <c r="C231" s="44"/>
      <c r="D231" s="45"/>
      <c r="E231" s="39" t="s">
        <v>325</v>
      </c>
      <c r="F231" s="180" t="s">
        <v>655</v>
      </c>
      <c r="G231" s="40" t="s">
        <v>263</v>
      </c>
      <c r="H231" s="46" t="s">
        <v>81</v>
      </c>
      <c r="I231" s="51" t="str">
        <f>"0x"&amp;AE_w_WORK!E102</f>
        <v>0x0000</v>
      </c>
      <c r="J231" s="41">
        <v>40473</v>
      </c>
      <c r="K231" s="42"/>
      <c r="M231" s="179"/>
      <c r="N231" s="179"/>
    </row>
    <row r="232" spans="1:14" ht="12" hidden="1" customHeight="1" outlineLevel="1">
      <c r="A232" s="13"/>
      <c r="B232" s="178">
        <v>226</v>
      </c>
      <c r="C232" s="44"/>
      <c r="D232" s="45"/>
      <c r="E232" s="39" t="s">
        <v>325</v>
      </c>
      <c r="F232" s="180" t="s">
        <v>656</v>
      </c>
      <c r="G232" s="40" t="s">
        <v>82</v>
      </c>
      <c r="H232" s="46" t="s">
        <v>83</v>
      </c>
      <c r="I232" s="51" t="str">
        <f>"0x"&amp;AE_w_WORK!E103</f>
        <v>0x2223</v>
      </c>
      <c r="J232" s="41">
        <v>40473</v>
      </c>
      <c r="K232" s="42"/>
      <c r="M232" s="179"/>
      <c r="N232" s="179"/>
    </row>
    <row r="233" spans="1:14" ht="12" hidden="1" customHeight="1" outlineLevel="1">
      <c r="A233" s="13"/>
      <c r="B233" s="178">
        <v>227</v>
      </c>
      <c r="C233" s="44"/>
      <c r="D233" s="45"/>
      <c r="E233" s="39" t="s">
        <v>325</v>
      </c>
      <c r="F233" s="180" t="s">
        <v>657</v>
      </c>
      <c r="G233" s="40" t="s">
        <v>84</v>
      </c>
      <c r="H233" s="46" t="s">
        <v>85</v>
      </c>
      <c r="I233" s="51" t="str">
        <f>"0x"&amp;AE_w_WORK!E104</f>
        <v>0x3222</v>
      </c>
      <c r="J233" s="41">
        <v>40473</v>
      </c>
      <c r="K233" s="42"/>
      <c r="M233" s="179"/>
      <c r="N233" s="179"/>
    </row>
    <row r="234" spans="1:14" ht="12" hidden="1" customHeight="1" outlineLevel="1">
      <c r="A234" s="13"/>
      <c r="B234" s="178">
        <v>228</v>
      </c>
      <c r="C234" s="44"/>
      <c r="D234" s="45"/>
      <c r="E234" s="39" t="s">
        <v>325</v>
      </c>
      <c r="F234" s="180" t="s">
        <v>658</v>
      </c>
      <c r="G234" s="40" t="s">
        <v>86</v>
      </c>
      <c r="H234" s="46" t="s">
        <v>87</v>
      </c>
      <c r="I234" s="51" t="str">
        <f>"0x"&amp;AE_w_WORK!E105</f>
        <v>0x0000</v>
      </c>
      <c r="J234" s="41">
        <v>40473</v>
      </c>
      <c r="K234" s="42"/>
      <c r="M234" s="179"/>
      <c r="N234" s="179"/>
    </row>
    <row r="235" spans="1:14" ht="12" hidden="1" customHeight="1" outlineLevel="1">
      <c r="A235" s="13"/>
      <c r="B235" s="178">
        <v>229</v>
      </c>
      <c r="C235" s="44"/>
      <c r="D235" s="45"/>
      <c r="E235" s="39" t="s">
        <v>325</v>
      </c>
      <c r="F235" s="180" t="s">
        <v>659</v>
      </c>
      <c r="G235" s="40" t="s">
        <v>88</v>
      </c>
      <c r="H235" s="46" t="s">
        <v>89</v>
      </c>
      <c r="I235" s="51" t="str">
        <f>"0x"&amp;AE_w_WORK!E106</f>
        <v>0x0000</v>
      </c>
      <c r="J235" s="41">
        <v>40473</v>
      </c>
      <c r="K235" s="42"/>
      <c r="M235" s="179"/>
      <c r="N235" s="179"/>
    </row>
    <row r="236" spans="1:14" ht="12" hidden="1" customHeight="1" outlineLevel="1">
      <c r="A236" s="13"/>
      <c r="B236" s="178">
        <v>230</v>
      </c>
      <c r="C236" s="44"/>
      <c r="D236" s="45"/>
      <c r="E236" s="39" t="s">
        <v>325</v>
      </c>
      <c r="F236" s="180" t="s">
        <v>660</v>
      </c>
      <c r="G236" s="40" t="s">
        <v>90</v>
      </c>
      <c r="H236" s="46" t="s">
        <v>91</v>
      </c>
      <c r="I236" s="51" t="str">
        <f>"0x"&amp;AE_w_WORK!E107</f>
        <v>0x0002</v>
      </c>
      <c r="J236" s="41">
        <v>40473</v>
      </c>
      <c r="K236" s="42"/>
      <c r="M236" s="179"/>
      <c r="N236" s="179"/>
    </row>
    <row r="237" spans="1:14" ht="12" hidden="1" customHeight="1" outlineLevel="1">
      <c r="A237" s="13"/>
      <c r="B237" s="178">
        <v>231</v>
      </c>
      <c r="C237" s="44"/>
      <c r="D237" s="45"/>
      <c r="E237" s="39" t="s">
        <v>325</v>
      </c>
      <c r="F237" s="180" t="s">
        <v>661</v>
      </c>
      <c r="G237" s="40" t="s">
        <v>92</v>
      </c>
      <c r="H237" s="46" t="s">
        <v>93</v>
      </c>
      <c r="I237" s="51" t="str">
        <f>"0x"&amp;AE_w_WORK!E108</f>
        <v>0x2000</v>
      </c>
      <c r="J237" s="41">
        <v>40473</v>
      </c>
      <c r="K237" s="42"/>
      <c r="M237" s="179"/>
      <c r="N237" s="179"/>
    </row>
    <row r="238" spans="1:14" ht="12" hidden="1" customHeight="1" outlineLevel="1">
      <c r="A238" s="13"/>
      <c r="B238" s="178">
        <v>232</v>
      </c>
      <c r="C238" s="44"/>
      <c r="D238" s="45"/>
      <c r="E238" s="39" t="s">
        <v>325</v>
      </c>
      <c r="F238" s="180" t="s">
        <v>662</v>
      </c>
      <c r="G238" s="40" t="s">
        <v>94</v>
      </c>
      <c r="H238" s="46" t="s">
        <v>95</v>
      </c>
      <c r="I238" s="51" t="str">
        <f>"0x"&amp;AE_w_WORK!E109</f>
        <v>0x0000</v>
      </c>
      <c r="J238" s="41">
        <v>40473</v>
      </c>
      <c r="K238" s="42"/>
      <c r="M238" s="179"/>
      <c r="N238" s="179"/>
    </row>
    <row r="239" spans="1:14" ht="12" hidden="1" customHeight="1" outlineLevel="1">
      <c r="A239" s="13"/>
      <c r="B239" s="178">
        <v>233</v>
      </c>
      <c r="C239" s="44"/>
      <c r="D239" s="45"/>
      <c r="E239" s="39" t="s">
        <v>325</v>
      </c>
      <c r="F239" s="180" t="s">
        <v>663</v>
      </c>
      <c r="G239" s="40" t="s">
        <v>96</v>
      </c>
      <c r="H239" s="46" t="s">
        <v>97</v>
      </c>
      <c r="I239" s="51" t="str">
        <f>"0x"&amp;AE_w_WORK!E110</f>
        <v>0x0000</v>
      </c>
      <c r="J239" s="41">
        <v>40473</v>
      </c>
      <c r="K239" s="42"/>
      <c r="M239" s="179"/>
      <c r="N239" s="179"/>
    </row>
    <row r="240" spans="1:14" ht="12" hidden="1" customHeight="1" outlineLevel="1">
      <c r="A240" s="13"/>
      <c r="B240" s="178">
        <v>234</v>
      </c>
      <c r="C240" s="44"/>
      <c r="D240" s="45"/>
      <c r="E240" s="39" t="s">
        <v>325</v>
      </c>
      <c r="F240" s="180" t="s">
        <v>664</v>
      </c>
      <c r="G240" s="40" t="s">
        <v>98</v>
      </c>
      <c r="H240" s="46" t="s">
        <v>99</v>
      </c>
      <c r="I240" s="51" t="str">
        <f>"0x"&amp;AE_w_WORK!E111</f>
        <v>0x0000</v>
      </c>
      <c r="J240" s="41">
        <v>40473</v>
      </c>
      <c r="K240" s="42"/>
      <c r="M240" s="179"/>
      <c r="N240" s="179"/>
    </row>
    <row r="241" spans="1:14" ht="12" hidden="1" customHeight="1" outlineLevel="1">
      <c r="A241" s="13"/>
      <c r="B241" s="178">
        <v>235</v>
      </c>
      <c r="C241" s="44"/>
      <c r="D241" s="45"/>
      <c r="E241" s="39" t="s">
        <v>325</v>
      </c>
      <c r="F241" s="180" t="s">
        <v>665</v>
      </c>
      <c r="G241" s="40" t="s">
        <v>100</v>
      </c>
      <c r="H241" s="46" t="s">
        <v>101</v>
      </c>
      <c r="I241" s="51" t="str">
        <f>"0x"&amp;AE_w_WORK!E112</f>
        <v>0x0000</v>
      </c>
      <c r="J241" s="41">
        <v>40473</v>
      </c>
      <c r="K241" s="42"/>
      <c r="M241" s="179"/>
      <c r="N241" s="179"/>
    </row>
    <row r="242" spans="1:14" ht="12" hidden="1" customHeight="1" outlineLevel="1">
      <c r="A242" s="13"/>
      <c r="B242" s="178">
        <v>236</v>
      </c>
      <c r="C242" s="44"/>
      <c r="D242" s="45"/>
      <c r="E242" s="39" t="s">
        <v>325</v>
      </c>
      <c r="F242" s="180" t="s">
        <v>666</v>
      </c>
      <c r="G242" s="40" t="s">
        <v>102</v>
      </c>
      <c r="H242" s="46" t="s">
        <v>103</v>
      </c>
      <c r="I242" s="51" t="str">
        <f>"0x"&amp;AE_w_WORK!E113</f>
        <v>0x0000</v>
      </c>
      <c r="J242" s="41">
        <v>40473</v>
      </c>
      <c r="K242" s="42"/>
      <c r="M242" s="179"/>
      <c r="N242" s="179"/>
    </row>
    <row r="243" spans="1:14" ht="12" hidden="1" customHeight="1" outlineLevel="1">
      <c r="A243" s="13"/>
      <c r="B243" s="178">
        <v>237</v>
      </c>
      <c r="C243" s="44"/>
      <c r="D243" s="45"/>
      <c r="E243" s="39" t="s">
        <v>325</v>
      </c>
      <c r="F243" s="180" t="s">
        <v>667</v>
      </c>
      <c r="G243" s="40" t="s">
        <v>104</v>
      </c>
      <c r="H243" s="46" t="s">
        <v>105</v>
      </c>
      <c r="I243" s="51" t="str">
        <f>"0x"&amp;AE_w_WORK!E114</f>
        <v>0x0000</v>
      </c>
      <c r="J243" s="41">
        <v>40473</v>
      </c>
      <c r="K243" s="42"/>
      <c r="M243" s="179"/>
      <c r="N243" s="179"/>
    </row>
    <row r="244" spans="1:14" ht="12" hidden="1" customHeight="1" outlineLevel="1">
      <c r="A244" s="13"/>
      <c r="B244" s="178">
        <v>238</v>
      </c>
      <c r="C244" s="44"/>
      <c r="D244" s="45"/>
      <c r="E244" s="39" t="s">
        <v>325</v>
      </c>
      <c r="F244" s="180" t="s">
        <v>668</v>
      </c>
      <c r="G244" s="40" t="s">
        <v>106</v>
      </c>
      <c r="H244" s="46" t="s">
        <v>107</v>
      </c>
      <c r="I244" s="51" t="str">
        <f>"0x"&amp;AE_w_WORK!E115</f>
        <v>0x0000</v>
      </c>
      <c r="J244" s="41">
        <v>40473</v>
      </c>
      <c r="K244" s="42"/>
      <c r="M244" s="179"/>
      <c r="N244" s="179"/>
    </row>
    <row r="245" spans="1:14" ht="12" hidden="1" customHeight="1" outlineLevel="1">
      <c r="A245" s="13"/>
      <c r="B245" s="178">
        <v>239</v>
      </c>
      <c r="C245" s="44"/>
      <c r="D245" s="45"/>
      <c r="E245" s="39" t="s">
        <v>325</v>
      </c>
      <c r="F245" s="180" t="s">
        <v>669</v>
      </c>
      <c r="G245" s="40" t="s">
        <v>108</v>
      </c>
      <c r="H245" s="46" t="s">
        <v>109</v>
      </c>
      <c r="I245" s="51" t="str">
        <f>"0x"&amp;AE_w_WORK!E116</f>
        <v>0x0000</v>
      </c>
      <c r="J245" s="41">
        <v>40473</v>
      </c>
      <c r="K245" s="42"/>
      <c r="M245" s="179"/>
      <c r="N245" s="179"/>
    </row>
    <row r="246" spans="1:14" ht="12" hidden="1" customHeight="1" outlineLevel="1">
      <c r="A246" s="13"/>
      <c r="B246" s="178">
        <v>240</v>
      </c>
      <c r="C246" s="44"/>
      <c r="D246" s="45"/>
      <c r="E246" s="39" t="s">
        <v>325</v>
      </c>
      <c r="F246" s="180" t="s">
        <v>670</v>
      </c>
      <c r="G246" s="40" t="s">
        <v>110</v>
      </c>
      <c r="H246" s="46" t="s">
        <v>111</v>
      </c>
      <c r="I246" s="51" t="str">
        <f>"0x"&amp;AE_w_WORK!E117</f>
        <v>0x0000</v>
      </c>
      <c r="J246" s="41">
        <v>40473</v>
      </c>
      <c r="K246" s="42"/>
      <c r="M246" s="179"/>
      <c r="N246" s="179"/>
    </row>
    <row r="247" spans="1:14" ht="12" hidden="1" customHeight="1" outlineLevel="1">
      <c r="A247" s="13"/>
      <c r="B247" s="178">
        <v>241</v>
      </c>
      <c r="C247" s="44"/>
      <c r="D247" s="45"/>
      <c r="E247" s="39" t="s">
        <v>325</v>
      </c>
      <c r="F247" s="180" t="s">
        <v>671</v>
      </c>
      <c r="G247" s="40" t="s">
        <v>112</v>
      </c>
      <c r="H247" s="46" t="s">
        <v>113</v>
      </c>
      <c r="I247" s="51" t="str">
        <f>"0x"&amp;AE_w_WORK!E118</f>
        <v>0x0000</v>
      </c>
      <c r="J247" s="41">
        <v>40473</v>
      </c>
      <c r="K247" s="42"/>
      <c r="M247" s="179"/>
      <c r="N247" s="179"/>
    </row>
    <row r="248" spans="1:14" ht="12" hidden="1" customHeight="1" outlineLevel="1">
      <c r="A248" s="13"/>
      <c r="B248" s="178">
        <v>242</v>
      </c>
      <c r="C248" s="44"/>
      <c r="D248" s="45"/>
      <c r="E248" s="39" t="s">
        <v>325</v>
      </c>
      <c r="F248" s="180" t="s">
        <v>672</v>
      </c>
      <c r="G248" s="40" t="s">
        <v>114</v>
      </c>
      <c r="H248" s="46" t="s">
        <v>115</v>
      </c>
      <c r="I248" s="51" t="str">
        <f>"0x"&amp;AE_w_WORK!E119</f>
        <v>0x0000</v>
      </c>
      <c r="J248" s="41">
        <v>40473</v>
      </c>
      <c r="K248" s="42"/>
      <c r="M248" s="179"/>
      <c r="N248" s="179"/>
    </row>
    <row r="249" spans="1:14" ht="12" hidden="1" customHeight="1" outlineLevel="1">
      <c r="A249" s="13"/>
      <c r="B249" s="178">
        <v>243</v>
      </c>
      <c r="C249" s="44"/>
      <c r="D249" s="45"/>
      <c r="E249" s="39" t="s">
        <v>325</v>
      </c>
      <c r="F249" s="180" t="s">
        <v>673</v>
      </c>
      <c r="G249" s="40" t="s">
        <v>116</v>
      </c>
      <c r="H249" s="46" t="s">
        <v>117</v>
      </c>
      <c r="I249" s="51" t="str">
        <f>"0x"&amp;AE_w_WORK!E120</f>
        <v>0x0000</v>
      </c>
      <c r="J249" s="41">
        <v>40473</v>
      </c>
      <c r="K249" s="42"/>
      <c r="M249" s="179"/>
      <c r="N249" s="179"/>
    </row>
    <row r="250" spans="1:14" ht="12" hidden="1" customHeight="1" outlineLevel="1">
      <c r="A250" s="13"/>
      <c r="B250" s="178">
        <v>244</v>
      </c>
      <c r="C250" s="44"/>
      <c r="D250" s="45"/>
      <c r="E250" s="39" t="s">
        <v>325</v>
      </c>
      <c r="F250" s="180" t="s">
        <v>674</v>
      </c>
      <c r="G250" s="40" t="s">
        <v>118</v>
      </c>
      <c r="H250" s="46" t="s">
        <v>119</v>
      </c>
      <c r="I250" s="51" t="str">
        <f>"0x"&amp;AE_w_WORK!E121</f>
        <v>0x0000</v>
      </c>
      <c r="J250" s="41">
        <v>40473</v>
      </c>
      <c r="K250" s="42"/>
      <c r="M250" s="179"/>
      <c r="N250" s="179"/>
    </row>
    <row r="251" spans="1:14" ht="12" hidden="1" customHeight="1" outlineLevel="1">
      <c r="A251" s="13"/>
      <c r="B251" s="178">
        <v>245</v>
      </c>
      <c r="C251" s="44"/>
      <c r="D251" s="45"/>
      <c r="E251" s="39" t="s">
        <v>325</v>
      </c>
      <c r="F251" s="180" t="s">
        <v>675</v>
      </c>
      <c r="G251" s="40" t="s">
        <v>120</v>
      </c>
      <c r="H251" s="46" t="s">
        <v>264</v>
      </c>
      <c r="I251" s="51" t="str">
        <f>"0x"&amp;AE_w_WORK!E122</f>
        <v>0x0000</v>
      </c>
      <c r="J251" s="41">
        <v>40473</v>
      </c>
      <c r="K251" s="42"/>
      <c r="M251" s="179"/>
      <c r="N251" s="179"/>
    </row>
    <row r="252" spans="1:14" ht="12" hidden="1" customHeight="1" outlineLevel="1">
      <c r="A252" s="13"/>
      <c r="B252" s="178">
        <v>246</v>
      </c>
      <c r="C252" s="44"/>
      <c r="D252" s="45"/>
      <c r="E252" s="39" t="s">
        <v>325</v>
      </c>
      <c r="F252" s="180" t="s">
        <v>676</v>
      </c>
      <c r="G252" s="40" t="s">
        <v>0</v>
      </c>
      <c r="H252" s="46" t="s">
        <v>1</v>
      </c>
      <c r="I252" s="51" t="str">
        <f>"0x"&amp;AE_w_WORK!E123</f>
        <v>0x0000</v>
      </c>
      <c r="J252" s="41">
        <v>40473</v>
      </c>
      <c r="K252" s="42"/>
      <c r="M252" s="179"/>
      <c r="N252" s="179"/>
    </row>
    <row r="253" spans="1:14" ht="12" hidden="1" customHeight="1" outlineLevel="1">
      <c r="A253" s="13"/>
      <c r="B253" s="178">
        <v>247</v>
      </c>
      <c r="C253" s="44"/>
      <c r="D253" s="45"/>
      <c r="E253" s="39" t="s">
        <v>325</v>
      </c>
      <c r="F253" s="180" t="s">
        <v>677</v>
      </c>
      <c r="G253" s="40" t="s">
        <v>2</v>
      </c>
      <c r="H253" s="46" t="s">
        <v>3</v>
      </c>
      <c r="I253" s="51" t="str">
        <f>"0x"&amp;AE_w_WORK!E124</f>
        <v>0x0000</v>
      </c>
      <c r="J253" s="41">
        <v>40473</v>
      </c>
      <c r="K253" s="42"/>
      <c r="M253" s="179"/>
      <c r="N253" s="179"/>
    </row>
    <row r="254" spans="1:14" ht="12" hidden="1" customHeight="1" outlineLevel="1">
      <c r="A254" s="13"/>
      <c r="B254" s="178">
        <v>248</v>
      </c>
      <c r="C254" s="44"/>
      <c r="D254" s="45"/>
      <c r="E254" s="39" t="s">
        <v>325</v>
      </c>
      <c r="F254" s="180" t="s">
        <v>678</v>
      </c>
      <c r="G254" s="40" t="s">
        <v>4</v>
      </c>
      <c r="H254" s="46" t="s">
        <v>5</v>
      </c>
      <c r="I254" s="51" t="str">
        <f>"0x"&amp;AE_w_WORK!E125</f>
        <v>0x0000</v>
      </c>
      <c r="J254" s="41">
        <v>40473</v>
      </c>
      <c r="K254" s="42"/>
      <c r="M254" s="179"/>
      <c r="N254" s="179"/>
    </row>
    <row r="255" spans="1:14" ht="12" hidden="1" customHeight="1" outlineLevel="1">
      <c r="A255" s="13"/>
      <c r="B255" s="178">
        <v>249</v>
      </c>
      <c r="C255" s="44"/>
      <c r="D255" s="45"/>
      <c r="E255" s="39" t="s">
        <v>325</v>
      </c>
      <c r="F255" s="180" t="s">
        <v>679</v>
      </c>
      <c r="G255" s="40" t="s">
        <v>6</v>
      </c>
      <c r="H255" s="46" t="s">
        <v>7</v>
      </c>
      <c r="I255" s="51" t="str">
        <f>"0x"&amp;AE_w_WORK!E126</f>
        <v>0x0000</v>
      </c>
      <c r="J255" s="41">
        <v>40473</v>
      </c>
      <c r="K255" s="42"/>
      <c r="M255" s="179"/>
      <c r="N255" s="179"/>
    </row>
    <row r="256" spans="1:14" ht="12" hidden="1" customHeight="1" outlineLevel="1">
      <c r="A256" s="13"/>
      <c r="B256" s="178">
        <v>250</v>
      </c>
      <c r="C256" s="44"/>
      <c r="D256" s="45"/>
      <c r="E256" s="39" t="s">
        <v>325</v>
      </c>
      <c r="F256" s="180" t="s">
        <v>680</v>
      </c>
      <c r="G256" s="40" t="s">
        <v>8</v>
      </c>
      <c r="H256" s="46" t="s">
        <v>9</v>
      </c>
      <c r="I256" s="51" t="str">
        <f>"0x"&amp;AE_w_WORK!E127</f>
        <v>0x0000</v>
      </c>
      <c r="J256" s="41">
        <v>40473</v>
      </c>
      <c r="K256" s="42"/>
      <c r="M256" s="179"/>
      <c r="N256" s="179"/>
    </row>
    <row r="257" spans="1:14" ht="12" hidden="1" customHeight="1" outlineLevel="1">
      <c r="A257" s="13"/>
      <c r="B257" s="178">
        <v>251</v>
      </c>
      <c r="C257" s="44"/>
      <c r="D257" s="45"/>
      <c r="E257" s="39" t="s">
        <v>325</v>
      </c>
      <c r="F257" s="180" t="s">
        <v>681</v>
      </c>
      <c r="G257" s="40" t="s">
        <v>10</v>
      </c>
      <c r="H257" s="46" t="s">
        <v>11</v>
      </c>
      <c r="I257" s="51" t="str">
        <f>"0x"&amp;AE_w_WORK!E128</f>
        <v>0x0000</v>
      </c>
      <c r="J257" s="41">
        <v>40473</v>
      </c>
      <c r="K257" s="42"/>
      <c r="M257" s="179"/>
      <c r="N257" s="179"/>
    </row>
    <row r="258" spans="1:14" ht="12" hidden="1" customHeight="1" outlineLevel="1">
      <c r="A258" s="13"/>
      <c r="B258" s="178">
        <v>252</v>
      </c>
      <c r="C258" s="44"/>
      <c r="D258" s="45"/>
      <c r="E258" s="39" t="s">
        <v>325</v>
      </c>
      <c r="F258" s="180" t="s">
        <v>682</v>
      </c>
      <c r="G258" s="40" t="s">
        <v>12</v>
      </c>
      <c r="H258" s="46" t="s">
        <v>13</v>
      </c>
      <c r="I258" s="51" t="str">
        <f>"0x"&amp;AE_w_WORK!E129</f>
        <v>0x0000</v>
      </c>
      <c r="J258" s="41">
        <v>40473</v>
      </c>
      <c r="K258" s="42"/>
      <c r="M258" s="179"/>
      <c r="N258" s="179"/>
    </row>
    <row r="259" spans="1:14" ht="12" hidden="1" customHeight="1" outlineLevel="1">
      <c r="A259" s="13"/>
      <c r="B259" s="178">
        <v>253</v>
      </c>
      <c r="C259" s="44"/>
      <c r="D259" s="45"/>
      <c r="E259" s="39" t="s">
        <v>325</v>
      </c>
      <c r="F259" s="180" t="s">
        <v>683</v>
      </c>
      <c r="G259" s="40" t="s">
        <v>14</v>
      </c>
      <c r="H259" s="46" t="s">
        <v>15</v>
      </c>
      <c r="I259" s="51" t="str">
        <f>"0x"&amp;AE_w_WORK!E130</f>
        <v>0x0000</v>
      </c>
      <c r="J259" s="41">
        <v>40473</v>
      </c>
      <c r="K259" s="42"/>
      <c r="M259" s="179"/>
      <c r="N259" s="179"/>
    </row>
    <row r="260" spans="1:14" ht="12" hidden="1" customHeight="1" outlineLevel="1">
      <c r="A260" s="13"/>
      <c r="B260" s="178">
        <v>254</v>
      </c>
      <c r="C260" s="44"/>
      <c r="D260" s="45"/>
      <c r="E260" s="39" t="s">
        <v>325</v>
      </c>
      <c r="F260" s="180" t="s">
        <v>684</v>
      </c>
      <c r="G260" s="40" t="s">
        <v>16</v>
      </c>
      <c r="H260" s="46" t="s">
        <v>17</v>
      </c>
      <c r="I260" s="51" t="str">
        <f>"0x"&amp;AE_w_WORK!E131</f>
        <v>0x0000</v>
      </c>
      <c r="J260" s="41">
        <v>40473</v>
      </c>
      <c r="K260" s="42"/>
      <c r="M260" s="179"/>
      <c r="N260" s="179"/>
    </row>
    <row r="261" spans="1:14" ht="12" hidden="1" customHeight="1" outlineLevel="1">
      <c r="A261" s="13"/>
      <c r="B261" s="178">
        <v>255</v>
      </c>
      <c r="C261" s="44"/>
      <c r="D261" s="45"/>
      <c r="E261" s="39" t="s">
        <v>325</v>
      </c>
      <c r="F261" s="180" t="s">
        <v>685</v>
      </c>
      <c r="G261" s="40" t="s">
        <v>18</v>
      </c>
      <c r="H261" s="46" t="s">
        <v>19</v>
      </c>
      <c r="I261" s="51" t="str">
        <f>"0x"&amp;AE_w_WORK!E132</f>
        <v>0x0000</v>
      </c>
      <c r="J261" s="41">
        <v>40473</v>
      </c>
      <c r="K261" s="42"/>
      <c r="M261" s="179"/>
      <c r="N261" s="179"/>
    </row>
    <row r="262" spans="1:14" ht="12" hidden="1" customHeight="1" outlineLevel="1">
      <c r="A262" s="13"/>
      <c r="B262" s="178">
        <v>256</v>
      </c>
      <c r="C262" s="44"/>
      <c r="D262" s="47"/>
      <c r="E262" s="39" t="s">
        <v>325</v>
      </c>
      <c r="F262" s="180" t="s">
        <v>686</v>
      </c>
      <c r="G262" s="40" t="s">
        <v>20</v>
      </c>
      <c r="H262" s="46" t="s">
        <v>21</v>
      </c>
      <c r="I262" s="51" t="str">
        <f>"0x"&amp;AE_w_WORK!E133</f>
        <v>0x0000</v>
      </c>
      <c r="J262" s="41">
        <v>40473</v>
      </c>
      <c r="K262" s="42"/>
      <c r="M262" s="179"/>
      <c r="N262" s="179"/>
    </row>
    <row r="263" spans="1:14" ht="12" customHeight="1" collapsed="1">
      <c r="A263" s="13"/>
      <c r="B263" s="178">
        <v>257</v>
      </c>
      <c r="C263" s="44"/>
      <c r="D263" s="45"/>
      <c r="E263" s="39" t="s">
        <v>325</v>
      </c>
      <c r="F263" s="180" t="s">
        <v>687</v>
      </c>
      <c r="G263" s="40" t="s">
        <v>79</v>
      </c>
      <c r="H263" s="46" t="s">
        <v>80</v>
      </c>
      <c r="I263" s="51" t="str">
        <f>"0x"&amp;AE_w_WORK!F6</f>
        <v>0x0000</v>
      </c>
      <c r="J263" s="41">
        <v>40473</v>
      </c>
      <c r="K263" s="42" t="s">
        <v>327</v>
      </c>
      <c r="M263" s="179"/>
      <c r="N263" s="179"/>
    </row>
    <row r="264" spans="1:14" ht="12" hidden="1" customHeight="1" outlineLevel="1">
      <c r="A264" s="13"/>
      <c r="B264" s="178">
        <v>258</v>
      </c>
      <c r="C264" s="44"/>
      <c r="D264" s="45"/>
      <c r="E264" s="39" t="s">
        <v>325</v>
      </c>
      <c r="F264" s="180" t="s">
        <v>688</v>
      </c>
      <c r="G264" s="40" t="s">
        <v>77</v>
      </c>
      <c r="H264" s="46" t="s">
        <v>78</v>
      </c>
      <c r="I264" s="51" t="str">
        <f>"0x"&amp;AE_w_WORK!F7</f>
        <v>0x0000</v>
      </c>
      <c r="J264" s="41">
        <v>40473</v>
      </c>
      <c r="K264" s="42"/>
      <c r="M264" s="179"/>
      <c r="N264" s="179"/>
    </row>
    <row r="265" spans="1:14" ht="12" hidden="1" customHeight="1" outlineLevel="1">
      <c r="A265" s="13"/>
      <c r="B265" s="178">
        <v>259</v>
      </c>
      <c r="C265" s="44"/>
      <c r="D265" s="45"/>
      <c r="E265" s="39" t="s">
        <v>325</v>
      </c>
      <c r="F265" s="180" t="s">
        <v>689</v>
      </c>
      <c r="G265" s="40" t="s">
        <v>22</v>
      </c>
      <c r="H265" s="46" t="s">
        <v>23</v>
      </c>
      <c r="I265" s="51" t="str">
        <f>"0x"&amp;AE_w_WORK!F8</f>
        <v>0x0000</v>
      </c>
      <c r="J265" s="41">
        <v>40473</v>
      </c>
      <c r="K265" s="42"/>
      <c r="M265" s="179"/>
      <c r="N265" s="179"/>
    </row>
    <row r="266" spans="1:14" ht="12" hidden="1" customHeight="1" outlineLevel="1">
      <c r="A266" s="13"/>
      <c r="B266" s="178">
        <v>260</v>
      </c>
      <c r="C266" s="44"/>
      <c r="D266" s="45"/>
      <c r="E266" s="39" t="s">
        <v>325</v>
      </c>
      <c r="F266" s="180" t="s">
        <v>690</v>
      </c>
      <c r="G266" s="40" t="s">
        <v>24</v>
      </c>
      <c r="H266" s="46" t="s">
        <v>25</v>
      </c>
      <c r="I266" s="51" t="str">
        <f>"0x"&amp;AE_w_WORK!F9</f>
        <v>0x0000</v>
      </c>
      <c r="J266" s="41">
        <v>40473</v>
      </c>
      <c r="K266" s="42"/>
      <c r="M266" s="179"/>
      <c r="N266" s="179"/>
    </row>
    <row r="267" spans="1:14" ht="12" hidden="1" customHeight="1" outlineLevel="1">
      <c r="A267" s="13"/>
      <c r="B267" s="178">
        <v>261</v>
      </c>
      <c r="C267" s="44"/>
      <c r="D267" s="45"/>
      <c r="E267" s="39" t="s">
        <v>325</v>
      </c>
      <c r="F267" s="180" t="s">
        <v>691</v>
      </c>
      <c r="G267" s="40" t="s">
        <v>26</v>
      </c>
      <c r="H267" s="46" t="s">
        <v>27</v>
      </c>
      <c r="I267" s="51" t="str">
        <f>"0x"&amp;AE_w_WORK!F10</f>
        <v>0x0000</v>
      </c>
      <c r="J267" s="41">
        <v>40473</v>
      </c>
      <c r="K267" s="42"/>
      <c r="M267" s="179"/>
      <c r="N267" s="179"/>
    </row>
    <row r="268" spans="1:14" ht="12" hidden="1" customHeight="1" outlineLevel="1">
      <c r="A268" s="13"/>
      <c r="B268" s="178">
        <v>262</v>
      </c>
      <c r="C268" s="44"/>
      <c r="D268" s="45"/>
      <c r="E268" s="39" t="s">
        <v>325</v>
      </c>
      <c r="F268" s="180" t="s">
        <v>692</v>
      </c>
      <c r="G268" s="40" t="s">
        <v>28</v>
      </c>
      <c r="H268" s="46" t="s">
        <v>29</v>
      </c>
      <c r="I268" s="51" t="str">
        <f>"0x"&amp;AE_w_WORK!F11</f>
        <v>0x0000</v>
      </c>
      <c r="J268" s="41">
        <v>40473</v>
      </c>
      <c r="K268" s="42"/>
      <c r="M268" s="179"/>
      <c r="N268" s="179"/>
    </row>
    <row r="269" spans="1:14" ht="12" hidden="1" customHeight="1" outlineLevel="1">
      <c r="A269" s="13"/>
      <c r="B269" s="178">
        <v>263</v>
      </c>
      <c r="C269" s="44"/>
      <c r="D269" s="45"/>
      <c r="E269" s="39" t="s">
        <v>325</v>
      </c>
      <c r="F269" s="180" t="s">
        <v>693</v>
      </c>
      <c r="G269" s="40" t="s">
        <v>30</v>
      </c>
      <c r="H269" s="46" t="s">
        <v>31</v>
      </c>
      <c r="I269" s="51" t="str">
        <f>"0x"&amp;AE_w_WORK!F12</f>
        <v>0x0000</v>
      </c>
      <c r="J269" s="41">
        <v>40473</v>
      </c>
      <c r="K269" s="42"/>
      <c r="M269" s="179"/>
      <c r="N269" s="179"/>
    </row>
    <row r="270" spans="1:14" ht="12" hidden="1" customHeight="1" outlineLevel="1">
      <c r="A270" s="13"/>
      <c r="B270" s="178">
        <v>264</v>
      </c>
      <c r="C270" s="44"/>
      <c r="D270" s="45"/>
      <c r="E270" s="39" t="s">
        <v>325</v>
      </c>
      <c r="F270" s="180" t="s">
        <v>694</v>
      </c>
      <c r="G270" s="40" t="s">
        <v>32</v>
      </c>
      <c r="H270" s="46" t="s">
        <v>33</v>
      </c>
      <c r="I270" s="51" t="str">
        <f>"0x"&amp;AE_w_WORK!F13</f>
        <v>0x0000</v>
      </c>
      <c r="J270" s="41">
        <v>40473</v>
      </c>
      <c r="K270" s="42"/>
      <c r="M270" s="179"/>
      <c r="N270" s="179"/>
    </row>
    <row r="271" spans="1:14" ht="12" hidden="1" customHeight="1" outlineLevel="1">
      <c r="A271" s="13"/>
      <c r="B271" s="178">
        <v>265</v>
      </c>
      <c r="C271" s="44"/>
      <c r="D271" s="45"/>
      <c r="E271" s="39" t="s">
        <v>325</v>
      </c>
      <c r="F271" s="180" t="s">
        <v>695</v>
      </c>
      <c r="G271" s="40" t="s">
        <v>34</v>
      </c>
      <c r="H271" s="46" t="s">
        <v>35</v>
      </c>
      <c r="I271" s="51" t="str">
        <f>"0x"&amp;AE_w_WORK!F14</f>
        <v>0x0000</v>
      </c>
      <c r="J271" s="41">
        <v>40473</v>
      </c>
      <c r="K271" s="42"/>
      <c r="M271" s="179"/>
      <c r="N271" s="179"/>
    </row>
    <row r="272" spans="1:14" ht="12" hidden="1" customHeight="1" outlineLevel="1">
      <c r="A272" s="13"/>
      <c r="B272" s="178">
        <v>266</v>
      </c>
      <c r="C272" s="44"/>
      <c r="D272" s="45"/>
      <c r="E272" s="39" t="s">
        <v>325</v>
      </c>
      <c r="F272" s="180" t="s">
        <v>696</v>
      </c>
      <c r="G272" s="40" t="s">
        <v>36</v>
      </c>
      <c r="H272" s="46" t="s">
        <v>37</v>
      </c>
      <c r="I272" s="51" t="str">
        <f>"0x"&amp;AE_w_WORK!F15</f>
        <v>0x0000</v>
      </c>
      <c r="J272" s="41">
        <v>40473</v>
      </c>
      <c r="K272" s="42"/>
      <c r="M272" s="179"/>
      <c r="N272" s="179"/>
    </row>
    <row r="273" spans="1:14" ht="12" hidden="1" customHeight="1" outlineLevel="1">
      <c r="A273" s="13"/>
      <c r="B273" s="178">
        <v>267</v>
      </c>
      <c r="C273" s="44"/>
      <c r="D273" s="45"/>
      <c r="E273" s="39" t="s">
        <v>325</v>
      </c>
      <c r="F273" s="180" t="s">
        <v>697</v>
      </c>
      <c r="G273" s="40" t="s">
        <v>38</v>
      </c>
      <c r="H273" s="46" t="s">
        <v>39</v>
      </c>
      <c r="I273" s="51" t="str">
        <f>"0x"&amp;AE_w_WORK!F16</f>
        <v>0x0000</v>
      </c>
      <c r="J273" s="41">
        <v>40473</v>
      </c>
      <c r="K273" s="42"/>
      <c r="M273" s="179"/>
      <c r="N273" s="179"/>
    </row>
    <row r="274" spans="1:14" ht="12" hidden="1" customHeight="1" outlineLevel="1">
      <c r="A274" s="13"/>
      <c r="B274" s="178">
        <v>268</v>
      </c>
      <c r="C274" s="44"/>
      <c r="D274" s="45"/>
      <c r="E274" s="39" t="s">
        <v>325</v>
      </c>
      <c r="F274" s="180" t="s">
        <v>698</v>
      </c>
      <c r="G274" s="40" t="s">
        <v>40</v>
      </c>
      <c r="H274" s="46" t="s">
        <v>41</v>
      </c>
      <c r="I274" s="51" t="str">
        <f>"0x"&amp;AE_w_WORK!F17</f>
        <v>0x0000</v>
      </c>
      <c r="J274" s="41">
        <v>40473</v>
      </c>
      <c r="K274" s="42"/>
      <c r="M274" s="179"/>
      <c r="N274" s="179"/>
    </row>
    <row r="275" spans="1:14" ht="12" hidden="1" customHeight="1" outlineLevel="1">
      <c r="A275" s="13"/>
      <c r="B275" s="178">
        <v>269</v>
      </c>
      <c r="C275" s="44"/>
      <c r="D275" s="45"/>
      <c r="E275" s="39" t="s">
        <v>325</v>
      </c>
      <c r="F275" s="180" t="s">
        <v>699</v>
      </c>
      <c r="G275" s="40" t="s">
        <v>42</v>
      </c>
      <c r="H275" s="46" t="s">
        <v>43</v>
      </c>
      <c r="I275" s="51" t="str">
        <f>"0x"&amp;AE_w_WORK!F18</f>
        <v>0x0000</v>
      </c>
      <c r="J275" s="41">
        <v>40473</v>
      </c>
      <c r="K275" s="42"/>
      <c r="M275" s="179"/>
      <c r="N275" s="179"/>
    </row>
    <row r="276" spans="1:14" ht="12" hidden="1" customHeight="1" outlineLevel="1">
      <c r="A276" s="13"/>
      <c r="B276" s="178">
        <v>270</v>
      </c>
      <c r="C276" s="44"/>
      <c r="D276" s="45"/>
      <c r="E276" s="39" t="s">
        <v>325</v>
      </c>
      <c r="F276" s="180" t="s">
        <v>700</v>
      </c>
      <c r="G276" s="40" t="s">
        <v>44</v>
      </c>
      <c r="H276" s="46" t="s">
        <v>45</v>
      </c>
      <c r="I276" s="51" t="str">
        <f>"0x"&amp;AE_w_WORK!F19</f>
        <v>0x0000</v>
      </c>
      <c r="J276" s="41">
        <v>40473</v>
      </c>
      <c r="K276" s="42"/>
      <c r="M276" s="179"/>
      <c r="N276" s="179"/>
    </row>
    <row r="277" spans="1:14" ht="12" hidden="1" customHeight="1" outlineLevel="1">
      <c r="A277" s="13"/>
      <c r="B277" s="178">
        <v>271</v>
      </c>
      <c r="C277" s="44"/>
      <c r="D277" s="45"/>
      <c r="E277" s="39" t="s">
        <v>325</v>
      </c>
      <c r="F277" s="180" t="s">
        <v>701</v>
      </c>
      <c r="G277" s="40" t="s">
        <v>46</v>
      </c>
      <c r="H277" s="46" t="s">
        <v>47</v>
      </c>
      <c r="I277" s="51" t="str">
        <f>"0x"&amp;AE_w_WORK!F20</f>
        <v>0x0000</v>
      </c>
      <c r="J277" s="41">
        <v>40473</v>
      </c>
      <c r="K277" s="42"/>
      <c r="M277" s="179"/>
      <c r="N277" s="179"/>
    </row>
    <row r="278" spans="1:14" ht="12" hidden="1" customHeight="1" outlineLevel="1">
      <c r="A278" s="13"/>
      <c r="B278" s="178">
        <v>272</v>
      </c>
      <c r="C278" s="44"/>
      <c r="D278" s="45"/>
      <c r="E278" s="39" t="s">
        <v>325</v>
      </c>
      <c r="F278" s="180" t="s">
        <v>702</v>
      </c>
      <c r="G278" s="40" t="s">
        <v>48</v>
      </c>
      <c r="H278" s="46" t="s">
        <v>49</v>
      </c>
      <c r="I278" s="51" t="str">
        <f>"0x"&amp;AE_w_WORK!F21</f>
        <v>0x0000</v>
      </c>
      <c r="J278" s="41">
        <v>40473</v>
      </c>
      <c r="K278" s="42"/>
      <c r="M278" s="179"/>
      <c r="N278" s="179"/>
    </row>
    <row r="279" spans="1:14" ht="12" hidden="1" customHeight="1" outlineLevel="1">
      <c r="A279" s="13"/>
      <c r="B279" s="178">
        <v>273</v>
      </c>
      <c r="C279" s="44"/>
      <c r="D279" s="45"/>
      <c r="E279" s="39" t="s">
        <v>325</v>
      </c>
      <c r="F279" s="180" t="s">
        <v>703</v>
      </c>
      <c r="G279" s="40" t="s">
        <v>50</v>
      </c>
      <c r="H279" s="46" t="s">
        <v>51</v>
      </c>
      <c r="I279" s="51" t="str">
        <f>"0x"&amp;AE_w_WORK!F22</f>
        <v>0x0000</v>
      </c>
      <c r="J279" s="41">
        <v>40473</v>
      </c>
      <c r="K279" s="42"/>
      <c r="M279" s="179"/>
      <c r="N279" s="179"/>
    </row>
    <row r="280" spans="1:14" ht="12" hidden="1" customHeight="1" outlineLevel="1">
      <c r="A280" s="13"/>
      <c r="B280" s="178">
        <v>274</v>
      </c>
      <c r="C280" s="44"/>
      <c r="D280" s="45"/>
      <c r="E280" s="39" t="s">
        <v>325</v>
      </c>
      <c r="F280" s="180" t="s">
        <v>704</v>
      </c>
      <c r="G280" s="40" t="s">
        <v>52</v>
      </c>
      <c r="H280" s="46" t="s">
        <v>53</v>
      </c>
      <c r="I280" s="51" t="str">
        <f>"0x"&amp;AE_w_WORK!F23</f>
        <v>0x0022</v>
      </c>
      <c r="J280" s="41">
        <v>40473</v>
      </c>
      <c r="K280" s="42"/>
      <c r="M280" s="179"/>
      <c r="N280" s="179"/>
    </row>
    <row r="281" spans="1:14" ht="12" hidden="1" customHeight="1" outlineLevel="1">
      <c r="A281" s="13"/>
      <c r="B281" s="178">
        <v>275</v>
      </c>
      <c r="C281" s="44"/>
      <c r="D281" s="45"/>
      <c r="E281" s="39" t="s">
        <v>325</v>
      </c>
      <c r="F281" s="180" t="s">
        <v>705</v>
      </c>
      <c r="G281" s="40" t="s">
        <v>54</v>
      </c>
      <c r="H281" s="46" t="s">
        <v>55</v>
      </c>
      <c r="I281" s="51" t="str">
        <f>"0x"&amp;AE_w_WORK!F24</f>
        <v>0x2200</v>
      </c>
      <c r="J281" s="41">
        <v>40473</v>
      </c>
      <c r="K281" s="42"/>
      <c r="M281" s="179"/>
      <c r="N281" s="179"/>
    </row>
    <row r="282" spans="1:14" ht="12" hidden="1" customHeight="1" outlineLevel="1">
      <c r="A282" s="13"/>
      <c r="B282" s="178">
        <v>276</v>
      </c>
      <c r="C282" s="44"/>
      <c r="D282" s="45"/>
      <c r="E282" s="39" t="s">
        <v>325</v>
      </c>
      <c r="F282" s="180" t="s">
        <v>706</v>
      </c>
      <c r="G282" s="40" t="s">
        <v>56</v>
      </c>
      <c r="H282" s="46" t="s">
        <v>57</v>
      </c>
      <c r="I282" s="51" t="str">
        <f>"0x"&amp;AE_w_WORK!F25</f>
        <v>0x0000</v>
      </c>
      <c r="J282" s="41">
        <v>40473</v>
      </c>
      <c r="K282" s="42"/>
      <c r="M282" s="179"/>
      <c r="N282" s="179"/>
    </row>
    <row r="283" spans="1:14" ht="12" hidden="1" customHeight="1" outlineLevel="1">
      <c r="A283" s="13"/>
      <c r="B283" s="178">
        <v>277</v>
      </c>
      <c r="C283" s="44"/>
      <c r="D283" s="45"/>
      <c r="E283" s="39" t="s">
        <v>325</v>
      </c>
      <c r="F283" s="180" t="s">
        <v>707</v>
      </c>
      <c r="G283" s="40" t="s">
        <v>58</v>
      </c>
      <c r="H283" s="46" t="s">
        <v>59</v>
      </c>
      <c r="I283" s="51" t="str">
        <f>"0x"&amp;AE_w_WORK!F26</f>
        <v>0x0000</v>
      </c>
      <c r="J283" s="41">
        <v>40473</v>
      </c>
      <c r="K283" s="42"/>
      <c r="M283" s="179"/>
      <c r="N283" s="179"/>
    </row>
    <row r="284" spans="1:14" ht="12" hidden="1" customHeight="1" outlineLevel="1">
      <c r="A284" s="13"/>
      <c r="B284" s="178">
        <v>278</v>
      </c>
      <c r="C284" s="44"/>
      <c r="D284" s="45"/>
      <c r="E284" s="39" t="s">
        <v>325</v>
      </c>
      <c r="F284" s="180" t="s">
        <v>708</v>
      </c>
      <c r="G284" s="40" t="s">
        <v>60</v>
      </c>
      <c r="H284" s="46" t="s">
        <v>61</v>
      </c>
      <c r="I284" s="51" t="str">
        <f>"0x"&amp;AE_w_WORK!F27</f>
        <v>0x0022</v>
      </c>
      <c r="J284" s="41">
        <v>40473</v>
      </c>
      <c r="K284" s="42"/>
      <c r="M284" s="179"/>
      <c r="N284" s="179"/>
    </row>
    <row r="285" spans="1:14" ht="12" hidden="1" customHeight="1" outlineLevel="1">
      <c r="A285" s="13"/>
      <c r="B285" s="178">
        <v>279</v>
      </c>
      <c r="C285" s="44"/>
      <c r="D285" s="45"/>
      <c r="E285" s="39" t="s">
        <v>325</v>
      </c>
      <c r="F285" s="180" t="s">
        <v>709</v>
      </c>
      <c r="G285" s="40" t="s">
        <v>62</v>
      </c>
      <c r="H285" s="46" t="s">
        <v>63</v>
      </c>
      <c r="I285" s="51" t="str">
        <f>"0x"&amp;AE_w_WORK!F28</f>
        <v>0x2200</v>
      </c>
      <c r="J285" s="41">
        <v>40473</v>
      </c>
      <c r="K285" s="42"/>
      <c r="M285" s="179"/>
      <c r="N285" s="179"/>
    </row>
    <row r="286" spans="1:14" ht="12" hidden="1" customHeight="1" outlineLevel="1">
      <c r="A286" s="13"/>
      <c r="B286" s="178">
        <v>280</v>
      </c>
      <c r="C286" s="44"/>
      <c r="D286" s="45"/>
      <c r="E286" s="39" t="s">
        <v>325</v>
      </c>
      <c r="F286" s="180" t="s">
        <v>710</v>
      </c>
      <c r="G286" s="40" t="s">
        <v>64</v>
      </c>
      <c r="H286" s="46" t="s">
        <v>65</v>
      </c>
      <c r="I286" s="51" t="str">
        <f>"0x"&amp;AE_w_WORK!F29</f>
        <v>0x0000</v>
      </c>
      <c r="J286" s="41">
        <v>40473</v>
      </c>
      <c r="K286" s="42"/>
      <c r="M286" s="179"/>
      <c r="N286" s="179"/>
    </row>
    <row r="287" spans="1:14" ht="12" hidden="1" customHeight="1" outlineLevel="1">
      <c r="A287" s="13"/>
      <c r="B287" s="178">
        <v>281</v>
      </c>
      <c r="C287" s="44"/>
      <c r="D287" s="45"/>
      <c r="E287" s="39" t="s">
        <v>325</v>
      </c>
      <c r="F287" s="180" t="s">
        <v>711</v>
      </c>
      <c r="G287" s="40" t="s">
        <v>66</v>
      </c>
      <c r="H287" s="46" t="s">
        <v>67</v>
      </c>
      <c r="I287" s="51" t="str">
        <f>"0x"&amp;AE_w_WORK!F30</f>
        <v>0x0000</v>
      </c>
      <c r="J287" s="41">
        <v>40473</v>
      </c>
      <c r="K287" s="42"/>
      <c r="M287" s="179"/>
      <c r="N287" s="179"/>
    </row>
    <row r="288" spans="1:14" ht="12" hidden="1" customHeight="1" outlineLevel="1">
      <c r="A288" s="13"/>
      <c r="B288" s="178">
        <v>282</v>
      </c>
      <c r="C288" s="44"/>
      <c r="D288" s="45"/>
      <c r="E288" s="39" t="s">
        <v>325</v>
      </c>
      <c r="F288" s="180" t="s">
        <v>712</v>
      </c>
      <c r="G288" s="40" t="s">
        <v>68</v>
      </c>
      <c r="H288" s="46" t="s">
        <v>69</v>
      </c>
      <c r="I288" s="51" t="str">
        <f>"0x"&amp;AE_w_WORK!F31</f>
        <v>0x2223</v>
      </c>
      <c r="J288" s="41">
        <v>40473</v>
      </c>
      <c r="K288" s="42"/>
      <c r="M288" s="179"/>
      <c r="N288" s="179"/>
    </row>
    <row r="289" spans="1:14" ht="12" hidden="1" customHeight="1" outlineLevel="1">
      <c r="A289" s="13"/>
      <c r="B289" s="178">
        <v>283</v>
      </c>
      <c r="C289" s="44"/>
      <c r="D289" s="45"/>
      <c r="E289" s="39" t="s">
        <v>325</v>
      </c>
      <c r="F289" s="180" t="s">
        <v>713</v>
      </c>
      <c r="G289" s="40" t="s">
        <v>70</v>
      </c>
      <c r="H289" s="46" t="s">
        <v>71</v>
      </c>
      <c r="I289" s="51" t="str">
        <f>"0x"&amp;AE_w_WORK!F32</f>
        <v>0x3222</v>
      </c>
      <c r="J289" s="41">
        <v>40473</v>
      </c>
      <c r="K289" s="42"/>
      <c r="M289" s="179"/>
      <c r="N289" s="179"/>
    </row>
    <row r="290" spans="1:14" ht="12" hidden="1" customHeight="1" outlineLevel="1">
      <c r="A290" s="13"/>
      <c r="B290" s="178">
        <v>284</v>
      </c>
      <c r="C290" s="44"/>
      <c r="D290" s="45"/>
      <c r="E290" s="39" t="s">
        <v>325</v>
      </c>
      <c r="F290" s="180" t="s">
        <v>714</v>
      </c>
      <c r="G290" s="40" t="s">
        <v>72</v>
      </c>
      <c r="H290" s="46" t="s">
        <v>73</v>
      </c>
      <c r="I290" s="51" t="str">
        <f>"0x"&amp;AE_w_WORK!F33</f>
        <v>0x0000</v>
      </c>
      <c r="J290" s="41">
        <v>40473</v>
      </c>
      <c r="K290" s="42"/>
      <c r="M290" s="179"/>
      <c r="N290" s="179"/>
    </row>
    <row r="291" spans="1:14" ht="12" hidden="1" customHeight="1" outlineLevel="1">
      <c r="A291" s="13"/>
      <c r="B291" s="178">
        <v>285</v>
      </c>
      <c r="C291" s="44"/>
      <c r="D291" s="45"/>
      <c r="E291" s="39" t="s">
        <v>325</v>
      </c>
      <c r="F291" s="180" t="s">
        <v>715</v>
      </c>
      <c r="G291" s="40" t="s">
        <v>74</v>
      </c>
      <c r="H291" s="46" t="s">
        <v>128</v>
      </c>
      <c r="I291" s="51" t="str">
        <f>"0x"&amp;AE_w_WORK!F34</f>
        <v>0x0000</v>
      </c>
      <c r="J291" s="41">
        <v>40473</v>
      </c>
      <c r="K291" s="42"/>
      <c r="M291" s="179"/>
      <c r="N291" s="179"/>
    </row>
    <row r="292" spans="1:14" ht="12" hidden="1" customHeight="1" outlineLevel="1">
      <c r="A292" s="13"/>
      <c r="B292" s="178">
        <v>286</v>
      </c>
      <c r="C292" s="44"/>
      <c r="D292" s="45"/>
      <c r="E292" s="39" t="s">
        <v>325</v>
      </c>
      <c r="F292" s="180" t="s">
        <v>716</v>
      </c>
      <c r="G292" s="40" t="s">
        <v>129</v>
      </c>
      <c r="H292" s="46" t="s">
        <v>130</v>
      </c>
      <c r="I292" s="51" t="str">
        <f>"0x"&amp;AE_w_WORK!F35</f>
        <v>0x2223</v>
      </c>
      <c r="J292" s="41">
        <v>40473</v>
      </c>
      <c r="K292" s="42"/>
      <c r="M292" s="179"/>
      <c r="N292" s="179"/>
    </row>
    <row r="293" spans="1:14" ht="12" hidden="1" customHeight="1" outlineLevel="1">
      <c r="A293" s="13"/>
      <c r="B293" s="178">
        <v>287</v>
      </c>
      <c r="C293" s="44"/>
      <c r="D293" s="45"/>
      <c r="E293" s="39" t="s">
        <v>325</v>
      </c>
      <c r="F293" s="180" t="s">
        <v>717</v>
      </c>
      <c r="G293" s="40" t="s">
        <v>131</v>
      </c>
      <c r="H293" s="46" t="s">
        <v>132</v>
      </c>
      <c r="I293" s="51" t="str">
        <f>"0x"&amp;AE_w_WORK!F36</f>
        <v>0x3222</v>
      </c>
      <c r="J293" s="41">
        <v>40473</v>
      </c>
      <c r="K293" s="42"/>
      <c r="M293" s="179"/>
      <c r="N293" s="179"/>
    </row>
    <row r="294" spans="1:14" ht="12" hidden="1" customHeight="1" outlineLevel="1">
      <c r="A294" s="13"/>
      <c r="B294" s="178">
        <v>288</v>
      </c>
      <c r="C294" s="44"/>
      <c r="D294" s="45"/>
      <c r="E294" s="39" t="s">
        <v>325</v>
      </c>
      <c r="F294" s="180" t="s">
        <v>718</v>
      </c>
      <c r="G294" s="40" t="s">
        <v>133</v>
      </c>
      <c r="H294" s="46" t="s">
        <v>134</v>
      </c>
      <c r="I294" s="51" t="str">
        <f>"0x"&amp;AE_w_WORK!F37</f>
        <v>0x0000</v>
      </c>
      <c r="J294" s="41">
        <v>40473</v>
      </c>
      <c r="K294" s="42"/>
      <c r="M294" s="179"/>
      <c r="N294" s="179"/>
    </row>
    <row r="295" spans="1:14" ht="12" hidden="1" customHeight="1" outlineLevel="1">
      <c r="A295" s="13"/>
      <c r="B295" s="178">
        <v>289</v>
      </c>
      <c r="C295" s="44"/>
      <c r="D295" s="45"/>
      <c r="E295" s="39" t="s">
        <v>325</v>
      </c>
      <c r="F295" s="180" t="s">
        <v>719</v>
      </c>
      <c r="G295" s="40" t="s">
        <v>135</v>
      </c>
      <c r="H295" s="46" t="s">
        <v>136</v>
      </c>
      <c r="I295" s="51" t="str">
        <f>"0x"&amp;AE_w_WORK!F38</f>
        <v>0x0002</v>
      </c>
      <c r="J295" s="41">
        <v>40473</v>
      </c>
      <c r="K295" s="42"/>
      <c r="M295" s="179"/>
      <c r="N295" s="179"/>
    </row>
    <row r="296" spans="1:14" ht="12" hidden="1" customHeight="1" outlineLevel="1">
      <c r="A296" s="13"/>
      <c r="B296" s="178">
        <v>290</v>
      </c>
      <c r="C296" s="44"/>
      <c r="D296" s="45"/>
      <c r="E296" s="39" t="s">
        <v>325</v>
      </c>
      <c r="F296" s="180" t="s">
        <v>720</v>
      </c>
      <c r="G296" s="40" t="s">
        <v>137</v>
      </c>
      <c r="H296" s="46" t="s">
        <v>138</v>
      </c>
      <c r="I296" s="51" t="str">
        <f>"0x"&amp;AE_w_WORK!F39</f>
        <v>0x2334</v>
      </c>
      <c r="J296" s="41">
        <v>40473</v>
      </c>
      <c r="K296" s="42"/>
      <c r="M296" s="179"/>
      <c r="N296" s="179"/>
    </row>
    <row r="297" spans="1:14" ht="12" hidden="1" customHeight="1" outlineLevel="1">
      <c r="A297" s="13"/>
      <c r="B297" s="178">
        <v>291</v>
      </c>
      <c r="C297" s="44"/>
      <c r="D297" s="45"/>
      <c r="E297" s="39" t="s">
        <v>325</v>
      </c>
      <c r="F297" s="180" t="s">
        <v>721</v>
      </c>
      <c r="G297" s="40" t="s">
        <v>139</v>
      </c>
      <c r="H297" s="46" t="s">
        <v>140</v>
      </c>
      <c r="I297" s="51" t="str">
        <f>"0x"&amp;AE_w_WORK!F40</f>
        <v>0x4332</v>
      </c>
      <c r="J297" s="41">
        <v>40473</v>
      </c>
      <c r="K297" s="42"/>
      <c r="M297" s="179"/>
      <c r="N297" s="179"/>
    </row>
    <row r="298" spans="1:14" ht="12" hidden="1" customHeight="1" outlineLevel="1">
      <c r="A298" s="13"/>
      <c r="B298" s="178">
        <v>292</v>
      </c>
      <c r="C298" s="44"/>
      <c r="D298" s="45"/>
      <c r="E298" s="39" t="s">
        <v>325</v>
      </c>
      <c r="F298" s="180" t="s">
        <v>722</v>
      </c>
      <c r="G298" s="40" t="s">
        <v>141</v>
      </c>
      <c r="H298" s="46" t="s">
        <v>142</v>
      </c>
      <c r="I298" s="51" t="str">
        <f>"0x"&amp;AE_w_WORK!F41</f>
        <v>0x2000</v>
      </c>
      <c r="J298" s="41">
        <v>40473</v>
      </c>
      <c r="K298" s="42"/>
      <c r="M298" s="179"/>
      <c r="N298" s="179"/>
    </row>
    <row r="299" spans="1:14" ht="12" hidden="1" customHeight="1" outlineLevel="1">
      <c r="A299" s="13"/>
      <c r="B299" s="178">
        <v>293</v>
      </c>
      <c r="C299" s="44"/>
      <c r="D299" s="45"/>
      <c r="E299" s="39" t="s">
        <v>325</v>
      </c>
      <c r="F299" s="180" t="s">
        <v>723</v>
      </c>
      <c r="G299" s="40" t="s">
        <v>143</v>
      </c>
      <c r="H299" s="46" t="s">
        <v>144</v>
      </c>
      <c r="I299" s="51" t="str">
        <f>"0x"&amp;AE_w_WORK!F42</f>
        <v>0x0002</v>
      </c>
      <c r="J299" s="41">
        <v>40473</v>
      </c>
      <c r="K299" s="42"/>
      <c r="M299" s="179"/>
      <c r="N299" s="179"/>
    </row>
    <row r="300" spans="1:14" ht="12" hidden="1" customHeight="1" outlineLevel="1">
      <c r="A300" s="13"/>
      <c r="B300" s="178">
        <v>294</v>
      </c>
      <c r="C300" s="44"/>
      <c r="D300" s="45"/>
      <c r="E300" s="39" t="s">
        <v>325</v>
      </c>
      <c r="F300" s="180" t="s">
        <v>724</v>
      </c>
      <c r="G300" s="40" t="s">
        <v>145</v>
      </c>
      <c r="H300" s="46" t="s">
        <v>146</v>
      </c>
      <c r="I300" s="51" t="str">
        <f>"0x"&amp;AE_w_WORK!F43</f>
        <v>0x2334</v>
      </c>
      <c r="J300" s="41">
        <v>40473</v>
      </c>
      <c r="K300" s="42"/>
      <c r="M300" s="179"/>
      <c r="N300" s="179"/>
    </row>
    <row r="301" spans="1:14" ht="12" hidden="1" customHeight="1" outlineLevel="1">
      <c r="A301" s="13"/>
      <c r="B301" s="178">
        <v>295</v>
      </c>
      <c r="C301" s="44"/>
      <c r="D301" s="45"/>
      <c r="E301" s="39" t="s">
        <v>325</v>
      </c>
      <c r="F301" s="180" t="s">
        <v>725</v>
      </c>
      <c r="G301" s="40" t="s">
        <v>147</v>
      </c>
      <c r="H301" s="46" t="s">
        <v>148</v>
      </c>
      <c r="I301" s="51" t="str">
        <f>"0x"&amp;AE_w_WORK!F44</f>
        <v>0x4332</v>
      </c>
      <c r="J301" s="41">
        <v>40473</v>
      </c>
      <c r="K301" s="42"/>
      <c r="M301" s="179"/>
      <c r="N301" s="179"/>
    </row>
    <row r="302" spans="1:14" ht="12" hidden="1" customHeight="1" outlineLevel="1">
      <c r="A302" s="13"/>
      <c r="B302" s="178">
        <v>296</v>
      </c>
      <c r="C302" s="44"/>
      <c r="D302" s="45"/>
      <c r="E302" s="39" t="s">
        <v>325</v>
      </c>
      <c r="F302" s="180" t="s">
        <v>726</v>
      </c>
      <c r="G302" s="40" t="s">
        <v>149</v>
      </c>
      <c r="H302" s="46" t="s">
        <v>150</v>
      </c>
      <c r="I302" s="51" t="str">
        <f>"0x"&amp;AE_w_WORK!F45</f>
        <v>0x2000</v>
      </c>
      <c r="J302" s="41">
        <v>40473</v>
      </c>
      <c r="K302" s="42"/>
      <c r="M302" s="179"/>
      <c r="N302" s="179"/>
    </row>
    <row r="303" spans="1:14" ht="12" hidden="1" customHeight="1" outlineLevel="1">
      <c r="A303" s="13"/>
      <c r="B303" s="178">
        <v>297</v>
      </c>
      <c r="C303" s="44"/>
      <c r="D303" s="45"/>
      <c r="E303" s="39" t="s">
        <v>325</v>
      </c>
      <c r="F303" s="180" t="s">
        <v>727</v>
      </c>
      <c r="G303" s="40" t="s">
        <v>151</v>
      </c>
      <c r="H303" s="46" t="s">
        <v>152</v>
      </c>
      <c r="I303" s="51" t="str">
        <f>"0x"&amp;AE_w_WORK!F46</f>
        <v>0x0002</v>
      </c>
      <c r="J303" s="41">
        <v>40473</v>
      </c>
      <c r="K303" s="42"/>
      <c r="M303" s="179"/>
      <c r="N303" s="179"/>
    </row>
    <row r="304" spans="1:14" ht="12" hidden="1" customHeight="1" outlineLevel="1">
      <c r="A304" s="13"/>
      <c r="B304" s="178">
        <v>298</v>
      </c>
      <c r="C304" s="44"/>
      <c r="D304" s="45"/>
      <c r="E304" s="39" t="s">
        <v>325</v>
      </c>
      <c r="F304" s="180" t="s">
        <v>728</v>
      </c>
      <c r="G304" s="40" t="s">
        <v>153</v>
      </c>
      <c r="H304" s="46" t="s">
        <v>154</v>
      </c>
      <c r="I304" s="51" t="str">
        <f>"0x"&amp;AE_w_WORK!F47</f>
        <v>0x3445</v>
      </c>
      <c r="J304" s="41">
        <v>40473</v>
      </c>
      <c r="K304" s="42"/>
      <c r="M304" s="179"/>
      <c r="N304" s="179"/>
    </row>
    <row r="305" spans="1:14" ht="12" hidden="1" customHeight="1" outlineLevel="1">
      <c r="A305" s="13"/>
      <c r="B305" s="178">
        <v>299</v>
      </c>
      <c r="C305" s="44"/>
      <c r="D305" s="45"/>
      <c r="E305" s="39" t="s">
        <v>325</v>
      </c>
      <c r="F305" s="180" t="s">
        <v>729</v>
      </c>
      <c r="G305" s="40" t="s">
        <v>155</v>
      </c>
      <c r="H305" s="46" t="s">
        <v>156</v>
      </c>
      <c r="I305" s="51" t="str">
        <f>"0x"&amp;AE_w_WORK!F48</f>
        <v>0x5443</v>
      </c>
      <c r="J305" s="41">
        <v>40473</v>
      </c>
      <c r="K305" s="42"/>
      <c r="M305" s="179"/>
      <c r="N305" s="179"/>
    </row>
    <row r="306" spans="1:14" ht="12" hidden="1" customHeight="1" outlineLevel="1">
      <c r="A306" s="13"/>
      <c r="B306" s="178">
        <v>300</v>
      </c>
      <c r="C306" s="44"/>
      <c r="D306" s="45"/>
      <c r="E306" s="39" t="s">
        <v>325</v>
      </c>
      <c r="F306" s="180" t="s">
        <v>730</v>
      </c>
      <c r="G306" s="40" t="s">
        <v>157</v>
      </c>
      <c r="H306" s="46" t="s">
        <v>158</v>
      </c>
      <c r="I306" s="51" t="str">
        <f>"0x"&amp;AE_w_WORK!F49</f>
        <v>0x2000</v>
      </c>
      <c r="J306" s="41">
        <v>40473</v>
      </c>
      <c r="K306" s="42"/>
      <c r="M306" s="179"/>
      <c r="N306" s="179"/>
    </row>
    <row r="307" spans="1:14" ht="12" hidden="1" customHeight="1" outlineLevel="1">
      <c r="A307" s="13"/>
      <c r="B307" s="178">
        <v>301</v>
      </c>
      <c r="C307" s="44"/>
      <c r="D307" s="45"/>
      <c r="E307" s="39" t="s">
        <v>325</v>
      </c>
      <c r="F307" s="180" t="s">
        <v>731</v>
      </c>
      <c r="G307" s="40" t="s">
        <v>159</v>
      </c>
      <c r="H307" s="46" t="s">
        <v>160</v>
      </c>
      <c r="I307" s="51" t="str">
        <f>"0x"&amp;AE_w_WORK!F50</f>
        <v>0x0022</v>
      </c>
      <c r="J307" s="41">
        <v>40473</v>
      </c>
      <c r="K307" s="42"/>
      <c r="M307" s="179"/>
      <c r="N307" s="179"/>
    </row>
    <row r="308" spans="1:14" ht="12" hidden="1" customHeight="1" outlineLevel="1">
      <c r="A308" s="13"/>
      <c r="B308" s="178">
        <v>302</v>
      </c>
      <c r="C308" s="44"/>
      <c r="D308" s="45"/>
      <c r="E308" s="39" t="s">
        <v>325</v>
      </c>
      <c r="F308" s="180" t="s">
        <v>732</v>
      </c>
      <c r="G308" s="40" t="s">
        <v>161</v>
      </c>
      <c r="H308" s="46" t="s">
        <v>162</v>
      </c>
      <c r="I308" s="51" t="str">
        <f>"0x"&amp;AE_w_WORK!F51</f>
        <v>0x3445</v>
      </c>
      <c r="J308" s="41">
        <v>40473</v>
      </c>
      <c r="K308" s="42"/>
      <c r="M308" s="179"/>
      <c r="N308" s="179"/>
    </row>
    <row r="309" spans="1:14" ht="12" hidden="1" customHeight="1" outlineLevel="1">
      <c r="A309" s="13"/>
      <c r="B309" s="178">
        <v>303</v>
      </c>
      <c r="C309" s="44"/>
      <c r="D309" s="45"/>
      <c r="E309" s="39" t="s">
        <v>325</v>
      </c>
      <c r="F309" s="180" t="s">
        <v>733</v>
      </c>
      <c r="G309" s="40" t="s">
        <v>163</v>
      </c>
      <c r="H309" s="46" t="s">
        <v>164</v>
      </c>
      <c r="I309" s="51" t="str">
        <f>"0x"&amp;AE_w_WORK!F52</f>
        <v>0x5443</v>
      </c>
      <c r="J309" s="41">
        <v>40473</v>
      </c>
      <c r="K309" s="42"/>
      <c r="M309" s="179"/>
      <c r="N309" s="179"/>
    </row>
    <row r="310" spans="1:14" ht="12" hidden="1" customHeight="1" outlineLevel="1">
      <c r="A310" s="13"/>
      <c r="B310" s="178">
        <v>304</v>
      </c>
      <c r="C310" s="44"/>
      <c r="D310" s="45"/>
      <c r="E310" s="39" t="s">
        <v>325</v>
      </c>
      <c r="F310" s="180" t="s">
        <v>734</v>
      </c>
      <c r="G310" s="40" t="s">
        <v>165</v>
      </c>
      <c r="H310" s="46" t="s">
        <v>166</v>
      </c>
      <c r="I310" s="51" t="str">
        <f>"0x"&amp;AE_w_WORK!F53</f>
        <v>0x2000</v>
      </c>
      <c r="J310" s="41">
        <v>40473</v>
      </c>
      <c r="K310" s="42"/>
      <c r="M310" s="179"/>
      <c r="N310" s="179"/>
    </row>
    <row r="311" spans="1:14" ht="12" hidden="1" customHeight="1" outlineLevel="1">
      <c r="A311" s="13"/>
      <c r="B311" s="178">
        <v>305</v>
      </c>
      <c r="C311" s="44"/>
      <c r="D311" s="45"/>
      <c r="E311" s="39" t="s">
        <v>325</v>
      </c>
      <c r="F311" s="180" t="s">
        <v>735</v>
      </c>
      <c r="G311" s="40" t="s">
        <v>167</v>
      </c>
      <c r="H311" s="46" t="s">
        <v>168</v>
      </c>
      <c r="I311" s="51" t="str">
        <f>"0x"&amp;AE_w_WORK!F54</f>
        <v>0x0023</v>
      </c>
      <c r="J311" s="41">
        <v>40473</v>
      </c>
      <c r="K311" s="42"/>
      <c r="M311" s="179"/>
      <c r="N311" s="179"/>
    </row>
    <row r="312" spans="1:14" ht="12" hidden="1" customHeight="1" outlineLevel="1">
      <c r="A312" s="13"/>
      <c r="B312" s="178">
        <v>306</v>
      </c>
      <c r="C312" s="44"/>
      <c r="D312" s="45"/>
      <c r="E312" s="39" t="s">
        <v>325</v>
      </c>
      <c r="F312" s="180" t="s">
        <v>736</v>
      </c>
      <c r="G312" s="40" t="s">
        <v>169</v>
      </c>
      <c r="H312" s="46" t="s">
        <v>170</v>
      </c>
      <c r="I312" s="51" t="str">
        <f>"0x"&amp;AE_w_WORK!F55</f>
        <v>0x34DD</v>
      </c>
      <c r="J312" s="41">
        <v>40473</v>
      </c>
      <c r="K312" s="42"/>
      <c r="M312" s="179"/>
      <c r="N312" s="179"/>
    </row>
    <row r="313" spans="1:14" ht="12" hidden="1" customHeight="1" outlineLevel="1">
      <c r="A313" s="13"/>
      <c r="B313" s="178">
        <v>307</v>
      </c>
      <c r="C313" s="44"/>
      <c r="D313" s="45"/>
      <c r="E313" s="39" t="s">
        <v>325</v>
      </c>
      <c r="F313" s="180" t="s">
        <v>737</v>
      </c>
      <c r="G313" s="40" t="s">
        <v>171</v>
      </c>
      <c r="H313" s="46" t="s">
        <v>172</v>
      </c>
      <c r="I313" s="51" t="str">
        <f>"0x"&amp;AE_w_WORK!F56</f>
        <v>0xDD43</v>
      </c>
      <c r="J313" s="41">
        <v>40473</v>
      </c>
      <c r="K313" s="42"/>
      <c r="M313" s="179"/>
      <c r="N313" s="179"/>
    </row>
    <row r="314" spans="1:14" ht="12" hidden="1" customHeight="1" outlineLevel="1">
      <c r="A314" s="13"/>
      <c r="B314" s="178">
        <v>308</v>
      </c>
      <c r="C314" s="44"/>
      <c r="D314" s="45"/>
      <c r="E314" s="39" t="s">
        <v>325</v>
      </c>
      <c r="F314" s="180" t="s">
        <v>738</v>
      </c>
      <c r="G314" s="40" t="s">
        <v>173</v>
      </c>
      <c r="H314" s="46" t="s">
        <v>174</v>
      </c>
      <c r="I314" s="51" t="str">
        <f>"0x"&amp;AE_w_WORK!F57</f>
        <v>0x3200</v>
      </c>
      <c r="J314" s="41">
        <v>40473</v>
      </c>
      <c r="K314" s="42"/>
      <c r="M314" s="179"/>
      <c r="N314" s="179"/>
    </row>
    <row r="315" spans="1:14" ht="12" hidden="1" customHeight="1" outlineLevel="1">
      <c r="A315" s="13"/>
      <c r="B315" s="178">
        <v>309</v>
      </c>
      <c r="C315" s="44"/>
      <c r="D315" s="45"/>
      <c r="E315" s="39" t="s">
        <v>325</v>
      </c>
      <c r="F315" s="180" t="s">
        <v>739</v>
      </c>
      <c r="G315" s="40" t="s">
        <v>175</v>
      </c>
      <c r="H315" s="46" t="s">
        <v>176</v>
      </c>
      <c r="I315" s="51" t="str">
        <f>"0x"&amp;AE_w_WORK!F58</f>
        <v>0x0023</v>
      </c>
      <c r="J315" s="41">
        <v>40473</v>
      </c>
      <c r="K315" s="42"/>
      <c r="M315" s="179"/>
      <c r="N315" s="179"/>
    </row>
    <row r="316" spans="1:14" ht="12" hidden="1" customHeight="1" outlineLevel="1">
      <c r="A316" s="13"/>
      <c r="B316" s="178">
        <v>310</v>
      </c>
      <c r="C316" s="44"/>
      <c r="D316" s="45"/>
      <c r="E316" s="39" t="s">
        <v>325</v>
      </c>
      <c r="F316" s="180" t="s">
        <v>740</v>
      </c>
      <c r="G316" s="40" t="s">
        <v>177</v>
      </c>
      <c r="H316" s="46" t="s">
        <v>178</v>
      </c>
      <c r="I316" s="51" t="str">
        <f>"0x"&amp;AE_w_WORK!F59</f>
        <v>0x34DD</v>
      </c>
      <c r="J316" s="41">
        <v>40473</v>
      </c>
      <c r="K316" s="42"/>
      <c r="M316" s="179"/>
      <c r="N316" s="179"/>
    </row>
    <row r="317" spans="1:14" ht="12" hidden="1" customHeight="1" outlineLevel="1">
      <c r="A317" s="13"/>
      <c r="B317" s="178">
        <v>311</v>
      </c>
      <c r="C317" s="44"/>
      <c r="D317" s="45"/>
      <c r="E317" s="39" t="s">
        <v>325</v>
      </c>
      <c r="F317" s="180" t="s">
        <v>741</v>
      </c>
      <c r="G317" s="40" t="s">
        <v>179</v>
      </c>
      <c r="H317" s="46" t="s">
        <v>180</v>
      </c>
      <c r="I317" s="51" t="str">
        <f>"0x"&amp;AE_w_WORK!F60</f>
        <v>0xDD43</v>
      </c>
      <c r="J317" s="41">
        <v>40473</v>
      </c>
      <c r="K317" s="42"/>
      <c r="M317" s="179"/>
      <c r="N317" s="179"/>
    </row>
    <row r="318" spans="1:14" ht="12" hidden="1" customHeight="1" outlineLevel="1">
      <c r="A318" s="13"/>
      <c r="B318" s="178">
        <v>312</v>
      </c>
      <c r="C318" s="44"/>
      <c r="D318" s="45"/>
      <c r="E318" s="39" t="s">
        <v>325</v>
      </c>
      <c r="F318" s="180" t="s">
        <v>742</v>
      </c>
      <c r="G318" s="40" t="s">
        <v>181</v>
      </c>
      <c r="H318" s="46" t="s">
        <v>182</v>
      </c>
      <c r="I318" s="51" t="str">
        <f>"0x"&amp;AE_w_WORK!F61</f>
        <v>0x3200</v>
      </c>
      <c r="J318" s="41">
        <v>40473</v>
      </c>
      <c r="K318" s="42"/>
      <c r="M318" s="179"/>
      <c r="N318" s="179"/>
    </row>
    <row r="319" spans="1:14" ht="12" hidden="1" customHeight="1" outlineLevel="1">
      <c r="A319" s="13"/>
      <c r="B319" s="178">
        <v>313</v>
      </c>
      <c r="C319" s="44"/>
      <c r="D319" s="45"/>
      <c r="E319" s="39" t="s">
        <v>325</v>
      </c>
      <c r="F319" s="180" t="s">
        <v>743</v>
      </c>
      <c r="G319" s="40" t="s">
        <v>183</v>
      </c>
      <c r="H319" s="46" t="s">
        <v>184</v>
      </c>
      <c r="I319" s="51" t="str">
        <f>"0x"&amp;AE_w_WORK!F62</f>
        <v>0x0023</v>
      </c>
      <c r="J319" s="41">
        <v>40473</v>
      </c>
      <c r="K319" s="42"/>
      <c r="M319" s="179"/>
      <c r="N319" s="179"/>
    </row>
    <row r="320" spans="1:14" ht="12" hidden="1" customHeight="1" outlineLevel="1">
      <c r="A320" s="13"/>
      <c r="B320" s="178">
        <v>314</v>
      </c>
      <c r="C320" s="44"/>
      <c r="D320" s="45"/>
      <c r="E320" s="39" t="s">
        <v>325</v>
      </c>
      <c r="F320" s="180" t="s">
        <v>744</v>
      </c>
      <c r="G320" s="40" t="s">
        <v>185</v>
      </c>
      <c r="H320" s="46" t="s">
        <v>186</v>
      </c>
      <c r="I320" s="51" t="str">
        <f>"0x"&amp;AE_w_WORK!F63</f>
        <v>0x45DD</v>
      </c>
      <c r="J320" s="41">
        <v>40473</v>
      </c>
      <c r="K320" s="42"/>
      <c r="M320" s="179"/>
      <c r="N320" s="179"/>
    </row>
    <row r="321" spans="1:14" ht="12" hidden="1" customHeight="1" outlineLevel="1">
      <c r="A321" s="13"/>
      <c r="B321" s="178">
        <v>315</v>
      </c>
      <c r="C321" s="44"/>
      <c r="D321" s="45"/>
      <c r="E321" s="39" t="s">
        <v>325</v>
      </c>
      <c r="F321" s="180" t="s">
        <v>745</v>
      </c>
      <c r="G321" s="40" t="s">
        <v>187</v>
      </c>
      <c r="H321" s="46" t="s">
        <v>188</v>
      </c>
      <c r="I321" s="51" t="str">
        <f>"0x"&amp;AE_w_WORK!F64</f>
        <v>0xDD54</v>
      </c>
      <c r="J321" s="41">
        <v>40473</v>
      </c>
      <c r="K321" s="42"/>
      <c r="M321" s="179"/>
      <c r="N321" s="179"/>
    </row>
    <row r="322" spans="1:14" ht="12" hidden="1" customHeight="1" outlineLevel="1">
      <c r="A322" s="13"/>
      <c r="B322" s="178">
        <v>316</v>
      </c>
      <c r="C322" s="44"/>
      <c r="D322" s="45"/>
      <c r="E322" s="39" t="s">
        <v>325</v>
      </c>
      <c r="F322" s="180" t="s">
        <v>746</v>
      </c>
      <c r="G322" s="40" t="s">
        <v>189</v>
      </c>
      <c r="H322" s="46" t="s">
        <v>190</v>
      </c>
      <c r="I322" s="51" t="str">
        <f>"0x"&amp;AE_w_WORK!F65</f>
        <v>0x3200</v>
      </c>
      <c r="J322" s="41">
        <v>40473</v>
      </c>
      <c r="K322" s="42"/>
      <c r="M322" s="179"/>
      <c r="N322" s="179"/>
    </row>
    <row r="323" spans="1:14" ht="12" hidden="1" customHeight="1" outlineLevel="1">
      <c r="A323" s="13"/>
      <c r="B323" s="178">
        <v>317</v>
      </c>
      <c r="C323" s="44"/>
      <c r="D323" s="45"/>
      <c r="E323" s="39" t="s">
        <v>325</v>
      </c>
      <c r="F323" s="180" t="s">
        <v>747</v>
      </c>
      <c r="G323" s="40" t="s">
        <v>191</v>
      </c>
      <c r="H323" s="46" t="s">
        <v>192</v>
      </c>
      <c r="I323" s="51" t="str">
        <f>"0x"&amp;AE_w_WORK!F66</f>
        <v>0x0023</v>
      </c>
      <c r="J323" s="41">
        <v>40473</v>
      </c>
      <c r="K323" s="42"/>
      <c r="M323" s="179"/>
      <c r="N323" s="179"/>
    </row>
    <row r="324" spans="1:14" ht="12" hidden="1" customHeight="1" outlineLevel="1">
      <c r="A324" s="13"/>
      <c r="B324" s="178">
        <v>318</v>
      </c>
      <c r="C324" s="44"/>
      <c r="D324" s="45"/>
      <c r="E324" s="39" t="s">
        <v>325</v>
      </c>
      <c r="F324" s="180" t="s">
        <v>748</v>
      </c>
      <c r="G324" s="40" t="s">
        <v>193</v>
      </c>
      <c r="H324" s="46" t="s">
        <v>194</v>
      </c>
      <c r="I324" s="51" t="str">
        <f>"0x"&amp;AE_w_WORK!F67</f>
        <v>0x45DD</v>
      </c>
      <c r="J324" s="41">
        <v>40473</v>
      </c>
      <c r="K324" s="42"/>
      <c r="M324" s="179"/>
      <c r="N324" s="179"/>
    </row>
    <row r="325" spans="1:14" ht="12" hidden="1" customHeight="1" outlineLevel="1">
      <c r="A325" s="13"/>
      <c r="B325" s="178">
        <v>319</v>
      </c>
      <c r="C325" s="44"/>
      <c r="D325" s="45"/>
      <c r="E325" s="39" t="s">
        <v>325</v>
      </c>
      <c r="F325" s="180" t="s">
        <v>749</v>
      </c>
      <c r="G325" s="40" t="s">
        <v>195</v>
      </c>
      <c r="H325" s="46" t="s">
        <v>196</v>
      </c>
      <c r="I325" s="51" t="str">
        <f>"0x"&amp;AE_w_WORK!F68</f>
        <v>0xDD54</v>
      </c>
      <c r="J325" s="41">
        <v>40473</v>
      </c>
      <c r="K325" s="42"/>
      <c r="M325" s="179"/>
      <c r="N325" s="179"/>
    </row>
    <row r="326" spans="1:14" ht="12" hidden="1" customHeight="1" outlineLevel="1">
      <c r="A326" s="13"/>
      <c r="B326" s="178">
        <v>320</v>
      </c>
      <c r="C326" s="44"/>
      <c r="D326" s="45"/>
      <c r="E326" s="39" t="s">
        <v>325</v>
      </c>
      <c r="F326" s="180" t="s">
        <v>750</v>
      </c>
      <c r="G326" s="40" t="s">
        <v>197</v>
      </c>
      <c r="H326" s="46" t="s">
        <v>198</v>
      </c>
      <c r="I326" s="51" t="str">
        <f>"0x"&amp;AE_w_WORK!F69</f>
        <v>0x3200</v>
      </c>
      <c r="J326" s="41">
        <v>40473</v>
      </c>
      <c r="K326" s="42"/>
      <c r="M326" s="179"/>
      <c r="N326" s="179"/>
    </row>
    <row r="327" spans="1:14" ht="12" hidden="1" customHeight="1" outlineLevel="1">
      <c r="A327" s="13"/>
      <c r="B327" s="178">
        <v>321</v>
      </c>
      <c r="C327" s="44"/>
      <c r="D327" s="45"/>
      <c r="E327" s="39" t="s">
        <v>325</v>
      </c>
      <c r="F327" s="180" t="s">
        <v>751</v>
      </c>
      <c r="G327" s="40" t="s">
        <v>199</v>
      </c>
      <c r="H327" s="46" t="s">
        <v>200</v>
      </c>
      <c r="I327" s="51" t="str">
        <f>"0x"&amp;AE_w_WORK!F70</f>
        <v>0x0023</v>
      </c>
      <c r="J327" s="41">
        <v>40473</v>
      </c>
      <c r="K327" s="42"/>
      <c r="M327" s="179"/>
      <c r="N327" s="179"/>
    </row>
    <row r="328" spans="1:14" ht="12" hidden="1" customHeight="1" outlineLevel="1">
      <c r="A328" s="13"/>
      <c r="B328" s="178">
        <v>322</v>
      </c>
      <c r="C328" s="44"/>
      <c r="D328" s="45"/>
      <c r="E328" s="39" t="s">
        <v>325</v>
      </c>
      <c r="F328" s="180" t="s">
        <v>752</v>
      </c>
      <c r="G328" s="40" t="s">
        <v>201</v>
      </c>
      <c r="H328" s="46" t="s">
        <v>202</v>
      </c>
      <c r="I328" s="51" t="str">
        <f>"0x"&amp;AE_w_WORK!F71</f>
        <v>0x45DD</v>
      </c>
      <c r="J328" s="41">
        <v>40473</v>
      </c>
      <c r="K328" s="42"/>
      <c r="M328" s="179"/>
      <c r="N328" s="179"/>
    </row>
    <row r="329" spans="1:14" ht="12" hidden="1" customHeight="1" outlineLevel="1">
      <c r="A329" s="13"/>
      <c r="B329" s="178">
        <v>323</v>
      </c>
      <c r="C329" s="44"/>
      <c r="D329" s="45"/>
      <c r="E329" s="39" t="s">
        <v>325</v>
      </c>
      <c r="F329" s="180" t="s">
        <v>753</v>
      </c>
      <c r="G329" s="40" t="s">
        <v>203</v>
      </c>
      <c r="H329" s="46" t="s">
        <v>204</v>
      </c>
      <c r="I329" s="51" t="str">
        <f>"0x"&amp;AE_w_WORK!F72</f>
        <v>0xDD54</v>
      </c>
      <c r="J329" s="41">
        <v>40473</v>
      </c>
      <c r="K329" s="42"/>
      <c r="M329" s="179"/>
      <c r="N329" s="179"/>
    </row>
    <row r="330" spans="1:14" ht="12" hidden="1" customHeight="1" outlineLevel="1">
      <c r="A330" s="13"/>
      <c r="B330" s="178">
        <v>324</v>
      </c>
      <c r="C330" s="44"/>
      <c r="D330" s="45"/>
      <c r="E330" s="39" t="s">
        <v>325</v>
      </c>
      <c r="F330" s="180" t="s">
        <v>754</v>
      </c>
      <c r="G330" s="40" t="s">
        <v>205</v>
      </c>
      <c r="H330" s="46" t="s">
        <v>206</v>
      </c>
      <c r="I330" s="51" t="str">
        <f>"0x"&amp;AE_w_WORK!F73</f>
        <v>0x3200</v>
      </c>
      <c r="J330" s="41">
        <v>40473</v>
      </c>
      <c r="K330" s="42"/>
      <c r="M330" s="179"/>
      <c r="N330" s="179"/>
    </row>
    <row r="331" spans="1:14" ht="12" hidden="1" customHeight="1" outlineLevel="1">
      <c r="A331" s="13"/>
      <c r="B331" s="178">
        <v>325</v>
      </c>
      <c r="C331" s="44"/>
      <c r="D331" s="45"/>
      <c r="E331" s="39" t="s">
        <v>325</v>
      </c>
      <c r="F331" s="180" t="s">
        <v>755</v>
      </c>
      <c r="G331" s="40" t="s">
        <v>207</v>
      </c>
      <c r="H331" s="46" t="s">
        <v>208</v>
      </c>
      <c r="I331" s="51" t="str">
        <f>"0x"&amp;AE_w_WORK!F74</f>
        <v>0x0023</v>
      </c>
      <c r="J331" s="41">
        <v>40473</v>
      </c>
      <c r="K331" s="42"/>
      <c r="M331" s="179"/>
      <c r="N331" s="179"/>
    </row>
    <row r="332" spans="1:14" ht="12" hidden="1" customHeight="1" outlineLevel="1">
      <c r="A332" s="13"/>
      <c r="B332" s="178">
        <v>326</v>
      </c>
      <c r="C332" s="44"/>
      <c r="D332" s="45"/>
      <c r="E332" s="39" t="s">
        <v>325</v>
      </c>
      <c r="F332" s="180" t="s">
        <v>756</v>
      </c>
      <c r="G332" s="40" t="s">
        <v>209</v>
      </c>
      <c r="H332" s="46" t="s">
        <v>210</v>
      </c>
      <c r="I332" s="51" t="str">
        <f>"0x"&amp;AE_w_WORK!F75</f>
        <v>0x45DD</v>
      </c>
      <c r="J332" s="41">
        <v>40473</v>
      </c>
      <c r="K332" s="42"/>
      <c r="M332" s="179"/>
      <c r="N332" s="179"/>
    </row>
    <row r="333" spans="1:14" ht="12" hidden="1" customHeight="1" outlineLevel="1">
      <c r="A333" s="13"/>
      <c r="B333" s="178">
        <v>327</v>
      </c>
      <c r="C333" s="44"/>
      <c r="D333" s="45"/>
      <c r="E333" s="39" t="s">
        <v>325</v>
      </c>
      <c r="F333" s="180" t="s">
        <v>757</v>
      </c>
      <c r="G333" s="40" t="s">
        <v>211</v>
      </c>
      <c r="H333" s="46" t="s">
        <v>212</v>
      </c>
      <c r="I333" s="51" t="str">
        <f>"0x"&amp;AE_w_WORK!F76</f>
        <v>0xDD54</v>
      </c>
      <c r="J333" s="41">
        <v>40473</v>
      </c>
      <c r="K333" s="42"/>
      <c r="M333" s="179"/>
      <c r="N333" s="179"/>
    </row>
    <row r="334" spans="1:14" ht="12" hidden="1" customHeight="1" outlineLevel="1">
      <c r="A334" s="13"/>
      <c r="B334" s="178">
        <v>328</v>
      </c>
      <c r="C334" s="44"/>
      <c r="D334" s="45"/>
      <c r="E334" s="39" t="s">
        <v>325</v>
      </c>
      <c r="F334" s="180" t="s">
        <v>758</v>
      </c>
      <c r="G334" s="40" t="s">
        <v>213</v>
      </c>
      <c r="H334" s="46" t="s">
        <v>214</v>
      </c>
      <c r="I334" s="51" t="str">
        <f>"0x"&amp;AE_w_WORK!F77</f>
        <v>0x3200</v>
      </c>
      <c r="J334" s="41">
        <v>40473</v>
      </c>
      <c r="K334" s="42"/>
      <c r="M334" s="179"/>
      <c r="N334" s="179"/>
    </row>
    <row r="335" spans="1:14" ht="12" hidden="1" customHeight="1" outlineLevel="1">
      <c r="A335" s="13"/>
      <c r="B335" s="178">
        <v>329</v>
      </c>
      <c r="C335" s="44"/>
      <c r="D335" s="45"/>
      <c r="E335" s="39" t="s">
        <v>325</v>
      </c>
      <c r="F335" s="180" t="s">
        <v>759</v>
      </c>
      <c r="G335" s="40" t="s">
        <v>215</v>
      </c>
      <c r="H335" s="46" t="s">
        <v>216</v>
      </c>
      <c r="I335" s="51" t="str">
        <f>"0x"&amp;AE_w_WORK!F78</f>
        <v>0x0023</v>
      </c>
      <c r="J335" s="41">
        <v>40473</v>
      </c>
      <c r="K335" s="42"/>
      <c r="M335" s="179"/>
      <c r="N335" s="179"/>
    </row>
    <row r="336" spans="1:14" ht="12" hidden="1" customHeight="1" outlineLevel="1">
      <c r="A336" s="13"/>
      <c r="B336" s="178">
        <v>330</v>
      </c>
      <c r="C336" s="44"/>
      <c r="D336" s="45"/>
      <c r="E336" s="39" t="s">
        <v>325</v>
      </c>
      <c r="F336" s="180" t="s">
        <v>760</v>
      </c>
      <c r="G336" s="40" t="s">
        <v>217</v>
      </c>
      <c r="H336" s="46" t="s">
        <v>218</v>
      </c>
      <c r="I336" s="51" t="str">
        <f>"0x"&amp;AE_w_WORK!F79</f>
        <v>0x3466</v>
      </c>
      <c r="J336" s="41">
        <v>40473</v>
      </c>
      <c r="K336" s="42"/>
      <c r="M336" s="179"/>
      <c r="N336" s="179"/>
    </row>
    <row r="337" spans="1:14" ht="12" hidden="1" customHeight="1" outlineLevel="1">
      <c r="A337" s="13"/>
      <c r="B337" s="178">
        <v>331</v>
      </c>
      <c r="C337" s="44"/>
      <c r="D337" s="45"/>
      <c r="E337" s="39" t="s">
        <v>325</v>
      </c>
      <c r="F337" s="180" t="s">
        <v>761</v>
      </c>
      <c r="G337" s="40" t="s">
        <v>219</v>
      </c>
      <c r="H337" s="46" t="s">
        <v>220</v>
      </c>
      <c r="I337" s="51" t="str">
        <f>"0x"&amp;AE_w_WORK!F80</f>
        <v>0x6643</v>
      </c>
      <c r="J337" s="41">
        <v>40473</v>
      </c>
      <c r="K337" s="42"/>
      <c r="M337" s="179"/>
      <c r="N337" s="179"/>
    </row>
    <row r="338" spans="1:14" ht="12" hidden="1" customHeight="1" outlineLevel="1">
      <c r="A338" s="13"/>
      <c r="B338" s="178">
        <v>332</v>
      </c>
      <c r="C338" s="44"/>
      <c r="D338" s="45"/>
      <c r="E338" s="39" t="s">
        <v>325</v>
      </c>
      <c r="F338" s="180" t="s">
        <v>762</v>
      </c>
      <c r="G338" s="40" t="s">
        <v>221</v>
      </c>
      <c r="H338" s="46" t="s">
        <v>222</v>
      </c>
      <c r="I338" s="51" t="str">
        <f>"0x"&amp;AE_w_WORK!F81</f>
        <v>0x3200</v>
      </c>
      <c r="J338" s="41">
        <v>40473</v>
      </c>
      <c r="K338" s="42"/>
      <c r="M338" s="179"/>
      <c r="N338" s="179"/>
    </row>
    <row r="339" spans="1:14" ht="12" hidden="1" customHeight="1" outlineLevel="1">
      <c r="A339" s="13"/>
      <c r="B339" s="178">
        <v>333</v>
      </c>
      <c r="C339" s="44"/>
      <c r="D339" s="45"/>
      <c r="E339" s="39" t="s">
        <v>325</v>
      </c>
      <c r="F339" s="180" t="s">
        <v>763</v>
      </c>
      <c r="G339" s="40" t="s">
        <v>223</v>
      </c>
      <c r="H339" s="46" t="s">
        <v>224</v>
      </c>
      <c r="I339" s="51" t="str">
        <f>"0x"&amp;AE_w_WORK!F82</f>
        <v>0x0023</v>
      </c>
      <c r="J339" s="41">
        <v>40473</v>
      </c>
      <c r="K339" s="42"/>
      <c r="M339" s="179"/>
      <c r="N339" s="179"/>
    </row>
    <row r="340" spans="1:14" ht="12" hidden="1" customHeight="1" outlineLevel="1">
      <c r="A340" s="13"/>
      <c r="B340" s="178">
        <v>334</v>
      </c>
      <c r="C340" s="44"/>
      <c r="D340" s="45"/>
      <c r="E340" s="39" t="s">
        <v>325</v>
      </c>
      <c r="F340" s="180" t="s">
        <v>764</v>
      </c>
      <c r="G340" s="40" t="s">
        <v>225</v>
      </c>
      <c r="H340" s="46" t="s">
        <v>226</v>
      </c>
      <c r="I340" s="51" t="str">
        <f>"0x"&amp;AE_w_WORK!F83</f>
        <v>0x3466</v>
      </c>
      <c r="J340" s="41">
        <v>40473</v>
      </c>
      <c r="K340" s="42"/>
      <c r="M340" s="179"/>
      <c r="N340" s="179"/>
    </row>
    <row r="341" spans="1:14" ht="12" hidden="1" customHeight="1" outlineLevel="1">
      <c r="A341" s="13"/>
      <c r="B341" s="178">
        <v>335</v>
      </c>
      <c r="C341" s="44"/>
      <c r="D341" s="45"/>
      <c r="E341" s="39" t="s">
        <v>325</v>
      </c>
      <c r="F341" s="180" t="s">
        <v>765</v>
      </c>
      <c r="G341" s="40" t="s">
        <v>227</v>
      </c>
      <c r="H341" s="46" t="s">
        <v>228</v>
      </c>
      <c r="I341" s="51" t="str">
        <f>"0x"&amp;AE_w_WORK!F84</f>
        <v>0x6643</v>
      </c>
      <c r="J341" s="41">
        <v>40473</v>
      </c>
      <c r="K341" s="42"/>
      <c r="M341" s="179"/>
      <c r="N341" s="179"/>
    </row>
    <row r="342" spans="1:14" ht="12" hidden="1" customHeight="1" outlineLevel="1">
      <c r="A342" s="13"/>
      <c r="B342" s="178">
        <v>336</v>
      </c>
      <c r="C342" s="44"/>
      <c r="D342" s="45"/>
      <c r="E342" s="39" t="s">
        <v>325</v>
      </c>
      <c r="F342" s="180" t="s">
        <v>766</v>
      </c>
      <c r="G342" s="40" t="s">
        <v>229</v>
      </c>
      <c r="H342" s="46" t="s">
        <v>230</v>
      </c>
      <c r="I342" s="51" t="str">
        <f>"0x"&amp;AE_w_WORK!F85</f>
        <v>0x3200</v>
      </c>
      <c r="J342" s="41">
        <v>40473</v>
      </c>
      <c r="K342" s="42"/>
      <c r="M342" s="179"/>
      <c r="N342" s="179"/>
    </row>
    <row r="343" spans="1:14" ht="12" hidden="1" customHeight="1" outlineLevel="1">
      <c r="A343" s="13"/>
      <c r="B343" s="178">
        <v>337</v>
      </c>
      <c r="C343" s="44"/>
      <c r="D343" s="45"/>
      <c r="E343" s="39" t="s">
        <v>325</v>
      </c>
      <c r="F343" s="180" t="s">
        <v>767</v>
      </c>
      <c r="G343" s="40" t="s">
        <v>231</v>
      </c>
      <c r="H343" s="46" t="s">
        <v>232</v>
      </c>
      <c r="I343" s="51" t="str">
        <f>"0x"&amp;AE_w_WORK!F86</f>
        <v>0x0002</v>
      </c>
      <c r="J343" s="41">
        <v>40473</v>
      </c>
      <c r="K343" s="42"/>
      <c r="M343" s="179"/>
      <c r="N343" s="179"/>
    </row>
    <row r="344" spans="1:14" ht="12" hidden="1" customHeight="1" outlineLevel="1">
      <c r="A344" s="13"/>
      <c r="B344" s="178">
        <v>338</v>
      </c>
      <c r="C344" s="44"/>
      <c r="D344" s="45"/>
      <c r="E344" s="39" t="s">
        <v>325</v>
      </c>
      <c r="F344" s="180" t="s">
        <v>768</v>
      </c>
      <c r="G344" s="40" t="s">
        <v>233</v>
      </c>
      <c r="H344" s="46" t="s">
        <v>234</v>
      </c>
      <c r="I344" s="51" t="str">
        <f>"0x"&amp;AE_w_WORK!F87</f>
        <v>0x3455</v>
      </c>
      <c r="J344" s="41">
        <v>40473</v>
      </c>
      <c r="K344" s="42"/>
      <c r="M344" s="179"/>
      <c r="N344" s="179"/>
    </row>
    <row r="345" spans="1:14" ht="12" hidden="1" customHeight="1" outlineLevel="1">
      <c r="A345" s="13"/>
      <c r="B345" s="178">
        <v>339</v>
      </c>
      <c r="C345" s="44"/>
      <c r="D345" s="45"/>
      <c r="E345" s="39" t="s">
        <v>325</v>
      </c>
      <c r="F345" s="180" t="s">
        <v>769</v>
      </c>
      <c r="G345" s="40" t="s">
        <v>235</v>
      </c>
      <c r="H345" s="46" t="s">
        <v>236</v>
      </c>
      <c r="I345" s="51" t="str">
        <f>"0x"&amp;AE_w_WORK!F88</f>
        <v>0x5543</v>
      </c>
      <c r="J345" s="41">
        <v>40473</v>
      </c>
      <c r="K345" s="42"/>
      <c r="M345" s="179"/>
      <c r="N345" s="179"/>
    </row>
    <row r="346" spans="1:14" ht="12" hidden="1" customHeight="1" outlineLevel="1">
      <c r="A346" s="13"/>
      <c r="B346" s="178">
        <v>340</v>
      </c>
      <c r="C346" s="44"/>
      <c r="D346" s="45"/>
      <c r="E346" s="39" t="s">
        <v>325</v>
      </c>
      <c r="F346" s="180" t="s">
        <v>770</v>
      </c>
      <c r="G346" s="40" t="s">
        <v>237</v>
      </c>
      <c r="H346" s="46" t="s">
        <v>238</v>
      </c>
      <c r="I346" s="51" t="str">
        <f>"0x"&amp;AE_w_WORK!F89</f>
        <v>0x2000</v>
      </c>
      <c r="J346" s="41">
        <v>40473</v>
      </c>
      <c r="K346" s="42"/>
      <c r="M346" s="179"/>
      <c r="N346" s="179"/>
    </row>
    <row r="347" spans="1:14" ht="12" hidden="1" customHeight="1" outlineLevel="1">
      <c r="A347" s="13"/>
      <c r="B347" s="178">
        <v>341</v>
      </c>
      <c r="C347" s="44"/>
      <c r="D347" s="45"/>
      <c r="E347" s="39" t="s">
        <v>325</v>
      </c>
      <c r="F347" s="180" t="s">
        <v>771</v>
      </c>
      <c r="G347" s="40" t="s">
        <v>239</v>
      </c>
      <c r="H347" s="46" t="s">
        <v>240</v>
      </c>
      <c r="I347" s="51" t="str">
        <f>"0x"&amp;AE_w_WORK!F90</f>
        <v>0x0002</v>
      </c>
      <c r="J347" s="41">
        <v>40473</v>
      </c>
      <c r="K347" s="42"/>
      <c r="M347" s="179"/>
      <c r="N347" s="179"/>
    </row>
    <row r="348" spans="1:14" ht="12" hidden="1" customHeight="1" outlineLevel="1">
      <c r="A348" s="13"/>
      <c r="B348" s="178">
        <v>342</v>
      </c>
      <c r="C348" s="44"/>
      <c r="D348" s="45"/>
      <c r="E348" s="39" t="s">
        <v>325</v>
      </c>
      <c r="F348" s="180" t="s">
        <v>772</v>
      </c>
      <c r="G348" s="40" t="s">
        <v>241</v>
      </c>
      <c r="H348" s="46" t="s">
        <v>242</v>
      </c>
      <c r="I348" s="51" t="str">
        <f>"0x"&amp;AE_w_WORK!F91</f>
        <v>0x3455</v>
      </c>
      <c r="J348" s="41">
        <v>40473</v>
      </c>
      <c r="K348" s="42"/>
      <c r="M348" s="179"/>
      <c r="N348" s="179"/>
    </row>
    <row r="349" spans="1:14" ht="12" hidden="1" customHeight="1" outlineLevel="1">
      <c r="A349" s="13"/>
      <c r="B349" s="178">
        <v>343</v>
      </c>
      <c r="C349" s="44"/>
      <c r="D349" s="45"/>
      <c r="E349" s="39" t="s">
        <v>325</v>
      </c>
      <c r="F349" s="180" t="s">
        <v>773</v>
      </c>
      <c r="G349" s="40" t="s">
        <v>243</v>
      </c>
      <c r="H349" s="46" t="s">
        <v>244</v>
      </c>
      <c r="I349" s="51" t="str">
        <f>"0x"&amp;AE_w_WORK!F92</f>
        <v>0x5543</v>
      </c>
      <c r="J349" s="41">
        <v>40473</v>
      </c>
      <c r="K349" s="42"/>
      <c r="M349" s="179"/>
      <c r="N349" s="179"/>
    </row>
    <row r="350" spans="1:14" ht="12" hidden="1" customHeight="1" outlineLevel="1">
      <c r="A350" s="13"/>
      <c r="B350" s="178">
        <v>344</v>
      </c>
      <c r="C350" s="44"/>
      <c r="D350" s="45"/>
      <c r="E350" s="39" t="s">
        <v>325</v>
      </c>
      <c r="F350" s="180" t="s">
        <v>774</v>
      </c>
      <c r="G350" s="40" t="s">
        <v>245</v>
      </c>
      <c r="H350" s="46" t="s">
        <v>246</v>
      </c>
      <c r="I350" s="51" t="str">
        <f>"0x"&amp;AE_w_WORK!F93</f>
        <v>0x2000</v>
      </c>
      <c r="J350" s="41">
        <v>40473</v>
      </c>
      <c r="K350" s="42"/>
      <c r="M350" s="179"/>
      <c r="N350" s="179"/>
    </row>
    <row r="351" spans="1:14" ht="12" hidden="1" customHeight="1" outlineLevel="1">
      <c r="A351" s="13"/>
      <c r="B351" s="178">
        <v>345</v>
      </c>
      <c r="C351" s="44"/>
      <c r="D351" s="45"/>
      <c r="E351" s="39" t="s">
        <v>325</v>
      </c>
      <c r="F351" s="180" t="s">
        <v>775</v>
      </c>
      <c r="G351" s="40" t="s">
        <v>247</v>
      </c>
      <c r="H351" s="46" t="s">
        <v>248</v>
      </c>
      <c r="I351" s="51" t="str">
        <f>"0x"&amp;AE_w_WORK!F94</f>
        <v>0x0002</v>
      </c>
      <c r="J351" s="41">
        <v>40473</v>
      </c>
      <c r="K351" s="42"/>
      <c r="M351" s="179"/>
      <c r="N351" s="179"/>
    </row>
    <row r="352" spans="1:14" ht="12" hidden="1" customHeight="1" outlineLevel="1">
      <c r="A352" s="13"/>
      <c r="B352" s="178">
        <v>346</v>
      </c>
      <c r="C352" s="44"/>
      <c r="D352" s="45"/>
      <c r="E352" s="39" t="s">
        <v>325</v>
      </c>
      <c r="F352" s="180" t="s">
        <v>776</v>
      </c>
      <c r="G352" s="40" t="s">
        <v>249</v>
      </c>
      <c r="H352" s="46" t="s">
        <v>250</v>
      </c>
      <c r="I352" s="51" t="str">
        <f>"0x"&amp;AE_w_WORK!F95</f>
        <v>0x3344</v>
      </c>
      <c r="J352" s="41">
        <v>40473</v>
      </c>
      <c r="K352" s="42"/>
      <c r="M352" s="179"/>
      <c r="N352" s="179"/>
    </row>
    <row r="353" spans="1:14" ht="12" hidden="1" customHeight="1" outlineLevel="1">
      <c r="A353" s="13"/>
      <c r="B353" s="178">
        <v>347</v>
      </c>
      <c r="C353" s="44"/>
      <c r="D353" s="45"/>
      <c r="E353" s="39" t="s">
        <v>325</v>
      </c>
      <c r="F353" s="180" t="s">
        <v>777</v>
      </c>
      <c r="G353" s="40" t="s">
        <v>251</v>
      </c>
      <c r="H353" s="46" t="s">
        <v>252</v>
      </c>
      <c r="I353" s="51" t="str">
        <f>"0x"&amp;AE_w_WORK!F96</f>
        <v>0x4433</v>
      </c>
      <c r="J353" s="41">
        <v>40473</v>
      </c>
      <c r="K353" s="42"/>
      <c r="M353" s="179"/>
      <c r="N353" s="179"/>
    </row>
    <row r="354" spans="1:14" ht="12" hidden="1" customHeight="1" outlineLevel="1">
      <c r="A354" s="13"/>
      <c r="B354" s="178">
        <v>348</v>
      </c>
      <c r="C354" s="44"/>
      <c r="D354" s="45"/>
      <c r="E354" s="39" t="s">
        <v>325</v>
      </c>
      <c r="F354" s="180" t="s">
        <v>778</v>
      </c>
      <c r="G354" s="40" t="s">
        <v>253</v>
      </c>
      <c r="H354" s="46" t="s">
        <v>254</v>
      </c>
      <c r="I354" s="51" t="str">
        <f>"0x"&amp;AE_w_WORK!F97</f>
        <v>0x2000</v>
      </c>
      <c r="J354" s="41">
        <v>40473</v>
      </c>
      <c r="K354" s="42"/>
      <c r="M354" s="179"/>
      <c r="N354" s="179"/>
    </row>
    <row r="355" spans="1:14" ht="12" hidden="1" customHeight="1" outlineLevel="1">
      <c r="A355" s="13"/>
      <c r="B355" s="178">
        <v>349</v>
      </c>
      <c r="C355" s="44"/>
      <c r="D355" s="45"/>
      <c r="E355" s="39" t="s">
        <v>325</v>
      </c>
      <c r="F355" s="180" t="s">
        <v>779</v>
      </c>
      <c r="G355" s="40" t="s">
        <v>255</v>
      </c>
      <c r="H355" s="46" t="s">
        <v>256</v>
      </c>
      <c r="I355" s="51" t="str">
        <f>"0x"&amp;AE_w_WORK!F98</f>
        <v>0x0002</v>
      </c>
      <c r="J355" s="41">
        <v>40473</v>
      </c>
      <c r="K355" s="42"/>
      <c r="M355" s="179"/>
      <c r="N355" s="179"/>
    </row>
    <row r="356" spans="1:14" ht="12" hidden="1" customHeight="1" outlineLevel="1">
      <c r="A356" s="13"/>
      <c r="B356" s="178">
        <v>350</v>
      </c>
      <c r="C356" s="44"/>
      <c r="D356" s="45"/>
      <c r="E356" s="39" t="s">
        <v>325</v>
      </c>
      <c r="F356" s="180" t="s">
        <v>780</v>
      </c>
      <c r="G356" s="40" t="s">
        <v>257</v>
      </c>
      <c r="H356" s="46" t="s">
        <v>258</v>
      </c>
      <c r="I356" s="51" t="str">
        <f>"0x"&amp;AE_w_WORK!F99</f>
        <v>0x3344</v>
      </c>
      <c r="J356" s="41">
        <v>40473</v>
      </c>
      <c r="K356" s="42"/>
      <c r="M356" s="179"/>
      <c r="N356" s="179"/>
    </row>
    <row r="357" spans="1:14" ht="12" hidden="1" customHeight="1" outlineLevel="1">
      <c r="A357" s="13"/>
      <c r="B357" s="178">
        <v>351</v>
      </c>
      <c r="C357" s="44"/>
      <c r="D357" s="45"/>
      <c r="E357" s="39" t="s">
        <v>325</v>
      </c>
      <c r="F357" s="180" t="s">
        <v>781</v>
      </c>
      <c r="G357" s="40" t="s">
        <v>259</v>
      </c>
      <c r="H357" s="46" t="s">
        <v>260</v>
      </c>
      <c r="I357" s="51" t="str">
        <f>"0x"&amp;AE_w_WORK!F100</f>
        <v>0x4433</v>
      </c>
      <c r="J357" s="41">
        <v>40473</v>
      </c>
      <c r="K357" s="42"/>
      <c r="M357" s="179"/>
      <c r="N357" s="179"/>
    </row>
    <row r="358" spans="1:14" ht="12" hidden="1" customHeight="1" outlineLevel="1">
      <c r="A358" s="13"/>
      <c r="B358" s="178">
        <v>352</v>
      </c>
      <c r="C358" s="44"/>
      <c r="D358" s="45"/>
      <c r="E358" s="39" t="s">
        <v>325</v>
      </c>
      <c r="F358" s="180" t="s">
        <v>782</v>
      </c>
      <c r="G358" s="40" t="s">
        <v>261</v>
      </c>
      <c r="H358" s="46" t="s">
        <v>262</v>
      </c>
      <c r="I358" s="51" t="str">
        <f>"0x"&amp;AE_w_WORK!F101</f>
        <v>0x2000</v>
      </c>
      <c r="J358" s="41">
        <v>40473</v>
      </c>
      <c r="K358" s="42"/>
      <c r="M358" s="179"/>
      <c r="N358" s="179"/>
    </row>
    <row r="359" spans="1:14" ht="12" hidden="1" customHeight="1" outlineLevel="1">
      <c r="A359" s="13"/>
      <c r="B359" s="178">
        <v>353</v>
      </c>
      <c r="C359" s="44"/>
      <c r="D359" s="45"/>
      <c r="E359" s="39" t="s">
        <v>325</v>
      </c>
      <c r="F359" s="180" t="s">
        <v>783</v>
      </c>
      <c r="G359" s="40" t="s">
        <v>263</v>
      </c>
      <c r="H359" s="46" t="s">
        <v>81</v>
      </c>
      <c r="I359" s="51" t="str">
        <f>"0x"&amp;AE_w_WORK!F102</f>
        <v>0x0002</v>
      </c>
      <c r="J359" s="41">
        <v>40473</v>
      </c>
      <c r="K359" s="42"/>
      <c r="M359" s="179"/>
      <c r="N359" s="179"/>
    </row>
    <row r="360" spans="1:14" ht="12" hidden="1" customHeight="1" outlineLevel="1">
      <c r="A360" s="13"/>
      <c r="B360" s="178">
        <v>354</v>
      </c>
      <c r="C360" s="44"/>
      <c r="D360" s="45"/>
      <c r="E360" s="39" t="s">
        <v>325</v>
      </c>
      <c r="F360" s="180" t="s">
        <v>784</v>
      </c>
      <c r="G360" s="40" t="s">
        <v>82</v>
      </c>
      <c r="H360" s="46" t="s">
        <v>83</v>
      </c>
      <c r="I360" s="51" t="str">
        <f>"0x"&amp;AE_w_WORK!F103</f>
        <v>0x2333</v>
      </c>
      <c r="J360" s="41">
        <v>40473</v>
      </c>
      <c r="K360" s="42"/>
      <c r="M360" s="179"/>
      <c r="N360" s="179"/>
    </row>
    <row r="361" spans="1:14" ht="12" hidden="1" customHeight="1" outlineLevel="1">
      <c r="A361" s="13"/>
      <c r="B361" s="178">
        <v>355</v>
      </c>
      <c r="C361" s="44"/>
      <c r="D361" s="45"/>
      <c r="E361" s="39" t="s">
        <v>325</v>
      </c>
      <c r="F361" s="180" t="s">
        <v>785</v>
      </c>
      <c r="G361" s="40" t="s">
        <v>84</v>
      </c>
      <c r="H361" s="46" t="s">
        <v>85</v>
      </c>
      <c r="I361" s="51" t="str">
        <f>"0x"&amp;AE_w_WORK!F104</f>
        <v>0x3332</v>
      </c>
      <c r="J361" s="41">
        <v>40473</v>
      </c>
      <c r="K361" s="42"/>
      <c r="M361" s="179"/>
      <c r="N361" s="179"/>
    </row>
    <row r="362" spans="1:14" ht="12" hidden="1" customHeight="1" outlineLevel="1">
      <c r="A362" s="13"/>
      <c r="B362" s="178">
        <v>356</v>
      </c>
      <c r="C362" s="44"/>
      <c r="D362" s="45"/>
      <c r="E362" s="39" t="s">
        <v>325</v>
      </c>
      <c r="F362" s="180" t="s">
        <v>786</v>
      </c>
      <c r="G362" s="40" t="s">
        <v>86</v>
      </c>
      <c r="H362" s="46" t="s">
        <v>87</v>
      </c>
      <c r="I362" s="51" t="str">
        <f>"0x"&amp;AE_w_WORK!F105</f>
        <v>0x2000</v>
      </c>
      <c r="J362" s="41">
        <v>40473</v>
      </c>
      <c r="K362" s="42"/>
      <c r="M362" s="179"/>
      <c r="N362" s="179"/>
    </row>
    <row r="363" spans="1:14" ht="12" hidden="1" customHeight="1" outlineLevel="1">
      <c r="A363" s="13"/>
      <c r="B363" s="178">
        <v>357</v>
      </c>
      <c r="C363" s="44"/>
      <c r="D363" s="45"/>
      <c r="E363" s="39" t="s">
        <v>325</v>
      </c>
      <c r="F363" s="180" t="s">
        <v>787</v>
      </c>
      <c r="G363" s="40" t="s">
        <v>88</v>
      </c>
      <c r="H363" s="46" t="s">
        <v>89</v>
      </c>
      <c r="I363" s="51" t="str">
        <f>"0x"&amp;AE_w_WORK!F106</f>
        <v>0x0002</v>
      </c>
      <c r="J363" s="41">
        <v>40473</v>
      </c>
      <c r="K363" s="42"/>
      <c r="M363" s="179"/>
      <c r="N363" s="179"/>
    </row>
    <row r="364" spans="1:14" ht="12" hidden="1" customHeight="1" outlineLevel="1">
      <c r="A364" s="13"/>
      <c r="B364" s="178">
        <v>358</v>
      </c>
      <c r="C364" s="44"/>
      <c r="D364" s="45"/>
      <c r="E364" s="39" t="s">
        <v>325</v>
      </c>
      <c r="F364" s="180" t="s">
        <v>788</v>
      </c>
      <c r="G364" s="40" t="s">
        <v>90</v>
      </c>
      <c r="H364" s="46" t="s">
        <v>91</v>
      </c>
      <c r="I364" s="51" t="str">
        <f>"0x"&amp;AE_w_WORK!F107</f>
        <v>0x2333</v>
      </c>
      <c r="J364" s="41">
        <v>40473</v>
      </c>
      <c r="K364" s="42"/>
      <c r="M364" s="179"/>
      <c r="N364" s="179"/>
    </row>
    <row r="365" spans="1:14" ht="12" hidden="1" customHeight="1" outlineLevel="1">
      <c r="A365" s="13"/>
      <c r="B365" s="178">
        <v>359</v>
      </c>
      <c r="C365" s="44"/>
      <c r="D365" s="45"/>
      <c r="E365" s="39" t="s">
        <v>325</v>
      </c>
      <c r="F365" s="180" t="s">
        <v>789</v>
      </c>
      <c r="G365" s="40" t="s">
        <v>92</v>
      </c>
      <c r="H365" s="46" t="s">
        <v>93</v>
      </c>
      <c r="I365" s="51" t="str">
        <f>"0x"&amp;AE_w_WORK!F108</f>
        <v>0x3332</v>
      </c>
      <c r="J365" s="41">
        <v>40473</v>
      </c>
      <c r="K365" s="42"/>
      <c r="M365" s="179"/>
      <c r="N365" s="179"/>
    </row>
    <row r="366" spans="1:14" ht="12" hidden="1" customHeight="1" outlineLevel="1">
      <c r="A366" s="13"/>
      <c r="B366" s="178">
        <v>360</v>
      </c>
      <c r="C366" s="44"/>
      <c r="D366" s="45"/>
      <c r="E366" s="39" t="s">
        <v>325</v>
      </c>
      <c r="F366" s="180" t="s">
        <v>790</v>
      </c>
      <c r="G366" s="40" t="s">
        <v>94</v>
      </c>
      <c r="H366" s="46" t="s">
        <v>95</v>
      </c>
      <c r="I366" s="51" t="str">
        <f>"0x"&amp;AE_w_WORK!F109</f>
        <v>0x2000</v>
      </c>
      <c r="J366" s="41">
        <v>40473</v>
      </c>
      <c r="K366" s="42"/>
      <c r="M366" s="179"/>
      <c r="N366" s="179"/>
    </row>
    <row r="367" spans="1:14" ht="12" hidden="1" customHeight="1" outlineLevel="1">
      <c r="A367" s="13"/>
      <c r="B367" s="178">
        <v>361</v>
      </c>
      <c r="C367" s="44"/>
      <c r="D367" s="45"/>
      <c r="E367" s="39" t="s">
        <v>325</v>
      </c>
      <c r="F367" s="180" t="s">
        <v>791</v>
      </c>
      <c r="G367" s="40" t="s">
        <v>96</v>
      </c>
      <c r="H367" s="46" t="s">
        <v>97</v>
      </c>
      <c r="I367" s="51" t="str">
        <f>"0x"&amp;AE_w_WORK!F110</f>
        <v>0x0000</v>
      </c>
      <c r="J367" s="41">
        <v>40473</v>
      </c>
      <c r="K367" s="42"/>
      <c r="M367" s="179"/>
      <c r="N367" s="179"/>
    </row>
    <row r="368" spans="1:14" ht="12" hidden="1" customHeight="1" outlineLevel="1">
      <c r="A368" s="13"/>
      <c r="B368" s="178">
        <v>362</v>
      </c>
      <c r="C368" s="44"/>
      <c r="D368" s="45"/>
      <c r="E368" s="39" t="s">
        <v>325</v>
      </c>
      <c r="F368" s="180" t="s">
        <v>792</v>
      </c>
      <c r="G368" s="40" t="s">
        <v>98</v>
      </c>
      <c r="H368" s="46" t="s">
        <v>99</v>
      </c>
      <c r="I368" s="51" t="str">
        <f>"0x"&amp;AE_w_WORK!F111</f>
        <v>0x0022</v>
      </c>
      <c r="J368" s="41">
        <v>40473</v>
      </c>
      <c r="K368" s="42"/>
      <c r="M368" s="179"/>
      <c r="N368" s="179"/>
    </row>
    <row r="369" spans="1:14" ht="12" hidden="1" customHeight="1" outlineLevel="1">
      <c r="A369" s="13"/>
      <c r="B369" s="178">
        <v>363</v>
      </c>
      <c r="C369" s="44"/>
      <c r="D369" s="45"/>
      <c r="E369" s="39" t="s">
        <v>325</v>
      </c>
      <c r="F369" s="180" t="s">
        <v>793</v>
      </c>
      <c r="G369" s="40" t="s">
        <v>100</v>
      </c>
      <c r="H369" s="46" t="s">
        <v>101</v>
      </c>
      <c r="I369" s="51" t="str">
        <f>"0x"&amp;AE_w_WORK!F112</f>
        <v>0x2200</v>
      </c>
      <c r="J369" s="41">
        <v>40473</v>
      </c>
      <c r="K369" s="42"/>
      <c r="M369" s="179"/>
      <c r="N369" s="179"/>
    </row>
    <row r="370" spans="1:14" ht="12" hidden="1" customHeight="1" outlineLevel="1">
      <c r="A370" s="13"/>
      <c r="B370" s="178">
        <v>364</v>
      </c>
      <c r="C370" s="44"/>
      <c r="D370" s="45"/>
      <c r="E370" s="39" t="s">
        <v>325</v>
      </c>
      <c r="F370" s="180" t="s">
        <v>794</v>
      </c>
      <c r="G370" s="40" t="s">
        <v>102</v>
      </c>
      <c r="H370" s="46" t="s">
        <v>103</v>
      </c>
      <c r="I370" s="51" t="str">
        <f>"0x"&amp;AE_w_WORK!F113</f>
        <v>0x0000</v>
      </c>
      <c r="J370" s="41">
        <v>40473</v>
      </c>
      <c r="K370" s="42"/>
      <c r="M370" s="179"/>
      <c r="N370" s="179"/>
    </row>
    <row r="371" spans="1:14" ht="12" hidden="1" customHeight="1" outlineLevel="1">
      <c r="A371" s="13"/>
      <c r="B371" s="178">
        <v>365</v>
      </c>
      <c r="C371" s="44"/>
      <c r="D371" s="45"/>
      <c r="E371" s="39" t="s">
        <v>325</v>
      </c>
      <c r="F371" s="180" t="s">
        <v>795</v>
      </c>
      <c r="G371" s="40" t="s">
        <v>104</v>
      </c>
      <c r="H371" s="46" t="s">
        <v>105</v>
      </c>
      <c r="I371" s="51" t="str">
        <f>"0x"&amp;AE_w_WORK!F114</f>
        <v>0x0000</v>
      </c>
      <c r="J371" s="41">
        <v>40473</v>
      </c>
      <c r="K371" s="42"/>
      <c r="M371" s="179"/>
      <c r="N371" s="179"/>
    </row>
    <row r="372" spans="1:14" ht="12" hidden="1" customHeight="1" outlineLevel="1">
      <c r="A372" s="13"/>
      <c r="B372" s="178">
        <v>366</v>
      </c>
      <c r="C372" s="44"/>
      <c r="D372" s="45"/>
      <c r="E372" s="39" t="s">
        <v>325</v>
      </c>
      <c r="F372" s="180" t="s">
        <v>796</v>
      </c>
      <c r="G372" s="40" t="s">
        <v>106</v>
      </c>
      <c r="H372" s="46" t="s">
        <v>107</v>
      </c>
      <c r="I372" s="51" t="str">
        <f>"0x"&amp;AE_w_WORK!F115</f>
        <v>0x0022</v>
      </c>
      <c r="J372" s="41">
        <v>40473</v>
      </c>
      <c r="K372" s="42"/>
      <c r="M372" s="179"/>
      <c r="N372" s="179"/>
    </row>
    <row r="373" spans="1:14" ht="12" hidden="1" customHeight="1" outlineLevel="1">
      <c r="A373" s="13"/>
      <c r="B373" s="178">
        <v>367</v>
      </c>
      <c r="C373" s="44"/>
      <c r="D373" s="45"/>
      <c r="E373" s="39" t="s">
        <v>325</v>
      </c>
      <c r="F373" s="180" t="s">
        <v>797</v>
      </c>
      <c r="G373" s="40" t="s">
        <v>108</v>
      </c>
      <c r="H373" s="46" t="s">
        <v>109</v>
      </c>
      <c r="I373" s="51" t="str">
        <f>"0x"&amp;AE_w_WORK!F116</f>
        <v>0x2200</v>
      </c>
      <c r="J373" s="41">
        <v>40473</v>
      </c>
      <c r="K373" s="42"/>
      <c r="M373" s="179"/>
      <c r="N373" s="179"/>
    </row>
    <row r="374" spans="1:14" ht="12" hidden="1" customHeight="1" outlineLevel="1">
      <c r="A374" s="13"/>
      <c r="B374" s="178">
        <v>368</v>
      </c>
      <c r="C374" s="44"/>
      <c r="D374" s="45"/>
      <c r="E374" s="39" t="s">
        <v>325</v>
      </c>
      <c r="F374" s="180" t="s">
        <v>798</v>
      </c>
      <c r="G374" s="40" t="s">
        <v>110</v>
      </c>
      <c r="H374" s="46" t="s">
        <v>111</v>
      </c>
      <c r="I374" s="51" t="str">
        <f>"0x"&amp;AE_w_WORK!F117</f>
        <v>0x0000</v>
      </c>
      <c r="J374" s="41">
        <v>40473</v>
      </c>
      <c r="K374" s="42"/>
      <c r="M374" s="179"/>
      <c r="N374" s="179"/>
    </row>
    <row r="375" spans="1:14" ht="12" hidden="1" customHeight="1" outlineLevel="1">
      <c r="B375" s="178">
        <v>369</v>
      </c>
      <c r="C375" s="44"/>
      <c r="D375" s="45"/>
      <c r="E375" s="39" t="s">
        <v>325</v>
      </c>
      <c r="F375" s="180" t="s">
        <v>799</v>
      </c>
      <c r="G375" s="40" t="s">
        <v>112</v>
      </c>
      <c r="H375" s="46" t="s">
        <v>113</v>
      </c>
      <c r="I375" s="51" t="str">
        <f>"0x"&amp;AE_w_WORK!F118</f>
        <v>0x0000</v>
      </c>
      <c r="J375" s="41">
        <v>40473</v>
      </c>
      <c r="K375" s="42"/>
      <c r="M375" s="179"/>
      <c r="N375" s="179"/>
    </row>
    <row r="376" spans="1:14" ht="12" hidden="1" customHeight="1" outlineLevel="1">
      <c r="B376" s="178">
        <v>370</v>
      </c>
      <c r="C376" s="44"/>
      <c r="D376" s="45"/>
      <c r="E376" s="39" t="s">
        <v>325</v>
      </c>
      <c r="F376" s="180" t="s">
        <v>800</v>
      </c>
      <c r="G376" s="40" t="s">
        <v>114</v>
      </c>
      <c r="H376" s="46" t="s">
        <v>115</v>
      </c>
      <c r="I376" s="51" t="str">
        <f>"0x"&amp;AE_w_WORK!F119</f>
        <v>0x0000</v>
      </c>
      <c r="J376" s="41">
        <v>40473</v>
      </c>
      <c r="K376" s="42"/>
      <c r="M376" s="179"/>
      <c r="N376" s="179"/>
    </row>
    <row r="377" spans="1:14" ht="12" hidden="1" customHeight="1" outlineLevel="1">
      <c r="B377" s="178">
        <v>371</v>
      </c>
      <c r="C377" s="44"/>
      <c r="D377" s="45"/>
      <c r="E377" s="39" t="s">
        <v>325</v>
      </c>
      <c r="F377" s="180" t="s">
        <v>801</v>
      </c>
      <c r="G377" s="40" t="s">
        <v>116</v>
      </c>
      <c r="H377" s="46" t="s">
        <v>117</v>
      </c>
      <c r="I377" s="51" t="str">
        <f>"0x"&amp;AE_w_WORK!F120</f>
        <v>0x0000</v>
      </c>
      <c r="J377" s="41">
        <v>40473</v>
      </c>
      <c r="K377" s="42"/>
      <c r="M377" s="179"/>
      <c r="N377" s="179"/>
    </row>
    <row r="378" spans="1:14" ht="12" hidden="1" customHeight="1" outlineLevel="1">
      <c r="B378" s="178">
        <v>372</v>
      </c>
      <c r="C378" s="44"/>
      <c r="D378" s="45"/>
      <c r="E378" s="39" t="s">
        <v>325</v>
      </c>
      <c r="F378" s="180" t="s">
        <v>802</v>
      </c>
      <c r="G378" s="40" t="s">
        <v>118</v>
      </c>
      <c r="H378" s="46" t="s">
        <v>119</v>
      </c>
      <c r="I378" s="51" t="str">
        <f>"0x"&amp;AE_w_WORK!F121</f>
        <v>0x0000</v>
      </c>
      <c r="J378" s="41">
        <v>40473</v>
      </c>
      <c r="K378" s="42"/>
      <c r="M378" s="179"/>
      <c r="N378" s="179"/>
    </row>
    <row r="379" spans="1:14" ht="12" hidden="1" customHeight="1" outlineLevel="1">
      <c r="B379" s="178">
        <v>373</v>
      </c>
      <c r="C379" s="44"/>
      <c r="D379" s="45"/>
      <c r="E379" s="39" t="s">
        <v>325</v>
      </c>
      <c r="F379" s="180" t="s">
        <v>803</v>
      </c>
      <c r="G379" s="40" t="s">
        <v>120</v>
      </c>
      <c r="H379" s="46" t="s">
        <v>264</v>
      </c>
      <c r="I379" s="51" t="str">
        <f>"0x"&amp;AE_w_WORK!F122</f>
        <v>0x0000</v>
      </c>
      <c r="J379" s="41">
        <v>40473</v>
      </c>
      <c r="K379" s="42"/>
      <c r="M379" s="179"/>
      <c r="N379" s="179"/>
    </row>
    <row r="380" spans="1:14" ht="12" hidden="1" customHeight="1" outlineLevel="1">
      <c r="B380" s="178">
        <v>374</v>
      </c>
      <c r="C380" s="44"/>
      <c r="D380" s="45"/>
      <c r="E380" s="39" t="s">
        <v>325</v>
      </c>
      <c r="F380" s="180" t="s">
        <v>804</v>
      </c>
      <c r="G380" s="40" t="s">
        <v>0</v>
      </c>
      <c r="H380" s="46" t="s">
        <v>1</v>
      </c>
      <c r="I380" s="51" t="str">
        <f>"0x"&amp;AE_w_WORK!F123</f>
        <v>0x0000</v>
      </c>
      <c r="J380" s="41">
        <v>40473</v>
      </c>
      <c r="K380" s="42"/>
      <c r="M380" s="179"/>
      <c r="N380" s="179"/>
    </row>
    <row r="381" spans="1:14" ht="12" hidden="1" customHeight="1" outlineLevel="1">
      <c r="B381" s="178">
        <v>375</v>
      </c>
      <c r="C381" s="44"/>
      <c r="D381" s="45"/>
      <c r="E381" s="39" t="s">
        <v>325</v>
      </c>
      <c r="F381" s="180" t="s">
        <v>805</v>
      </c>
      <c r="G381" s="40" t="s">
        <v>2</v>
      </c>
      <c r="H381" s="46" t="s">
        <v>3</v>
      </c>
      <c r="I381" s="51" t="str">
        <f>"0x"&amp;AE_w_WORK!F124</f>
        <v>0x0000</v>
      </c>
      <c r="J381" s="41">
        <v>40473</v>
      </c>
      <c r="K381" s="42"/>
      <c r="M381" s="179"/>
      <c r="N381" s="179"/>
    </row>
    <row r="382" spans="1:14" ht="12" hidden="1" customHeight="1" outlineLevel="1">
      <c r="B382" s="178">
        <v>376</v>
      </c>
      <c r="C382" s="44"/>
      <c r="D382" s="45"/>
      <c r="E382" s="39" t="s">
        <v>325</v>
      </c>
      <c r="F382" s="180" t="s">
        <v>806</v>
      </c>
      <c r="G382" s="40" t="s">
        <v>4</v>
      </c>
      <c r="H382" s="46" t="s">
        <v>5</v>
      </c>
      <c r="I382" s="51" t="str">
        <f>"0x"&amp;AE_w_WORK!F125</f>
        <v>0x0000</v>
      </c>
      <c r="J382" s="41">
        <v>40473</v>
      </c>
      <c r="K382" s="42"/>
      <c r="M382" s="179"/>
      <c r="N382" s="179"/>
    </row>
    <row r="383" spans="1:14" ht="12" hidden="1" customHeight="1" outlineLevel="1">
      <c r="B383" s="178">
        <v>377</v>
      </c>
      <c r="C383" s="44"/>
      <c r="D383" s="45"/>
      <c r="E383" s="39" t="s">
        <v>325</v>
      </c>
      <c r="F383" s="180" t="s">
        <v>807</v>
      </c>
      <c r="G383" s="40" t="s">
        <v>6</v>
      </c>
      <c r="H383" s="46" t="s">
        <v>7</v>
      </c>
      <c r="I383" s="51" t="str">
        <f>"0x"&amp;AE_w_WORK!F126</f>
        <v>0x0000</v>
      </c>
      <c r="J383" s="41">
        <v>40473</v>
      </c>
      <c r="K383" s="42"/>
      <c r="M383" s="179"/>
      <c r="N383" s="179"/>
    </row>
    <row r="384" spans="1:14" ht="12" hidden="1" customHeight="1" outlineLevel="1">
      <c r="B384" s="178">
        <v>378</v>
      </c>
      <c r="C384" s="44"/>
      <c r="D384" s="45"/>
      <c r="E384" s="39" t="s">
        <v>325</v>
      </c>
      <c r="F384" s="180" t="s">
        <v>808</v>
      </c>
      <c r="G384" s="40" t="s">
        <v>8</v>
      </c>
      <c r="H384" s="46" t="s">
        <v>9</v>
      </c>
      <c r="I384" s="51" t="str">
        <f>"0x"&amp;AE_w_WORK!F127</f>
        <v>0x0000</v>
      </c>
      <c r="J384" s="41">
        <v>40473</v>
      </c>
      <c r="K384" s="42"/>
      <c r="M384" s="179"/>
      <c r="N384" s="179"/>
    </row>
    <row r="385" spans="2:14" ht="12" hidden="1" customHeight="1" outlineLevel="1">
      <c r="B385" s="178">
        <v>379</v>
      </c>
      <c r="C385" s="44"/>
      <c r="D385" s="45"/>
      <c r="E385" s="39" t="s">
        <v>325</v>
      </c>
      <c r="F385" s="180" t="s">
        <v>809</v>
      </c>
      <c r="G385" s="40" t="s">
        <v>10</v>
      </c>
      <c r="H385" s="46" t="s">
        <v>11</v>
      </c>
      <c r="I385" s="51" t="str">
        <f>"0x"&amp;AE_w_WORK!F128</f>
        <v>0x0000</v>
      </c>
      <c r="J385" s="41">
        <v>40473</v>
      </c>
      <c r="K385" s="42"/>
      <c r="M385" s="179"/>
      <c r="N385" s="179"/>
    </row>
    <row r="386" spans="2:14" ht="12" hidden="1" customHeight="1" outlineLevel="1">
      <c r="B386" s="178">
        <v>380</v>
      </c>
      <c r="C386" s="44"/>
      <c r="D386" s="45"/>
      <c r="E386" s="39" t="s">
        <v>325</v>
      </c>
      <c r="F386" s="180" t="s">
        <v>810</v>
      </c>
      <c r="G386" s="40" t="s">
        <v>12</v>
      </c>
      <c r="H386" s="46" t="s">
        <v>13</v>
      </c>
      <c r="I386" s="51" t="str">
        <f>"0x"&amp;AE_w_WORK!F129</f>
        <v>0x0000</v>
      </c>
      <c r="J386" s="41">
        <v>40473</v>
      </c>
      <c r="K386" s="42"/>
      <c r="M386" s="179"/>
      <c r="N386" s="179"/>
    </row>
    <row r="387" spans="2:14" ht="12" hidden="1" customHeight="1" outlineLevel="1">
      <c r="B387" s="178">
        <v>381</v>
      </c>
      <c r="C387" s="44"/>
      <c r="D387" s="45"/>
      <c r="E387" s="39" t="s">
        <v>325</v>
      </c>
      <c r="F387" s="180" t="s">
        <v>811</v>
      </c>
      <c r="G387" s="40" t="s">
        <v>14</v>
      </c>
      <c r="H387" s="46" t="s">
        <v>15</v>
      </c>
      <c r="I387" s="51" t="str">
        <f>"0x"&amp;AE_w_WORK!F130</f>
        <v>0x0000</v>
      </c>
      <c r="J387" s="41">
        <v>40473</v>
      </c>
      <c r="K387" s="42"/>
      <c r="M387" s="179"/>
      <c r="N387" s="179"/>
    </row>
    <row r="388" spans="2:14" ht="12" hidden="1" customHeight="1" outlineLevel="1">
      <c r="B388" s="178">
        <v>382</v>
      </c>
      <c r="C388" s="44"/>
      <c r="D388" s="45"/>
      <c r="E388" s="39" t="s">
        <v>325</v>
      </c>
      <c r="F388" s="180" t="s">
        <v>812</v>
      </c>
      <c r="G388" s="40" t="s">
        <v>16</v>
      </c>
      <c r="H388" s="46" t="s">
        <v>17</v>
      </c>
      <c r="I388" s="51" t="str">
        <f>"0x"&amp;AE_w_WORK!F131</f>
        <v>0x0000</v>
      </c>
      <c r="J388" s="41">
        <v>40473</v>
      </c>
      <c r="K388" s="42"/>
      <c r="M388" s="179"/>
      <c r="N388" s="179"/>
    </row>
    <row r="389" spans="2:14" ht="12" hidden="1" customHeight="1" outlineLevel="1">
      <c r="B389" s="178">
        <v>383</v>
      </c>
      <c r="C389" s="44"/>
      <c r="D389" s="45"/>
      <c r="E389" s="39" t="s">
        <v>325</v>
      </c>
      <c r="F389" s="180" t="s">
        <v>813</v>
      </c>
      <c r="G389" s="40" t="s">
        <v>18</v>
      </c>
      <c r="H389" s="46" t="s">
        <v>19</v>
      </c>
      <c r="I389" s="51" t="str">
        <f>"0x"&amp;AE_w_WORK!F132</f>
        <v>0x0000</v>
      </c>
      <c r="J389" s="41">
        <v>40473</v>
      </c>
      <c r="K389" s="42"/>
      <c r="M389" s="179"/>
      <c r="N389" s="179"/>
    </row>
    <row r="390" spans="2:14" ht="12" hidden="1" customHeight="1" outlineLevel="1">
      <c r="B390" s="178">
        <v>384</v>
      </c>
      <c r="C390" s="44"/>
      <c r="D390" s="47"/>
      <c r="E390" s="39" t="s">
        <v>325</v>
      </c>
      <c r="F390" s="180" t="s">
        <v>814</v>
      </c>
      <c r="G390" s="40" t="s">
        <v>20</v>
      </c>
      <c r="H390" s="46" t="s">
        <v>21</v>
      </c>
      <c r="I390" s="51" t="str">
        <f>"0x"&amp;AE_w_WORK!F133</f>
        <v>0x0000</v>
      </c>
      <c r="J390" s="41">
        <v>40473</v>
      </c>
      <c r="K390" s="42"/>
      <c r="M390" s="179"/>
      <c r="N390" s="179"/>
    </row>
    <row r="391" spans="2:14" collapsed="1">
      <c r="B391" s="178">
        <v>385</v>
      </c>
      <c r="C391" s="44"/>
      <c r="D391" s="45"/>
      <c r="E391" s="39" t="s">
        <v>325</v>
      </c>
      <c r="F391" s="180" t="s">
        <v>815</v>
      </c>
      <c r="G391" s="40" t="s">
        <v>79</v>
      </c>
      <c r="H391" s="46" t="s">
        <v>80</v>
      </c>
      <c r="I391" s="51" t="str">
        <f>"0x"&amp;AE_w_WORK!G6</f>
        <v>0x2222</v>
      </c>
      <c r="J391" s="41">
        <v>40473</v>
      </c>
      <c r="K391" s="42" t="s">
        <v>328</v>
      </c>
      <c r="M391" s="179"/>
      <c r="N391" s="179"/>
    </row>
    <row r="392" spans="2:14" hidden="1" outlineLevel="1">
      <c r="B392" s="178">
        <v>386</v>
      </c>
      <c r="C392" s="44"/>
      <c r="D392" s="45"/>
      <c r="E392" s="39" t="s">
        <v>325</v>
      </c>
      <c r="F392" s="180" t="s">
        <v>816</v>
      </c>
      <c r="G392" s="40" t="s">
        <v>77</v>
      </c>
      <c r="H392" s="46" t="s">
        <v>78</v>
      </c>
      <c r="I392" s="51" t="str">
        <f>"0x"&amp;AE_w_WORK!G7</f>
        <v>0x2222</v>
      </c>
      <c r="J392" s="41">
        <v>40473</v>
      </c>
      <c r="K392" s="42"/>
      <c r="M392" s="179"/>
      <c r="N392" s="179"/>
    </row>
    <row r="393" spans="2:14" hidden="1" outlineLevel="1">
      <c r="B393" s="178">
        <v>387</v>
      </c>
      <c r="C393" s="44"/>
      <c r="D393" s="45"/>
      <c r="E393" s="39" t="s">
        <v>325</v>
      </c>
      <c r="F393" s="180" t="s">
        <v>817</v>
      </c>
      <c r="G393" s="40" t="s">
        <v>22</v>
      </c>
      <c r="H393" s="46" t="s">
        <v>23</v>
      </c>
      <c r="I393" s="51" t="str">
        <f>"0x"&amp;AE_w_WORK!G8</f>
        <v>0x2222</v>
      </c>
      <c r="J393" s="41">
        <v>40473</v>
      </c>
      <c r="K393" s="42"/>
      <c r="M393" s="179"/>
      <c r="N393" s="179"/>
    </row>
    <row r="394" spans="2:14" hidden="1" outlineLevel="1">
      <c r="B394" s="178">
        <v>388</v>
      </c>
      <c r="C394" s="44"/>
      <c r="D394" s="45"/>
      <c r="E394" s="39" t="s">
        <v>325</v>
      </c>
      <c r="F394" s="180" t="s">
        <v>818</v>
      </c>
      <c r="G394" s="40" t="s">
        <v>24</v>
      </c>
      <c r="H394" s="46" t="s">
        <v>25</v>
      </c>
      <c r="I394" s="51" t="str">
        <f>"0x"&amp;AE_w_WORK!G9</f>
        <v>0x2222</v>
      </c>
      <c r="J394" s="41">
        <v>40473</v>
      </c>
      <c r="K394" s="42"/>
      <c r="M394" s="179"/>
      <c r="N394" s="179"/>
    </row>
    <row r="395" spans="2:14" hidden="1" outlineLevel="1">
      <c r="B395" s="178">
        <v>389</v>
      </c>
      <c r="C395" s="44"/>
      <c r="D395" s="45"/>
      <c r="E395" s="39" t="s">
        <v>325</v>
      </c>
      <c r="F395" s="180" t="s">
        <v>819</v>
      </c>
      <c r="G395" s="40" t="s">
        <v>26</v>
      </c>
      <c r="H395" s="46" t="s">
        <v>27</v>
      </c>
      <c r="I395" s="51" t="str">
        <f>"0x"&amp;AE_w_WORK!G10</f>
        <v>0x2222</v>
      </c>
      <c r="J395" s="41">
        <v>40473</v>
      </c>
      <c r="K395" s="42"/>
      <c r="M395" s="179"/>
      <c r="N395" s="179"/>
    </row>
    <row r="396" spans="2:14" hidden="1" outlineLevel="1">
      <c r="B396" s="178">
        <v>390</v>
      </c>
      <c r="C396" s="44"/>
      <c r="D396" s="45"/>
      <c r="E396" s="39" t="s">
        <v>325</v>
      </c>
      <c r="F396" s="180" t="s">
        <v>820</v>
      </c>
      <c r="G396" s="40" t="s">
        <v>28</v>
      </c>
      <c r="H396" s="46" t="s">
        <v>29</v>
      </c>
      <c r="I396" s="51" t="str">
        <f>"0x"&amp;AE_w_WORK!G11</f>
        <v>0x2222</v>
      </c>
      <c r="J396" s="41">
        <v>40473</v>
      </c>
      <c r="K396" s="42"/>
      <c r="M396" s="179"/>
      <c r="N396" s="179"/>
    </row>
    <row r="397" spans="2:14" hidden="1" outlineLevel="1">
      <c r="B397" s="178">
        <v>391</v>
      </c>
      <c r="C397" s="44"/>
      <c r="D397" s="45"/>
      <c r="E397" s="39" t="s">
        <v>325</v>
      </c>
      <c r="F397" s="180" t="s">
        <v>821</v>
      </c>
      <c r="G397" s="40" t="s">
        <v>30</v>
      </c>
      <c r="H397" s="46" t="s">
        <v>31</v>
      </c>
      <c r="I397" s="51" t="str">
        <f>"0x"&amp;AE_w_WORK!G12</f>
        <v>0x2222</v>
      </c>
      <c r="J397" s="41">
        <v>40473</v>
      </c>
      <c r="K397" s="42"/>
      <c r="M397" s="179"/>
      <c r="N397" s="179"/>
    </row>
    <row r="398" spans="2:14" hidden="1" outlineLevel="1">
      <c r="B398" s="178">
        <v>392</v>
      </c>
      <c r="C398" s="44"/>
      <c r="D398" s="45"/>
      <c r="E398" s="39" t="s">
        <v>325</v>
      </c>
      <c r="F398" s="180" t="s">
        <v>822</v>
      </c>
      <c r="G398" s="40" t="s">
        <v>32</v>
      </c>
      <c r="H398" s="46" t="s">
        <v>33</v>
      </c>
      <c r="I398" s="51" t="str">
        <f>"0x"&amp;AE_w_WORK!G13</f>
        <v>0x2222</v>
      </c>
      <c r="J398" s="41">
        <v>40473</v>
      </c>
      <c r="K398" s="42"/>
      <c r="M398" s="179"/>
      <c r="N398" s="179"/>
    </row>
    <row r="399" spans="2:14" hidden="1" outlineLevel="1">
      <c r="B399" s="178">
        <v>393</v>
      </c>
      <c r="C399" s="44"/>
      <c r="D399" s="45"/>
      <c r="E399" s="39" t="s">
        <v>325</v>
      </c>
      <c r="F399" s="180" t="s">
        <v>823</v>
      </c>
      <c r="G399" s="40" t="s">
        <v>34</v>
      </c>
      <c r="H399" s="46" t="s">
        <v>35</v>
      </c>
      <c r="I399" s="51" t="str">
        <f>"0x"&amp;AE_w_WORK!G14</f>
        <v>0x2222</v>
      </c>
      <c r="J399" s="41">
        <v>40473</v>
      </c>
      <c r="K399" s="42"/>
      <c r="M399" s="179"/>
      <c r="N399" s="179"/>
    </row>
    <row r="400" spans="2:14" hidden="1" outlineLevel="1">
      <c r="B400" s="178">
        <v>394</v>
      </c>
      <c r="C400" s="44"/>
      <c r="D400" s="45"/>
      <c r="E400" s="39" t="s">
        <v>325</v>
      </c>
      <c r="F400" s="180" t="s">
        <v>824</v>
      </c>
      <c r="G400" s="40" t="s">
        <v>36</v>
      </c>
      <c r="H400" s="46" t="s">
        <v>37</v>
      </c>
      <c r="I400" s="51" t="str">
        <f>"0x"&amp;AE_w_WORK!G15</f>
        <v>0x2222</v>
      </c>
      <c r="J400" s="41">
        <v>40473</v>
      </c>
      <c r="K400" s="42"/>
      <c r="M400" s="179"/>
      <c r="N400" s="179"/>
    </row>
    <row r="401" spans="2:14" hidden="1" outlineLevel="1">
      <c r="B401" s="178">
        <v>395</v>
      </c>
      <c r="C401" s="44"/>
      <c r="D401" s="45"/>
      <c r="E401" s="39" t="s">
        <v>325</v>
      </c>
      <c r="F401" s="180" t="s">
        <v>825</v>
      </c>
      <c r="G401" s="40" t="s">
        <v>38</v>
      </c>
      <c r="H401" s="46" t="s">
        <v>39</v>
      </c>
      <c r="I401" s="51" t="str">
        <f>"0x"&amp;AE_w_WORK!G16</f>
        <v>0x2222</v>
      </c>
      <c r="J401" s="41">
        <v>40473</v>
      </c>
      <c r="K401" s="42"/>
      <c r="M401" s="179"/>
      <c r="N401" s="179"/>
    </row>
    <row r="402" spans="2:14" hidden="1" outlineLevel="1">
      <c r="B402" s="178">
        <v>396</v>
      </c>
      <c r="C402" s="44"/>
      <c r="D402" s="45"/>
      <c r="E402" s="39" t="s">
        <v>325</v>
      </c>
      <c r="F402" s="180" t="s">
        <v>826</v>
      </c>
      <c r="G402" s="40" t="s">
        <v>40</v>
      </c>
      <c r="H402" s="46" t="s">
        <v>41</v>
      </c>
      <c r="I402" s="51" t="str">
        <f>"0x"&amp;AE_w_WORK!G17</f>
        <v>0x2222</v>
      </c>
      <c r="J402" s="41">
        <v>40473</v>
      </c>
      <c r="K402" s="42"/>
      <c r="M402" s="179"/>
      <c r="N402" s="179"/>
    </row>
    <row r="403" spans="2:14" hidden="1" outlineLevel="1">
      <c r="B403" s="178">
        <v>397</v>
      </c>
      <c r="C403" s="44"/>
      <c r="D403" s="45"/>
      <c r="E403" s="39" t="s">
        <v>325</v>
      </c>
      <c r="F403" s="180" t="s">
        <v>827</v>
      </c>
      <c r="G403" s="40" t="s">
        <v>42</v>
      </c>
      <c r="H403" s="46" t="s">
        <v>43</v>
      </c>
      <c r="I403" s="51" t="str">
        <f>"0x"&amp;AE_w_WORK!G18</f>
        <v>0x2222</v>
      </c>
      <c r="J403" s="41">
        <v>40473</v>
      </c>
      <c r="K403" s="42"/>
      <c r="M403" s="179"/>
      <c r="N403" s="179"/>
    </row>
    <row r="404" spans="2:14" hidden="1" outlineLevel="1">
      <c r="B404" s="178">
        <v>398</v>
      </c>
      <c r="C404" s="44"/>
      <c r="D404" s="45"/>
      <c r="E404" s="39" t="s">
        <v>325</v>
      </c>
      <c r="F404" s="180" t="s">
        <v>828</v>
      </c>
      <c r="G404" s="40" t="s">
        <v>44</v>
      </c>
      <c r="H404" s="46" t="s">
        <v>45</v>
      </c>
      <c r="I404" s="51" t="str">
        <f>"0x"&amp;AE_w_WORK!G19</f>
        <v>0x2222</v>
      </c>
      <c r="J404" s="41">
        <v>40473</v>
      </c>
      <c r="K404" s="42"/>
      <c r="M404" s="179"/>
      <c r="N404" s="179"/>
    </row>
    <row r="405" spans="2:14" hidden="1" outlineLevel="1">
      <c r="B405" s="178">
        <v>399</v>
      </c>
      <c r="C405" s="44"/>
      <c r="D405" s="45"/>
      <c r="E405" s="39" t="s">
        <v>325</v>
      </c>
      <c r="F405" s="180" t="s">
        <v>829</v>
      </c>
      <c r="G405" s="40" t="s">
        <v>46</v>
      </c>
      <c r="H405" s="46" t="s">
        <v>47</v>
      </c>
      <c r="I405" s="51" t="str">
        <f>"0x"&amp;AE_w_WORK!G20</f>
        <v>0x2222</v>
      </c>
      <c r="J405" s="41">
        <v>40473</v>
      </c>
      <c r="K405" s="42"/>
      <c r="M405" s="179"/>
      <c r="N405" s="179"/>
    </row>
    <row r="406" spans="2:14" hidden="1" outlineLevel="1">
      <c r="B406" s="178">
        <v>400</v>
      </c>
      <c r="C406" s="44"/>
      <c r="D406" s="45"/>
      <c r="E406" s="39" t="s">
        <v>325</v>
      </c>
      <c r="F406" s="180" t="s">
        <v>830</v>
      </c>
      <c r="G406" s="40" t="s">
        <v>48</v>
      </c>
      <c r="H406" s="46" t="s">
        <v>49</v>
      </c>
      <c r="I406" s="51" t="str">
        <f>"0x"&amp;AE_w_WORK!G21</f>
        <v>0x2222</v>
      </c>
      <c r="J406" s="41">
        <v>40473</v>
      </c>
      <c r="K406" s="42"/>
      <c r="M406" s="179"/>
      <c r="N406" s="179"/>
    </row>
    <row r="407" spans="2:14" hidden="1" outlineLevel="1">
      <c r="B407" s="178">
        <v>401</v>
      </c>
      <c r="C407" s="44"/>
      <c r="D407" s="45"/>
      <c r="E407" s="39" t="s">
        <v>325</v>
      </c>
      <c r="F407" s="180" t="s">
        <v>831</v>
      </c>
      <c r="G407" s="40" t="s">
        <v>50</v>
      </c>
      <c r="H407" s="46" t="s">
        <v>51</v>
      </c>
      <c r="I407" s="51" t="str">
        <f>"0x"&amp;AE_w_WORK!G22</f>
        <v>0x2222</v>
      </c>
      <c r="J407" s="41">
        <v>40473</v>
      </c>
      <c r="K407" s="42"/>
      <c r="M407" s="179"/>
      <c r="N407" s="179"/>
    </row>
    <row r="408" spans="2:14" hidden="1" outlineLevel="1">
      <c r="B408" s="178">
        <v>402</v>
      </c>
      <c r="C408" s="44"/>
      <c r="D408" s="45"/>
      <c r="E408" s="39" t="s">
        <v>325</v>
      </c>
      <c r="F408" s="180" t="s">
        <v>832</v>
      </c>
      <c r="G408" s="40" t="s">
        <v>52</v>
      </c>
      <c r="H408" s="46" t="s">
        <v>53</v>
      </c>
      <c r="I408" s="51" t="str">
        <f>"0x"&amp;AE_w_WORK!G23</f>
        <v>0x2222</v>
      </c>
      <c r="J408" s="41">
        <v>40473</v>
      </c>
      <c r="K408" s="42"/>
      <c r="M408" s="179"/>
      <c r="N408" s="179"/>
    </row>
    <row r="409" spans="2:14" hidden="1" outlineLevel="1">
      <c r="B409" s="178">
        <v>403</v>
      </c>
      <c r="C409" s="44"/>
      <c r="D409" s="45"/>
      <c r="E409" s="39" t="s">
        <v>325</v>
      </c>
      <c r="F409" s="180" t="s">
        <v>833</v>
      </c>
      <c r="G409" s="40" t="s">
        <v>54</v>
      </c>
      <c r="H409" s="46" t="s">
        <v>55</v>
      </c>
      <c r="I409" s="51" t="str">
        <f>"0x"&amp;AE_w_WORK!G24</f>
        <v>0x2222</v>
      </c>
      <c r="J409" s="41">
        <v>40473</v>
      </c>
      <c r="K409" s="42"/>
      <c r="M409" s="179"/>
      <c r="N409" s="179"/>
    </row>
    <row r="410" spans="2:14" hidden="1" outlineLevel="1">
      <c r="B410" s="178">
        <v>404</v>
      </c>
      <c r="C410" s="44"/>
      <c r="D410" s="45"/>
      <c r="E410" s="39" t="s">
        <v>325</v>
      </c>
      <c r="F410" s="180" t="s">
        <v>834</v>
      </c>
      <c r="G410" s="40" t="s">
        <v>56</v>
      </c>
      <c r="H410" s="46" t="s">
        <v>57</v>
      </c>
      <c r="I410" s="51" t="str">
        <f>"0x"&amp;AE_w_WORK!G25</f>
        <v>0x2222</v>
      </c>
      <c r="J410" s="41">
        <v>40473</v>
      </c>
      <c r="K410" s="42"/>
      <c r="M410" s="179"/>
      <c r="N410" s="179"/>
    </row>
    <row r="411" spans="2:14" hidden="1" outlineLevel="1">
      <c r="B411" s="178">
        <v>405</v>
      </c>
      <c r="C411" s="44"/>
      <c r="D411" s="45"/>
      <c r="E411" s="39" t="s">
        <v>325</v>
      </c>
      <c r="F411" s="180" t="s">
        <v>835</v>
      </c>
      <c r="G411" s="40" t="s">
        <v>58</v>
      </c>
      <c r="H411" s="46" t="s">
        <v>59</v>
      </c>
      <c r="I411" s="51" t="str">
        <f>"0x"&amp;AE_w_WORK!G26</f>
        <v>0x2222</v>
      </c>
      <c r="J411" s="41">
        <v>40473</v>
      </c>
      <c r="K411" s="42"/>
      <c r="M411" s="179"/>
      <c r="N411" s="179"/>
    </row>
    <row r="412" spans="2:14" hidden="1" outlineLevel="1">
      <c r="B412" s="178">
        <v>406</v>
      </c>
      <c r="C412" s="44"/>
      <c r="D412" s="45"/>
      <c r="E412" s="39" t="s">
        <v>325</v>
      </c>
      <c r="F412" s="180" t="s">
        <v>836</v>
      </c>
      <c r="G412" s="40" t="s">
        <v>60</v>
      </c>
      <c r="H412" s="46" t="s">
        <v>61</v>
      </c>
      <c r="I412" s="51" t="str">
        <f>"0x"&amp;AE_w_WORK!G27</f>
        <v>0x2222</v>
      </c>
      <c r="J412" s="41">
        <v>40473</v>
      </c>
      <c r="K412" s="42"/>
      <c r="M412" s="179"/>
      <c r="N412" s="179"/>
    </row>
    <row r="413" spans="2:14" hidden="1" outlineLevel="1">
      <c r="B413" s="178">
        <v>407</v>
      </c>
      <c r="C413" s="44"/>
      <c r="D413" s="45"/>
      <c r="E413" s="39" t="s">
        <v>325</v>
      </c>
      <c r="F413" s="180" t="s">
        <v>837</v>
      </c>
      <c r="G413" s="40" t="s">
        <v>62</v>
      </c>
      <c r="H413" s="46" t="s">
        <v>63</v>
      </c>
      <c r="I413" s="51" t="str">
        <f>"0x"&amp;AE_w_WORK!G28</f>
        <v>0x2222</v>
      </c>
      <c r="J413" s="41">
        <v>40473</v>
      </c>
      <c r="K413" s="42"/>
      <c r="M413" s="179"/>
      <c r="N413" s="179"/>
    </row>
    <row r="414" spans="2:14" hidden="1" outlineLevel="1">
      <c r="B414" s="178">
        <v>408</v>
      </c>
      <c r="C414" s="44"/>
      <c r="D414" s="45"/>
      <c r="E414" s="39" t="s">
        <v>325</v>
      </c>
      <c r="F414" s="180" t="s">
        <v>838</v>
      </c>
      <c r="G414" s="40" t="s">
        <v>64</v>
      </c>
      <c r="H414" s="46" t="s">
        <v>65</v>
      </c>
      <c r="I414" s="51" t="str">
        <f>"0x"&amp;AE_w_WORK!G29</f>
        <v>0x2222</v>
      </c>
      <c r="J414" s="41">
        <v>40473</v>
      </c>
      <c r="K414" s="42"/>
      <c r="M414" s="179"/>
      <c r="N414" s="179"/>
    </row>
    <row r="415" spans="2:14" hidden="1" outlineLevel="1">
      <c r="B415" s="178">
        <v>409</v>
      </c>
      <c r="C415" s="44"/>
      <c r="D415" s="45"/>
      <c r="E415" s="39" t="s">
        <v>325</v>
      </c>
      <c r="F415" s="180" t="s">
        <v>839</v>
      </c>
      <c r="G415" s="40" t="s">
        <v>66</v>
      </c>
      <c r="H415" s="46" t="s">
        <v>67</v>
      </c>
      <c r="I415" s="51" t="str">
        <f>"0x"&amp;AE_w_WORK!G30</f>
        <v>0x2222</v>
      </c>
      <c r="J415" s="41">
        <v>40473</v>
      </c>
      <c r="K415" s="42"/>
      <c r="M415" s="179"/>
      <c r="N415" s="179"/>
    </row>
    <row r="416" spans="2:14" hidden="1" outlineLevel="1">
      <c r="B416" s="178">
        <v>410</v>
      </c>
      <c r="C416" s="44"/>
      <c r="D416" s="45"/>
      <c r="E416" s="39" t="s">
        <v>325</v>
      </c>
      <c r="F416" s="180" t="s">
        <v>840</v>
      </c>
      <c r="G416" s="40" t="s">
        <v>68</v>
      </c>
      <c r="H416" s="46" t="s">
        <v>69</v>
      </c>
      <c r="I416" s="51" t="str">
        <f>"0x"&amp;AE_w_WORK!G31</f>
        <v>0x2222</v>
      </c>
      <c r="J416" s="41">
        <v>40473</v>
      </c>
      <c r="K416" s="42"/>
      <c r="M416" s="179"/>
      <c r="N416" s="179"/>
    </row>
    <row r="417" spans="2:14" hidden="1" outlineLevel="1">
      <c r="B417" s="178">
        <v>411</v>
      </c>
      <c r="C417" s="44"/>
      <c r="D417" s="45"/>
      <c r="E417" s="39" t="s">
        <v>325</v>
      </c>
      <c r="F417" s="180" t="s">
        <v>841</v>
      </c>
      <c r="G417" s="40" t="s">
        <v>70</v>
      </c>
      <c r="H417" s="46" t="s">
        <v>71</v>
      </c>
      <c r="I417" s="51" t="str">
        <f>"0x"&amp;AE_w_WORK!G32</f>
        <v>0x2222</v>
      </c>
      <c r="J417" s="41">
        <v>40473</v>
      </c>
      <c r="K417" s="42"/>
      <c r="M417" s="179"/>
      <c r="N417" s="179"/>
    </row>
    <row r="418" spans="2:14" hidden="1" outlineLevel="1">
      <c r="B418" s="178">
        <v>412</v>
      </c>
      <c r="C418" s="44"/>
      <c r="D418" s="45"/>
      <c r="E418" s="39" t="s">
        <v>325</v>
      </c>
      <c r="F418" s="180" t="s">
        <v>842</v>
      </c>
      <c r="G418" s="40" t="s">
        <v>72</v>
      </c>
      <c r="H418" s="46" t="s">
        <v>73</v>
      </c>
      <c r="I418" s="51" t="str">
        <f>"0x"&amp;AE_w_WORK!G33</f>
        <v>0x2222</v>
      </c>
      <c r="J418" s="41">
        <v>40473</v>
      </c>
      <c r="K418" s="42"/>
      <c r="M418" s="179"/>
      <c r="N418" s="179"/>
    </row>
    <row r="419" spans="2:14" hidden="1" outlineLevel="1">
      <c r="B419" s="178">
        <v>413</v>
      </c>
      <c r="C419" s="44"/>
      <c r="D419" s="45"/>
      <c r="E419" s="39" t="s">
        <v>325</v>
      </c>
      <c r="F419" s="180" t="s">
        <v>843</v>
      </c>
      <c r="G419" s="40" t="s">
        <v>74</v>
      </c>
      <c r="H419" s="46" t="s">
        <v>128</v>
      </c>
      <c r="I419" s="51" t="str">
        <f>"0x"&amp;AE_w_WORK!G34</f>
        <v>0x2222</v>
      </c>
      <c r="J419" s="41">
        <v>40473</v>
      </c>
      <c r="K419" s="42"/>
      <c r="M419" s="179"/>
      <c r="N419" s="179"/>
    </row>
    <row r="420" spans="2:14" hidden="1" outlineLevel="1">
      <c r="B420" s="178">
        <v>414</v>
      </c>
      <c r="C420" s="44"/>
      <c r="D420" s="45"/>
      <c r="E420" s="39" t="s">
        <v>325</v>
      </c>
      <c r="F420" s="180" t="s">
        <v>844</v>
      </c>
      <c r="G420" s="40" t="s">
        <v>129</v>
      </c>
      <c r="H420" s="46" t="s">
        <v>130</v>
      </c>
      <c r="I420" s="51" t="str">
        <f>"0x"&amp;AE_w_WORK!G35</f>
        <v>0x2222</v>
      </c>
      <c r="J420" s="41">
        <v>40473</v>
      </c>
      <c r="K420" s="42"/>
      <c r="M420" s="179"/>
      <c r="N420" s="179"/>
    </row>
    <row r="421" spans="2:14" hidden="1" outlineLevel="1">
      <c r="B421" s="178">
        <v>415</v>
      </c>
      <c r="C421" s="44"/>
      <c r="D421" s="45"/>
      <c r="E421" s="39" t="s">
        <v>325</v>
      </c>
      <c r="F421" s="180" t="s">
        <v>845</v>
      </c>
      <c r="G421" s="40" t="s">
        <v>131</v>
      </c>
      <c r="H421" s="46" t="s">
        <v>132</v>
      </c>
      <c r="I421" s="51" t="str">
        <f>"0x"&amp;AE_w_WORK!G36</f>
        <v>0x2222</v>
      </c>
      <c r="J421" s="41">
        <v>40473</v>
      </c>
      <c r="K421" s="42"/>
      <c r="M421" s="179"/>
      <c r="N421" s="179"/>
    </row>
    <row r="422" spans="2:14" hidden="1" outlineLevel="1">
      <c r="B422" s="178">
        <v>416</v>
      </c>
      <c r="C422" s="44"/>
      <c r="D422" s="45"/>
      <c r="E422" s="39" t="s">
        <v>325</v>
      </c>
      <c r="F422" s="180" t="s">
        <v>846</v>
      </c>
      <c r="G422" s="40" t="s">
        <v>133</v>
      </c>
      <c r="H422" s="46" t="s">
        <v>134</v>
      </c>
      <c r="I422" s="51" t="str">
        <f>"0x"&amp;AE_w_WORK!G37</f>
        <v>0x2222</v>
      </c>
      <c r="J422" s="41">
        <v>40473</v>
      </c>
      <c r="K422" s="42"/>
      <c r="M422" s="179"/>
      <c r="N422" s="179"/>
    </row>
    <row r="423" spans="2:14" hidden="1" outlineLevel="1">
      <c r="B423" s="178">
        <v>417</v>
      </c>
      <c r="C423" s="44"/>
      <c r="D423" s="45"/>
      <c r="E423" s="39" t="s">
        <v>325</v>
      </c>
      <c r="F423" s="180" t="s">
        <v>847</v>
      </c>
      <c r="G423" s="40" t="s">
        <v>135</v>
      </c>
      <c r="H423" s="46" t="s">
        <v>136</v>
      </c>
      <c r="I423" s="51" t="str">
        <f>"0x"&amp;AE_w_WORK!G38</f>
        <v>0x2222</v>
      </c>
      <c r="J423" s="41">
        <v>40473</v>
      </c>
      <c r="K423" s="42"/>
      <c r="M423" s="179"/>
      <c r="N423" s="179"/>
    </row>
    <row r="424" spans="2:14" hidden="1" outlineLevel="1">
      <c r="B424" s="178">
        <v>418</v>
      </c>
      <c r="C424" s="44"/>
      <c r="D424" s="45"/>
      <c r="E424" s="39" t="s">
        <v>325</v>
      </c>
      <c r="F424" s="180" t="s">
        <v>848</v>
      </c>
      <c r="G424" s="40" t="s">
        <v>137</v>
      </c>
      <c r="H424" s="46" t="s">
        <v>138</v>
      </c>
      <c r="I424" s="51" t="str">
        <f>"0x"&amp;AE_w_WORK!G39</f>
        <v>0x2222</v>
      </c>
      <c r="J424" s="41">
        <v>40473</v>
      </c>
      <c r="K424" s="42"/>
      <c r="M424" s="179"/>
      <c r="N424" s="179"/>
    </row>
    <row r="425" spans="2:14" hidden="1" outlineLevel="1">
      <c r="B425" s="178">
        <v>419</v>
      </c>
      <c r="C425" s="44"/>
      <c r="D425" s="45"/>
      <c r="E425" s="39" t="s">
        <v>325</v>
      </c>
      <c r="F425" s="180" t="s">
        <v>849</v>
      </c>
      <c r="G425" s="40" t="s">
        <v>139</v>
      </c>
      <c r="H425" s="46" t="s">
        <v>140</v>
      </c>
      <c r="I425" s="51" t="str">
        <f>"0x"&amp;AE_w_WORK!G40</f>
        <v>0x2222</v>
      </c>
      <c r="J425" s="41">
        <v>40473</v>
      </c>
      <c r="K425" s="42"/>
      <c r="M425" s="179"/>
      <c r="N425" s="179"/>
    </row>
    <row r="426" spans="2:14" hidden="1" outlineLevel="1">
      <c r="B426" s="178">
        <v>420</v>
      </c>
      <c r="C426" s="44"/>
      <c r="D426" s="45"/>
      <c r="E426" s="39" t="s">
        <v>325</v>
      </c>
      <c r="F426" s="180" t="s">
        <v>850</v>
      </c>
      <c r="G426" s="40" t="s">
        <v>141</v>
      </c>
      <c r="H426" s="46" t="s">
        <v>142</v>
      </c>
      <c r="I426" s="51" t="str">
        <f>"0x"&amp;AE_w_WORK!G41</f>
        <v>0x2222</v>
      </c>
      <c r="J426" s="41">
        <v>40473</v>
      </c>
      <c r="K426" s="42"/>
      <c r="M426" s="179"/>
      <c r="N426" s="179"/>
    </row>
    <row r="427" spans="2:14" hidden="1" outlineLevel="1">
      <c r="B427" s="178">
        <v>421</v>
      </c>
      <c r="C427" s="44"/>
      <c r="D427" s="45"/>
      <c r="E427" s="39" t="s">
        <v>325</v>
      </c>
      <c r="F427" s="180" t="s">
        <v>851</v>
      </c>
      <c r="G427" s="40" t="s">
        <v>143</v>
      </c>
      <c r="H427" s="46" t="s">
        <v>144</v>
      </c>
      <c r="I427" s="51" t="str">
        <f>"0x"&amp;AE_w_WORK!G42</f>
        <v>0x2222</v>
      </c>
      <c r="J427" s="41">
        <v>40473</v>
      </c>
      <c r="K427" s="42"/>
      <c r="M427" s="179"/>
      <c r="N427" s="179"/>
    </row>
    <row r="428" spans="2:14" hidden="1" outlineLevel="1">
      <c r="B428" s="178">
        <v>422</v>
      </c>
      <c r="C428" s="44"/>
      <c r="D428" s="45"/>
      <c r="E428" s="39" t="s">
        <v>325</v>
      </c>
      <c r="F428" s="180" t="s">
        <v>852</v>
      </c>
      <c r="G428" s="40" t="s">
        <v>145</v>
      </c>
      <c r="H428" s="46" t="s">
        <v>146</v>
      </c>
      <c r="I428" s="51" t="str">
        <f>"0x"&amp;AE_w_WORK!G43</f>
        <v>0x2222</v>
      </c>
      <c r="J428" s="41">
        <v>40473</v>
      </c>
      <c r="K428" s="42"/>
      <c r="M428" s="179"/>
      <c r="N428" s="179"/>
    </row>
    <row r="429" spans="2:14" hidden="1" outlineLevel="1">
      <c r="B429" s="178">
        <v>423</v>
      </c>
      <c r="C429" s="44"/>
      <c r="D429" s="45"/>
      <c r="E429" s="39" t="s">
        <v>325</v>
      </c>
      <c r="F429" s="180" t="s">
        <v>853</v>
      </c>
      <c r="G429" s="40" t="s">
        <v>147</v>
      </c>
      <c r="H429" s="46" t="s">
        <v>148</v>
      </c>
      <c r="I429" s="51" t="str">
        <f>"0x"&amp;AE_w_WORK!G44</f>
        <v>0x2222</v>
      </c>
      <c r="J429" s="41">
        <v>40473</v>
      </c>
      <c r="K429" s="42"/>
      <c r="M429" s="179"/>
      <c r="N429" s="179"/>
    </row>
    <row r="430" spans="2:14" hidden="1" outlineLevel="1">
      <c r="B430" s="178">
        <v>424</v>
      </c>
      <c r="C430" s="44"/>
      <c r="D430" s="45"/>
      <c r="E430" s="39" t="s">
        <v>325</v>
      </c>
      <c r="F430" s="180" t="s">
        <v>854</v>
      </c>
      <c r="G430" s="40" t="s">
        <v>149</v>
      </c>
      <c r="H430" s="46" t="s">
        <v>150</v>
      </c>
      <c r="I430" s="51" t="str">
        <f>"0x"&amp;AE_w_WORK!G45</f>
        <v>0x2222</v>
      </c>
      <c r="J430" s="41">
        <v>40473</v>
      </c>
      <c r="K430" s="42"/>
      <c r="M430" s="179"/>
      <c r="N430" s="179"/>
    </row>
    <row r="431" spans="2:14" hidden="1" outlineLevel="1">
      <c r="B431" s="178">
        <v>425</v>
      </c>
      <c r="C431" s="44"/>
      <c r="D431" s="45"/>
      <c r="E431" s="39" t="s">
        <v>325</v>
      </c>
      <c r="F431" s="180" t="s">
        <v>855</v>
      </c>
      <c r="G431" s="40" t="s">
        <v>151</v>
      </c>
      <c r="H431" s="46" t="s">
        <v>152</v>
      </c>
      <c r="I431" s="51" t="str">
        <f>"0x"&amp;AE_w_WORK!G46</f>
        <v>0x2222</v>
      </c>
      <c r="J431" s="41">
        <v>40473</v>
      </c>
      <c r="K431" s="42"/>
      <c r="M431" s="179"/>
      <c r="N431" s="179"/>
    </row>
    <row r="432" spans="2:14" hidden="1" outlineLevel="1">
      <c r="B432" s="178">
        <v>426</v>
      </c>
      <c r="C432" s="44"/>
      <c r="D432" s="45"/>
      <c r="E432" s="39" t="s">
        <v>325</v>
      </c>
      <c r="F432" s="180" t="s">
        <v>856</v>
      </c>
      <c r="G432" s="40" t="s">
        <v>153</v>
      </c>
      <c r="H432" s="46" t="s">
        <v>154</v>
      </c>
      <c r="I432" s="51" t="str">
        <f>"0x"&amp;AE_w_WORK!G47</f>
        <v>0x2233</v>
      </c>
      <c r="J432" s="41">
        <v>40473</v>
      </c>
      <c r="K432" s="42"/>
      <c r="M432" s="179"/>
      <c r="N432" s="179"/>
    </row>
    <row r="433" spans="2:14" hidden="1" outlineLevel="1">
      <c r="B433" s="178">
        <v>427</v>
      </c>
      <c r="C433" s="44"/>
      <c r="D433" s="45"/>
      <c r="E433" s="39" t="s">
        <v>325</v>
      </c>
      <c r="F433" s="180" t="s">
        <v>857</v>
      </c>
      <c r="G433" s="40" t="s">
        <v>155</v>
      </c>
      <c r="H433" s="46" t="s">
        <v>156</v>
      </c>
      <c r="I433" s="51" t="str">
        <f>"0x"&amp;AE_w_WORK!G48</f>
        <v>0x3322</v>
      </c>
      <c r="J433" s="41">
        <v>40473</v>
      </c>
      <c r="K433" s="42"/>
      <c r="M433" s="179"/>
      <c r="N433" s="179"/>
    </row>
    <row r="434" spans="2:14" hidden="1" outlineLevel="1">
      <c r="B434" s="178">
        <v>428</v>
      </c>
      <c r="C434" s="44"/>
      <c r="D434" s="45"/>
      <c r="E434" s="39" t="s">
        <v>325</v>
      </c>
      <c r="F434" s="180" t="s">
        <v>858</v>
      </c>
      <c r="G434" s="40" t="s">
        <v>157</v>
      </c>
      <c r="H434" s="46" t="s">
        <v>158</v>
      </c>
      <c r="I434" s="51" t="str">
        <f>"0x"&amp;AE_w_WORK!G49</f>
        <v>0x2222</v>
      </c>
      <c r="J434" s="41">
        <v>40473</v>
      </c>
      <c r="K434" s="42"/>
      <c r="M434" s="179"/>
      <c r="N434" s="179"/>
    </row>
    <row r="435" spans="2:14" hidden="1" outlineLevel="1">
      <c r="B435" s="178">
        <v>429</v>
      </c>
      <c r="C435" s="44"/>
      <c r="D435" s="45"/>
      <c r="E435" s="39" t="s">
        <v>325</v>
      </c>
      <c r="F435" s="180" t="s">
        <v>859</v>
      </c>
      <c r="G435" s="40" t="s">
        <v>159</v>
      </c>
      <c r="H435" s="46" t="s">
        <v>160</v>
      </c>
      <c r="I435" s="51" t="str">
        <f>"0x"&amp;AE_w_WORK!G50</f>
        <v>0x2222</v>
      </c>
      <c r="J435" s="41">
        <v>40473</v>
      </c>
      <c r="K435" s="42"/>
      <c r="M435" s="179"/>
      <c r="N435" s="179"/>
    </row>
    <row r="436" spans="2:14" hidden="1" outlineLevel="1">
      <c r="B436" s="178">
        <v>430</v>
      </c>
      <c r="C436" s="44"/>
      <c r="D436" s="45"/>
      <c r="E436" s="39" t="s">
        <v>325</v>
      </c>
      <c r="F436" s="180" t="s">
        <v>860</v>
      </c>
      <c r="G436" s="40" t="s">
        <v>161</v>
      </c>
      <c r="H436" s="46" t="s">
        <v>162</v>
      </c>
      <c r="I436" s="51" t="str">
        <f>"0x"&amp;AE_w_WORK!G51</f>
        <v>0x2233</v>
      </c>
      <c r="J436" s="41">
        <v>40473</v>
      </c>
      <c r="K436" s="42"/>
      <c r="M436" s="179"/>
      <c r="N436" s="179"/>
    </row>
    <row r="437" spans="2:14" hidden="1" outlineLevel="1">
      <c r="B437" s="178">
        <v>431</v>
      </c>
      <c r="C437" s="44"/>
      <c r="D437" s="45"/>
      <c r="E437" s="39" t="s">
        <v>325</v>
      </c>
      <c r="F437" s="180" t="s">
        <v>861</v>
      </c>
      <c r="G437" s="40" t="s">
        <v>163</v>
      </c>
      <c r="H437" s="46" t="s">
        <v>164</v>
      </c>
      <c r="I437" s="51" t="str">
        <f>"0x"&amp;AE_w_WORK!G52</f>
        <v>0x3322</v>
      </c>
      <c r="J437" s="41">
        <v>40473</v>
      </c>
      <c r="K437" s="42"/>
      <c r="M437" s="179"/>
      <c r="N437" s="179"/>
    </row>
    <row r="438" spans="2:14" hidden="1" outlineLevel="1">
      <c r="B438" s="178">
        <v>432</v>
      </c>
      <c r="C438" s="44"/>
      <c r="D438" s="45"/>
      <c r="E438" s="39" t="s">
        <v>325</v>
      </c>
      <c r="F438" s="180" t="s">
        <v>862</v>
      </c>
      <c r="G438" s="40" t="s">
        <v>165</v>
      </c>
      <c r="H438" s="46" t="s">
        <v>166</v>
      </c>
      <c r="I438" s="51" t="str">
        <f>"0x"&amp;AE_w_WORK!G53</f>
        <v>0x2222</v>
      </c>
      <c r="J438" s="41">
        <v>40473</v>
      </c>
      <c r="K438" s="42"/>
      <c r="M438" s="179"/>
      <c r="N438" s="179"/>
    </row>
    <row r="439" spans="2:14" hidden="1" outlineLevel="1">
      <c r="B439" s="178">
        <v>433</v>
      </c>
      <c r="C439" s="44"/>
      <c r="D439" s="45"/>
      <c r="E439" s="39" t="s">
        <v>325</v>
      </c>
      <c r="F439" s="180" t="s">
        <v>863</v>
      </c>
      <c r="G439" s="40" t="s">
        <v>167</v>
      </c>
      <c r="H439" s="46" t="s">
        <v>168</v>
      </c>
      <c r="I439" s="51" t="str">
        <f>"0x"&amp;AE_w_WORK!G54</f>
        <v>0x2222</v>
      </c>
      <c r="J439" s="41">
        <v>40473</v>
      </c>
      <c r="K439" s="42"/>
      <c r="M439" s="179"/>
      <c r="N439" s="179"/>
    </row>
    <row r="440" spans="2:14" hidden="1" outlineLevel="1">
      <c r="B440" s="178">
        <v>434</v>
      </c>
      <c r="C440" s="44"/>
      <c r="D440" s="45"/>
      <c r="E440" s="39" t="s">
        <v>325</v>
      </c>
      <c r="F440" s="180" t="s">
        <v>864</v>
      </c>
      <c r="G440" s="40" t="s">
        <v>169</v>
      </c>
      <c r="H440" s="46" t="s">
        <v>170</v>
      </c>
      <c r="I440" s="51" t="str">
        <f>"0x"&amp;AE_w_WORK!G55</f>
        <v>0x2355</v>
      </c>
      <c r="J440" s="41">
        <v>40473</v>
      </c>
      <c r="K440" s="42"/>
      <c r="M440" s="179"/>
      <c r="N440" s="179"/>
    </row>
    <row r="441" spans="2:14" hidden="1" outlineLevel="1">
      <c r="B441" s="178">
        <v>435</v>
      </c>
      <c r="C441" s="44"/>
      <c r="D441" s="45"/>
      <c r="E441" s="39" t="s">
        <v>325</v>
      </c>
      <c r="F441" s="180" t="s">
        <v>865</v>
      </c>
      <c r="G441" s="40" t="s">
        <v>171</v>
      </c>
      <c r="H441" s="46" t="s">
        <v>172</v>
      </c>
      <c r="I441" s="51" t="str">
        <f>"0x"&amp;AE_w_WORK!G56</f>
        <v>0x5532</v>
      </c>
      <c r="J441" s="41">
        <v>40473</v>
      </c>
      <c r="K441" s="42"/>
      <c r="M441" s="179"/>
      <c r="N441" s="179"/>
    </row>
    <row r="442" spans="2:14" hidden="1" outlineLevel="1">
      <c r="B442" s="178">
        <v>436</v>
      </c>
      <c r="C442" s="44"/>
      <c r="D442" s="45"/>
      <c r="E442" s="39" t="s">
        <v>325</v>
      </c>
      <c r="F442" s="180" t="s">
        <v>866</v>
      </c>
      <c r="G442" s="40" t="s">
        <v>173</v>
      </c>
      <c r="H442" s="46" t="s">
        <v>174</v>
      </c>
      <c r="I442" s="51" t="str">
        <f>"0x"&amp;AE_w_WORK!G57</f>
        <v>0x2222</v>
      </c>
      <c r="J442" s="41">
        <v>40473</v>
      </c>
      <c r="K442" s="42"/>
      <c r="M442" s="179"/>
      <c r="N442" s="179"/>
    </row>
    <row r="443" spans="2:14" hidden="1" outlineLevel="1">
      <c r="B443" s="178">
        <v>437</v>
      </c>
      <c r="C443" s="44"/>
      <c r="D443" s="45"/>
      <c r="E443" s="39" t="s">
        <v>325</v>
      </c>
      <c r="F443" s="180" t="s">
        <v>867</v>
      </c>
      <c r="G443" s="40" t="s">
        <v>175</v>
      </c>
      <c r="H443" s="46" t="s">
        <v>176</v>
      </c>
      <c r="I443" s="51" t="str">
        <f>"0x"&amp;AE_w_WORK!G58</f>
        <v>0x2222</v>
      </c>
      <c r="J443" s="41">
        <v>40473</v>
      </c>
      <c r="K443" s="42"/>
      <c r="M443" s="179"/>
      <c r="N443" s="179"/>
    </row>
    <row r="444" spans="2:14" hidden="1" outlineLevel="1">
      <c r="B444" s="178">
        <v>438</v>
      </c>
      <c r="C444" s="44"/>
      <c r="D444" s="45"/>
      <c r="E444" s="39" t="s">
        <v>325</v>
      </c>
      <c r="F444" s="180" t="s">
        <v>868</v>
      </c>
      <c r="G444" s="40" t="s">
        <v>177</v>
      </c>
      <c r="H444" s="46" t="s">
        <v>178</v>
      </c>
      <c r="I444" s="51" t="str">
        <f>"0x"&amp;AE_w_WORK!G59</f>
        <v>0x2355</v>
      </c>
      <c r="J444" s="41">
        <v>40473</v>
      </c>
      <c r="K444" s="42"/>
      <c r="M444" s="179"/>
      <c r="N444" s="179"/>
    </row>
    <row r="445" spans="2:14" hidden="1" outlineLevel="1">
      <c r="B445" s="178">
        <v>439</v>
      </c>
      <c r="C445" s="44"/>
      <c r="D445" s="45"/>
      <c r="E445" s="39" t="s">
        <v>325</v>
      </c>
      <c r="F445" s="180" t="s">
        <v>869</v>
      </c>
      <c r="G445" s="40" t="s">
        <v>179</v>
      </c>
      <c r="H445" s="46" t="s">
        <v>180</v>
      </c>
      <c r="I445" s="51" t="str">
        <f>"0x"&amp;AE_w_WORK!G60</f>
        <v>0x5532</v>
      </c>
      <c r="J445" s="41">
        <v>40473</v>
      </c>
      <c r="K445" s="42"/>
      <c r="M445" s="179"/>
      <c r="N445" s="179"/>
    </row>
    <row r="446" spans="2:14" hidden="1" outlineLevel="1">
      <c r="B446" s="178">
        <v>440</v>
      </c>
      <c r="C446" s="44"/>
      <c r="D446" s="45"/>
      <c r="E446" s="39" t="s">
        <v>325</v>
      </c>
      <c r="F446" s="180" t="s">
        <v>870</v>
      </c>
      <c r="G446" s="40" t="s">
        <v>181</v>
      </c>
      <c r="H446" s="46" t="s">
        <v>182</v>
      </c>
      <c r="I446" s="51" t="str">
        <f>"0x"&amp;AE_w_WORK!G61</f>
        <v>0x2222</v>
      </c>
      <c r="J446" s="41">
        <v>40473</v>
      </c>
      <c r="K446" s="42"/>
      <c r="M446" s="179"/>
      <c r="N446" s="179"/>
    </row>
    <row r="447" spans="2:14" hidden="1" outlineLevel="1">
      <c r="B447" s="178">
        <v>441</v>
      </c>
      <c r="C447" s="44"/>
      <c r="D447" s="45"/>
      <c r="E447" s="39" t="s">
        <v>325</v>
      </c>
      <c r="F447" s="180" t="s">
        <v>871</v>
      </c>
      <c r="G447" s="40" t="s">
        <v>183</v>
      </c>
      <c r="H447" s="46" t="s">
        <v>184</v>
      </c>
      <c r="I447" s="51" t="str">
        <f>"0x"&amp;AE_w_WORK!G62</f>
        <v>0x2222</v>
      </c>
      <c r="J447" s="41">
        <v>40473</v>
      </c>
      <c r="K447" s="42"/>
      <c r="M447" s="179"/>
      <c r="N447" s="179"/>
    </row>
    <row r="448" spans="2:14" hidden="1" outlineLevel="1">
      <c r="B448" s="178">
        <v>442</v>
      </c>
      <c r="C448" s="44"/>
      <c r="D448" s="45"/>
      <c r="E448" s="39" t="s">
        <v>325</v>
      </c>
      <c r="F448" s="180" t="s">
        <v>872</v>
      </c>
      <c r="G448" s="40" t="s">
        <v>185</v>
      </c>
      <c r="H448" s="46" t="s">
        <v>186</v>
      </c>
      <c r="I448" s="51" t="str">
        <f>"0x"&amp;AE_w_WORK!G63</f>
        <v>0x2355</v>
      </c>
      <c r="J448" s="41">
        <v>40473</v>
      </c>
      <c r="K448" s="42"/>
      <c r="M448" s="179"/>
      <c r="N448" s="179"/>
    </row>
    <row r="449" spans="2:14" hidden="1" outlineLevel="1">
      <c r="B449" s="178">
        <v>443</v>
      </c>
      <c r="C449" s="44"/>
      <c r="D449" s="45"/>
      <c r="E449" s="39" t="s">
        <v>325</v>
      </c>
      <c r="F449" s="180" t="s">
        <v>873</v>
      </c>
      <c r="G449" s="40" t="s">
        <v>187</v>
      </c>
      <c r="H449" s="46" t="s">
        <v>188</v>
      </c>
      <c r="I449" s="51" t="str">
        <f>"0x"&amp;AE_w_WORK!G64</f>
        <v>0x5532</v>
      </c>
      <c r="J449" s="41">
        <v>40473</v>
      </c>
      <c r="K449" s="42"/>
      <c r="M449" s="179"/>
      <c r="N449" s="179"/>
    </row>
    <row r="450" spans="2:14" hidden="1" outlineLevel="1">
      <c r="B450" s="178">
        <v>444</v>
      </c>
      <c r="C450" s="44"/>
      <c r="D450" s="45"/>
      <c r="E450" s="39" t="s">
        <v>325</v>
      </c>
      <c r="F450" s="180" t="s">
        <v>874</v>
      </c>
      <c r="G450" s="40" t="s">
        <v>189</v>
      </c>
      <c r="H450" s="46" t="s">
        <v>190</v>
      </c>
      <c r="I450" s="51" t="str">
        <f>"0x"&amp;AE_w_WORK!G65</f>
        <v>0x2222</v>
      </c>
      <c r="J450" s="41">
        <v>40473</v>
      </c>
      <c r="K450" s="42"/>
      <c r="M450" s="179"/>
      <c r="N450" s="179"/>
    </row>
    <row r="451" spans="2:14" hidden="1" outlineLevel="1">
      <c r="B451" s="178">
        <v>445</v>
      </c>
      <c r="C451" s="44"/>
      <c r="D451" s="45"/>
      <c r="E451" s="39" t="s">
        <v>325</v>
      </c>
      <c r="F451" s="180" t="s">
        <v>875</v>
      </c>
      <c r="G451" s="40" t="s">
        <v>191</v>
      </c>
      <c r="H451" s="46" t="s">
        <v>192</v>
      </c>
      <c r="I451" s="51" t="str">
        <f>"0x"&amp;AE_w_WORK!G66</f>
        <v>0x2222</v>
      </c>
      <c r="J451" s="41">
        <v>40473</v>
      </c>
      <c r="K451" s="42"/>
      <c r="M451" s="179"/>
      <c r="N451" s="179"/>
    </row>
    <row r="452" spans="2:14" hidden="1" outlineLevel="1">
      <c r="B452" s="178">
        <v>446</v>
      </c>
      <c r="C452" s="44"/>
      <c r="D452" s="45"/>
      <c r="E452" s="39" t="s">
        <v>325</v>
      </c>
      <c r="F452" s="180" t="s">
        <v>876</v>
      </c>
      <c r="G452" s="40" t="s">
        <v>193</v>
      </c>
      <c r="H452" s="46" t="s">
        <v>194</v>
      </c>
      <c r="I452" s="51" t="str">
        <f>"0x"&amp;AE_w_WORK!G67</f>
        <v>0x2355</v>
      </c>
      <c r="J452" s="41">
        <v>40473</v>
      </c>
      <c r="K452" s="42"/>
      <c r="M452" s="179"/>
      <c r="N452" s="179"/>
    </row>
    <row r="453" spans="2:14" hidden="1" outlineLevel="1">
      <c r="B453" s="178">
        <v>447</v>
      </c>
      <c r="C453" s="44"/>
      <c r="D453" s="45"/>
      <c r="E453" s="39" t="s">
        <v>325</v>
      </c>
      <c r="F453" s="180" t="s">
        <v>877</v>
      </c>
      <c r="G453" s="40" t="s">
        <v>195</v>
      </c>
      <c r="H453" s="46" t="s">
        <v>196</v>
      </c>
      <c r="I453" s="51" t="str">
        <f>"0x"&amp;AE_w_WORK!G68</f>
        <v>0x5532</v>
      </c>
      <c r="J453" s="41">
        <v>40473</v>
      </c>
      <c r="K453" s="42"/>
      <c r="M453" s="179"/>
      <c r="N453" s="179"/>
    </row>
    <row r="454" spans="2:14" hidden="1" outlineLevel="1">
      <c r="B454" s="178">
        <v>448</v>
      </c>
      <c r="C454" s="44"/>
      <c r="D454" s="45"/>
      <c r="E454" s="39" t="s">
        <v>325</v>
      </c>
      <c r="F454" s="180" t="s">
        <v>878</v>
      </c>
      <c r="G454" s="40" t="s">
        <v>197</v>
      </c>
      <c r="H454" s="46" t="s">
        <v>198</v>
      </c>
      <c r="I454" s="51" t="str">
        <f>"0x"&amp;AE_w_WORK!G69</f>
        <v>0x2222</v>
      </c>
      <c r="J454" s="41">
        <v>40473</v>
      </c>
      <c r="K454" s="42"/>
      <c r="M454" s="179"/>
      <c r="N454" s="179"/>
    </row>
    <row r="455" spans="2:14" hidden="1" outlineLevel="1">
      <c r="B455" s="178">
        <v>449</v>
      </c>
      <c r="C455" s="44"/>
      <c r="D455" s="45"/>
      <c r="E455" s="39" t="s">
        <v>325</v>
      </c>
      <c r="F455" s="180" t="s">
        <v>879</v>
      </c>
      <c r="G455" s="40" t="s">
        <v>199</v>
      </c>
      <c r="H455" s="46" t="s">
        <v>200</v>
      </c>
      <c r="I455" s="51" t="str">
        <f>"0x"&amp;AE_w_WORK!G70</f>
        <v>0x2222</v>
      </c>
      <c r="J455" s="41">
        <v>40473</v>
      </c>
      <c r="K455" s="42"/>
      <c r="M455" s="179"/>
      <c r="N455" s="179"/>
    </row>
    <row r="456" spans="2:14" hidden="1" outlineLevel="1">
      <c r="B456" s="178">
        <v>450</v>
      </c>
      <c r="C456" s="44"/>
      <c r="D456" s="45"/>
      <c r="E456" s="39" t="s">
        <v>325</v>
      </c>
      <c r="F456" s="180" t="s">
        <v>880</v>
      </c>
      <c r="G456" s="40" t="s">
        <v>201</v>
      </c>
      <c r="H456" s="46" t="s">
        <v>202</v>
      </c>
      <c r="I456" s="51" t="str">
        <f>"0x"&amp;AE_w_WORK!G71</f>
        <v>0x2355</v>
      </c>
      <c r="J456" s="41">
        <v>40473</v>
      </c>
      <c r="K456" s="42"/>
      <c r="M456" s="179"/>
      <c r="N456" s="179"/>
    </row>
    <row r="457" spans="2:14" hidden="1" outlineLevel="1">
      <c r="B457" s="178">
        <v>451</v>
      </c>
      <c r="C457" s="44"/>
      <c r="D457" s="45"/>
      <c r="E457" s="39" t="s">
        <v>325</v>
      </c>
      <c r="F457" s="180" t="s">
        <v>881</v>
      </c>
      <c r="G457" s="40" t="s">
        <v>203</v>
      </c>
      <c r="H457" s="46" t="s">
        <v>204</v>
      </c>
      <c r="I457" s="51" t="str">
        <f>"0x"&amp;AE_w_WORK!G72</f>
        <v>0x5532</v>
      </c>
      <c r="J457" s="41">
        <v>40473</v>
      </c>
      <c r="K457" s="42"/>
      <c r="M457" s="179"/>
      <c r="N457" s="179"/>
    </row>
    <row r="458" spans="2:14" hidden="1" outlineLevel="1">
      <c r="B458" s="178">
        <v>452</v>
      </c>
      <c r="C458" s="44"/>
      <c r="D458" s="45"/>
      <c r="E458" s="39" t="s">
        <v>325</v>
      </c>
      <c r="F458" s="180" t="s">
        <v>882</v>
      </c>
      <c r="G458" s="40" t="s">
        <v>205</v>
      </c>
      <c r="H458" s="46" t="s">
        <v>206</v>
      </c>
      <c r="I458" s="51" t="str">
        <f>"0x"&amp;AE_w_WORK!G73</f>
        <v>0x2222</v>
      </c>
      <c r="J458" s="41">
        <v>40473</v>
      </c>
      <c r="K458" s="42"/>
      <c r="M458" s="179"/>
      <c r="N458" s="179"/>
    </row>
    <row r="459" spans="2:14" hidden="1" outlineLevel="1">
      <c r="B459" s="178">
        <v>453</v>
      </c>
      <c r="C459" s="44"/>
      <c r="D459" s="45"/>
      <c r="E459" s="39" t="s">
        <v>325</v>
      </c>
      <c r="F459" s="180" t="s">
        <v>883</v>
      </c>
      <c r="G459" s="40" t="s">
        <v>207</v>
      </c>
      <c r="H459" s="46" t="s">
        <v>208</v>
      </c>
      <c r="I459" s="51" t="str">
        <f>"0x"&amp;AE_w_WORK!G74</f>
        <v>0x2222</v>
      </c>
      <c r="J459" s="41">
        <v>40473</v>
      </c>
      <c r="K459" s="42"/>
      <c r="M459" s="179"/>
      <c r="N459" s="179"/>
    </row>
    <row r="460" spans="2:14" hidden="1" outlineLevel="1">
      <c r="B460" s="178">
        <v>454</v>
      </c>
      <c r="C460" s="44"/>
      <c r="D460" s="45"/>
      <c r="E460" s="39" t="s">
        <v>325</v>
      </c>
      <c r="F460" s="180" t="s">
        <v>884</v>
      </c>
      <c r="G460" s="40" t="s">
        <v>209</v>
      </c>
      <c r="H460" s="46" t="s">
        <v>210</v>
      </c>
      <c r="I460" s="51" t="str">
        <f>"0x"&amp;AE_w_WORK!G75</f>
        <v>0x2355</v>
      </c>
      <c r="J460" s="41">
        <v>40473</v>
      </c>
      <c r="K460" s="42"/>
      <c r="M460" s="179"/>
      <c r="N460" s="179"/>
    </row>
    <row r="461" spans="2:14" hidden="1" outlineLevel="1">
      <c r="B461" s="178">
        <v>455</v>
      </c>
      <c r="C461" s="44"/>
      <c r="D461" s="45"/>
      <c r="E461" s="39" t="s">
        <v>325</v>
      </c>
      <c r="F461" s="180" t="s">
        <v>885</v>
      </c>
      <c r="G461" s="40" t="s">
        <v>211</v>
      </c>
      <c r="H461" s="46" t="s">
        <v>212</v>
      </c>
      <c r="I461" s="51" t="str">
        <f>"0x"&amp;AE_w_WORK!G76</f>
        <v>0x5532</v>
      </c>
      <c r="J461" s="41">
        <v>40473</v>
      </c>
      <c r="K461" s="42"/>
      <c r="M461" s="179"/>
      <c r="N461" s="179"/>
    </row>
    <row r="462" spans="2:14" hidden="1" outlineLevel="1">
      <c r="B462" s="178">
        <v>456</v>
      </c>
      <c r="C462" s="44"/>
      <c r="D462" s="45"/>
      <c r="E462" s="39" t="s">
        <v>325</v>
      </c>
      <c r="F462" s="180" t="s">
        <v>886</v>
      </c>
      <c r="G462" s="40" t="s">
        <v>213</v>
      </c>
      <c r="H462" s="46" t="s">
        <v>214</v>
      </c>
      <c r="I462" s="51" t="str">
        <f>"0x"&amp;AE_w_WORK!G77</f>
        <v>0x2222</v>
      </c>
      <c r="J462" s="41">
        <v>40473</v>
      </c>
      <c r="K462" s="42"/>
      <c r="M462" s="179"/>
      <c r="N462" s="179"/>
    </row>
    <row r="463" spans="2:14" hidden="1" outlineLevel="1">
      <c r="B463" s="178">
        <v>457</v>
      </c>
      <c r="C463" s="44"/>
      <c r="D463" s="45"/>
      <c r="E463" s="39" t="s">
        <v>325</v>
      </c>
      <c r="F463" s="180" t="s">
        <v>887</v>
      </c>
      <c r="G463" s="40" t="s">
        <v>215</v>
      </c>
      <c r="H463" s="46" t="s">
        <v>216</v>
      </c>
      <c r="I463" s="51" t="str">
        <f>"0x"&amp;AE_w_WORK!G78</f>
        <v>0x2222</v>
      </c>
      <c r="J463" s="41">
        <v>40473</v>
      </c>
      <c r="K463" s="42"/>
      <c r="M463" s="179"/>
      <c r="N463" s="179"/>
    </row>
    <row r="464" spans="2:14" hidden="1" outlineLevel="1">
      <c r="B464" s="178">
        <v>458</v>
      </c>
      <c r="C464" s="44"/>
      <c r="D464" s="45"/>
      <c r="E464" s="39" t="s">
        <v>325</v>
      </c>
      <c r="F464" s="180" t="s">
        <v>888</v>
      </c>
      <c r="G464" s="40" t="s">
        <v>217</v>
      </c>
      <c r="H464" s="46" t="s">
        <v>218</v>
      </c>
      <c r="I464" s="51" t="str">
        <f>"0x"&amp;AE_w_WORK!G79</f>
        <v>0x2355</v>
      </c>
      <c r="J464" s="41">
        <v>40473</v>
      </c>
      <c r="K464" s="42"/>
      <c r="M464" s="179"/>
      <c r="N464" s="179"/>
    </row>
    <row r="465" spans="2:14" hidden="1" outlineLevel="1">
      <c r="B465" s="178">
        <v>459</v>
      </c>
      <c r="C465" s="44"/>
      <c r="D465" s="45"/>
      <c r="E465" s="39" t="s">
        <v>325</v>
      </c>
      <c r="F465" s="180" t="s">
        <v>889</v>
      </c>
      <c r="G465" s="40" t="s">
        <v>219</v>
      </c>
      <c r="H465" s="46" t="s">
        <v>220</v>
      </c>
      <c r="I465" s="51" t="str">
        <f>"0x"&amp;AE_w_WORK!G80</f>
        <v>0x5532</v>
      </c>
      <c r="J465" s="41">
        <v>40473</v>
      </c>
      <c r="K465" s="42"/>
      <c r="M465" s="179"/>
      <c r="N465" s="179"/>
    </row>
    <row r="466" spans="2:14" hidden="1" outlineLevel="1">
      <c r="B466" s="178">
        <v>460</v>
      </c>
      <c r="C466" s="44"/>
      <c r="D466" s="45"/>
      <c r="E466" s="39" t="s">
        <v>325</v>
      </c>
      <c r="F466" s="180" t="s">
        <v>890</v>
      </c>
      <c r="G466" s="40" t="s">
        <v>221</v>
      </c>
      <c r="H466" s="46" t="s">
        <v>222</v>
      </c>
      <c r="I466" s="51" t="str">
        <f>"0x"&amp;AE_w_WORK!G81</f>
        <v>0x2222</v>
      </c>
      <c r="J466" s="41">
        <v>40473</v>
      </c>
      <c r="K466" s="42"/>
      <c r="M466" s="179"/>
      <c r="N466" s="179"/>
    </row>
    <row r="467" spans="2:14" hidden="1" outlineLevel="1">
      <c r="B467" s="178">
        <v>461</v>
      </c>
      <c r="C467" s="44"/>
      <c r="D467" s="45"/>
      <c r="E467" s="39" t="s">
        <v>325</v>
      </c>
      <c r="F467" s="180" t="s">
        <v>891</v>
      </c>
      <c r="G467" s="40" t="s">
        <v>223</v>
      </c>
      <c r="H467" s="46" t="s">
        <v>224</v>
      </c>
      <c r="I467" s="51" t="str">
        <f>"0x"&amp;AE_w_WORK!G82</f>
        <v>0x2222</v>
      </c>
      <c r="J467" s="41">
        <v>40473</v>
      </c>
      <c r="K467" s="42"/>
      <c r="M467" s="179"/>
      <c r="N467" s="179"/>
    </row>
    <row r="468" spans="2:14" hidden="1" outlineLevel="1">
      <c r="B468" s="178">
        <v>462</v>
      </c>
      <c r="C468" s="44"/>
      <c r="D468" s="45"/>
      <c r="E468" s="39" t="s">
        <v>325</v>
      </c>
      <c r="F468" s="180" t="s">
        <v>892</v>
      </c>
      <c r="G468" s="40" t="s">
        <v>225</v>
      </c>
      <c r="H468" s="46" t="s">
        <v>226</v>
      </c>
      <c r="I468" s="51" t="str">
        <f>"0x"&amp;AE_w_WORK!G83</f>
        <v>0x2355</v>
      </c>
      <c r="J468" s="41">
        <v>40473</v>
      </c>
      <c r="K468" s="42"/>
      <c r="M468" s="179"/>
      <c r="N468" s="179"/>
    </row>
    <row r="469" spans="2:14" hidden="1" outlineLevel="1">
      <c r="B469" s="178">
        <v>463</v>
      </c>
      <c r="C469" s="44"/>
      <c r="D469" s="45"/>
      <c r="E469" s="39" t="s">
        <v>325</v>
      </c>
      <c r="F469" s="180" t="s">
        <v>893</v>
      </c>
      <c r="G469" s="40" t="s">
        <v>227</v>
      </c>
      <c r="H469" s="46" t="s">
        <v>228</v>
      </c>
      <c r="I469" s="51" t="str">
        <f>"0x"&amp;AE_w_WORK!G84</f>
        <v>0x5532</v>
      </c>
      <c r="J469" s="41">
        <v>40473</v>
      </c>
      <c r="K469" s="42"/>
      <c r="M469" s="179"/>
      <c r="N469" s="179"/>
    </row>
    <row r="470" spans="2:14" hidden="1" outlineLevel="1">
      <c r="B470" s="178">
        <v>464</v>
      </c>
      <c r="C470" s="44"/>
      <c r="D470" s="45"/>
      <c r="E470" s="39" t="s">
        <v>325</v>
      </c>
      <c r="F470" s="180" t="s">
        <v>894</v>
      </c>
      <c r="G470" s="40" t="s">
        <v>229</v>
      </c>
      <c r="H470" s="46" t="s">
        <v>230</v>
      </c>
      <c r="I470" s="51" t="str">
        <f>"0x"&amp;AE_w_WORK!G85</f>
        <v>0x2222</v>
      </c>
      <c r="J470" s="41">
        <v>40473</v>
      </c>
      <c r="K470" s="42"/>
      <c r="M470" s="179"/>
      <c r="N470" s="179"/>
    </row>
    <row r="471" spans="2:14" hidden="1" outlineLevel="1">
      <c r="B471" s="178">
        <v>465</v>
      </c>
      <c r="C471" s="44"/>
      <c r="D471" s="45"/>
      <c r="E471" s="39" t="s">
        <v>325</v>
      </c>
      <c r="F471" s="180" t="s">
        <v>895</v>
      </c>
      <c r="G471" s="40" t="s">
        <v>231</v>
      </c>
      <c r="H471" s="46" t="s">
        <v>232</v>
      </c>
      <c r="I471" s="51" t="str">
        <f>"0x"&amp;AE_w_WORK!G86</f>
        <v>0x2222</v>
      </c>
      <c r="J471" s="41">
        <v>40473</v>
      </c>
      <c r="K471" s="42"/>
      <c r="M471" s="179"/>
      <c r="N471" s="179"/>
    </row>
    <row r="472" spans="2:14" hidden="1" outlineLevel="1">
      <c r="B472" s="178">
        <v>466</v>
      </c>
      <c r="C472" s="44"/>
      <c r="D472" s="45"/>
      <c r="E472" s="39" t="s">
        <v>325</v>
      </c>
      <c r="F472" s="180" t="s">
        <v>896</v>
      </c>
      <c r="G472" s="40" t="s">
        <v>233</v>
      </c>
      <c r="H472" s="46" t="s">
        <v>234</v>
      </c>
      <c r="I472" s="51" t="str">
        <f>"0x"&amp;AE_w_WORK!G87</f>
        <v>0x2233</v>
      </c>
      <c r="J472" s="41">
        <v>40473</v>
      </c>
      <c r="K472" s="42"/>
      <c r="M472" s="179"/>
      <c r="N472" s="179"/>
    </row>
    <row r="473" spans="2:14" hidden="1" outlineLevel="1">
      <c r="B473" s="178">
        <v>467</v>
      </c>
      <c r="C473" s="44"/>
      <c r="D473" s="45"/>
      <c r="E473" s="39" t="s">
        <v>325</v>
      </c>
      <c r="F473" s="180" t="s">
        <v>897</v>
      </c>
      <c r="G473" s="40" t="s">
        <v>235</v>
      </c>
      <c r="H473" s="46" t="s">
        <v>236</v>
      </c>
      <c r="I473" s="51" t="str">
        <f>"0x"&amp;AE_w_WORK!G88</f>
        <v>0x3322</v>
      </c>
      <c r="J473" s="41">
        <v>40473</v>
      </c>
      <c r="K473" s="42"/>
      <c r="M473" s="179"/>
      <c r="N473" s="179"/>
    </row>
    <row r="474" spans="2:14" hidden="1" outlineLevel="1">
      <c r="B474" s="178">
        <v>468</v>
      </c>
      <c r="C474" s="44"/>
      <c r="D474" s="45"/>
      <c r="E474" s="39" t="s">
        <v>325</v>
      </c>
      <c r="F474" s="180" t="s">
        <v>898</v>
      </c>
      <c r="G474" s="40" t="s">
        <v>237</v>
      </c>
      <c r="H474" s="46" t="s">
        <v>238</v>
      </c>
      <c r="I474" s="51" t="str">
        <f>"0x"&amp;AE_w_WORK!G89</f>
        <v>0x2222</v>
      </c>
      <c r="J474" s="41">
        <v>40473</v>
      </c>
      <c r="K474" s="42"/>
      <c r="M474" s="179"/>
      <c r="N474" s="179"/>
    </row>
    <row r="475" spans="2:14" hidden="1" outlineLevel="1">
      <c r="B475" s="178">
        <v>469</v>
      </c>
      <c r="C475" s="44"/>
      <c r="D475" s="45"/>
      <c r="E475" s="39" t="s">
        <v>325</v>
      </c>
      <c r="F475" s="180" t="s">
        <v>899</v>
      </c>
      <c r="G475" s="40" t="s">
        <v>239</v>
      </c>
      <c r="H475" s="46" t="s">
        <v>240</v>
      </c>
      <c r="I475" s="51" t="str">
        <f>"0x"&amp;AE_w_WORK!G90</f>
        <v>0x2222</v>
      </c>
      <c r="J475" s="41">
        <v>40473</v>
      </c>
      <c r="K475" s="42"/>
      <c r="M475" s="179"/>
      <c r="N475" s="179"/>
    </row>
    <row r="476" spans="2:14" hidden="1" outlineLevel="1">
      <c r="B476" s="178">
        <v>470</v>
      </c>
      <c r="C476" s="44"/>
      <c r="D476" s="45"/>
      <c r="E476" s="39" t="s">
        <v>325</v>
      </c>
      <c r="F476" s="180" t="s">
        <v>900</v>
      </c>
      <c r="G476" s="40" t="s">
        <v>241</v>
      </c>
      <c r="H476" s="46" t="s">
        <v>242</v>
      </c>
      <c r="I476" s="51" t="str">
        <f>"0x"&amp;AE_w_WORK!G91</f>
        <v>0x2233</v>
      </c>
      <c r="J476" s="41">
        <v>40473</v>
      </c>
      <c r="K476" s="42"/>
      <c r="M476" s="179"/>
      <c r="N476" s="179"/>
    </row>
    <row r="477" spans="2:14" hidden="1" outlineLevel="1">
      <c r="B477" s="178">
        <v>471</v>
      </c>
      <c r="C477" s="44"/>
      <c r="D477" s="45"/>
      <c r="E477" s="39" t="s">
        <v>325</v>
      </c>
      <c r="F477" s="180" t="s">
        <v>901</v>
      </c>
      <c r="G477" s="40" t="s">
        <v>243</v>
      </c>
      <c r="H477" s="46" t="s">
        <v>244</v>
      </c>
      <c r="I477" s="51" t="str">
        <f>"0x"&amp;AE_w_WORK!G92</f>
        <v>0x3322</v>
      </c>
      <c r="J477" s="41">
        <v>40473</v>
      </c>
      <c r="K477" s="42"/>
      <c r="M477" s="179"/>
      <c r="N477" s="179"/>
    </row>
    <row r="478" spans="2:14" hidden="1" outlineLevel="1">
      <c r="B478" s="178">
        <v>472</v>
      </c>
      <c r="C478" s="44"/>
      <c r="D478" s="45"/>
      <c r="E478" s="39" t="s">
        <v>325</v>
      </c>
      <c r="F478" s="180" t="s">
        <v>902</v>
      </c>
      <c r="G478" s="40" t="s">
        <v>245</v>
      </c>
      <c r="H478" s="46" t="s">
        <v>246</v>
      </c>
      <c r="I478" s="51" t="str">
        <f>"0x"&amp;AE_w_WORK!G93</f>
        <v>0x2222</v>
      </c>
      <c r="J478" s="41">
        <v>40473</v>
      </c>
      <c r="K478" s="42"/>
      <c r="M478" s="179"/>
      <c r="N478" s="179"/>
    </row>
    <row r="479" spans="2:14" hidden="1" outlineLevel="1">
      <c r="B479" s="178">
        <v>473</v>
      </c>
      <c r="C479" s="44"/>
      <c r="D479" s="45"/>
      <c r="E479" s="39" t="s">
        <v>325</v>
      </c>
      <c r="F479" s="180" t="s">
        <v>903</v>
      </c>
      <c r="G479" s="40" t="s">
        <v>247</v>
      </c>
      <c r="H479" s="46" t="s">
        <v>248</v>
      </c>
      <c r="I479" s="51" t="str">
        <f>"0x"&amp;AE_w_WORK!G94</f>
        <v>0x2222</v>
      </c>
      <c r="J479" s="41">
        <v>40473</v>
      </c>
      <c r="K479" s="42"/>
      <c r="M479" s="179"/>
      <c r="N479" s="179"/>
    </row>
    <row r="480" spans="2:14" hidden="1" outlineLevel="1">
      <c r="B480" s="178">
        <v>474</v>
      </c>
      <c r="C480" s="44"/>
      <c r="D480" s="45"/>
      <c r="E480" s="39" t="s">
        <v>325</v>
      </c>
      <c r="F480" s="180" t="s">
        <v>904</v>
      </c>
      <c r="G480" s="40" t="s">
        <v>249</v>
      </c>
      <c r="H480" s="46" t="s">
        <v>250</v>
      </c>
      <c r="I480" s="51" t="str">
        <f>"0x"&amp;AE_w_WORK!G95</f>
        <v>0x2222</v>
      </c>
      <c r="J480" s="41">
        <v>40473</v>
      </c>
      <c r="K480" s="42"/>
      <c r="M480" s="179"/>
      <c r="N480" s="179"/>
    </row>
    <row r="481" spans="2:14" hidden="1" outlineLevel="1">
      <c r="B481" s="178">
        <v>475</v>
      </c>
      <c r="C481" s="44"/>
      <c r="D481" s="45"/>
      <c r="E481" s="39" t="s">
        <v>325</v>
      </c>
      <c r="F481" s="180" t="s">
        <v>905</v>
      </c>
      <c r="G481" s="40" t="s">
        <v>251</v>
      </c>
      <c r="H481" s="46" t="s">
        <v>252</v>
      </c>
      <c r="I481" s="51" t="str">
        <f>"0x"&amp;AE_w_WORK!G96</f>
        <v>0x2222</v>
      </c>
      <c r="J481" s="41">
        <v>40473</v>
      </c>
      <c r="K481" s="42"/>
      <c r="M481" s="179"/>
      <c r="N481" s="179"/>
    </row>
    <row r="482" spans="2:14" hidden="1" outlineLevel="1">
      <c r="B482" s="178">
        <v>476</v>
      </c>
      <c r="C482" s="44"/>
      <c r="D482" s="45"/>
      <c r="E482" s="39" t="s">
        <v>325</v>
      </c>
      <c r="F482" s="180" t="s">
        <v>906</v>
      </c>
      <c r="G482" s="40" t="s">
        <v>253</v>
      </c>
      <c r="H482" s="46" t="s">
        <v>254</v>
      </c>
      <c r="I482" s="51" t="str">
        <f>"0x"&amp;AE_w_WORK!G97</f>
        <v>0x2222</v>
      </c>
      <c r="J482" s="41">
        <v>40473</v>
      </c>
      <c r="K482" s="42"/>
      <c r="M482" s="179"/>
      <c r="N482" s="179"/>
    </row>
    <row r="483" spans="2:14" hidden="1" outlineLevel="1">
      <c r="B483" s="178">
        <v>477</v>
      </c>
      <c r="C483" s="44"/>
      <c r="D483" s="45"/>
      <c r="E483" s="39" t="s">
        <v>325</v>
      </c>
      <c r="F483" s="180" t="s">
        <v>907</v>
      </c>
      <c r="G483" s="40" t="s">
        <v>255</v>
      </c>
      <c r="H483" s="46" t="s">
        <v>256</v>
      </c>
      <c r="I483" s="51" t="str">
        <f>"0x"&amp;AE_w_WORK!G98</f>
        <v>0x2222</v>
      </c>
      <c r="J483" s="41">
        <v>40473</v>
      </c>
      <c r="K483" s="42"/>
      <c r="M483" s="179"/>
      <c r="N483" s="179"/>
    </row>
    <row r="484" spans="2:14" hidden="1" outlineLevel="1">
      <c r="B484" s="178">
        <v>478</v>
      </c>
      <c r="C484" s="44"/>
      <c r="D484" s="45"/>
      <c r="E484" s="39" t="s">
        <v>325</v>
      </c>
      <c r="F484" s="180" t="s">
        <v>908</v>
      </c>
      <c r="G484" s="40" t="s">
        <v>257</v>
      </c>
      <c r="H484" s="46" t="s">
        <v>258</v>
      </c>
      <c r="I484" s="51" t="str">
        <f>"0x"&amp;AE_w_WORK!G99</f>
        <v>0x2222</v>
      </c>
      <c r="J484" s="41">
        <v>40473</v>
      </c>
      <c r="K484" s="42"/>
      <c r="M484" s="179"/>
      <c r="N484" s="179"/>
    </row>
    <row r="485" spans="2:14" hidden="1" outlineLevel="1">
      <c r="B485" s="178">
        <v>479</v>
      </c>
      <c r="C485" s="44"/>
      <c r="D485" s="45"/>
      <c r="E485" s="39" t="s">
        <v>325</v>
      </c>
      <c r="F485" s="180" t="s">
        <v>909</v>
      </c>
      <c r="G485" s="40" t="s">
        <v>259</v>
      </c>
      <c r="H485" s="46" t="s">
        <v>260</v>
      </c>
      <c r="I485" s="51" t="str">
        <f>"0x"&amp;AE_w_WORK!G100</f>
        <v>0x2222</v>
      </c>
      <c r="J485" s="41">
        <v>40473</v>
      </c>
      <c r="K485" s="42"/>
      <c r="M485" s="179"/>
      <c r="N485" s="179"/>
    </row>
    <row r="486" spans="2:14" hidden="1" outlineLevel="1">
      <c r="B486" s="178">
        <v>480</v>
      </c>
      <c r="C486" s="44"/>
      <c r="D486" s="45"/>
      <c r="E486" s="39" t="s">
        <v>325</v>
      </c>
      <c r="F486" s="180" t="s">
        <v>910</v>
      </c>
      <c r="G486" s="40" t="s">
        <v>261</v>
      </c>
      <c r="H486" s="46" t="s">
        <v>262</v>
      </c>
      <c r="I486" s="51" t="str">
        <f>"0x"&amp;AE_w_WORK!G101</f>
        <v>0x2222</v>
      </c>
      <c r="J486" s="41">
        <v>40473</v>
      </c>
      <c r="K486" s="42"/>
      <c r="M486" s="179"/>
      <c r="N486" s="179"/>
    </row>
    <row r="487" spans="2:14" hidden="1" outlineLevel="1">
      <c r="B487" s="178">
        <v>481</v>
      </c>
      <c r="C487" s="44"/>
      <c r="D487" s="45"/>
      <c r="E487" s="39" t="s">
        <v>325</v>
      </c>
      <c r="F487" s="180" t="s">
        <v>911</v>
      </c>
      <c r="G487" s="40" t="s">
        <v>263</v>
      </c>
      <c r="H487" s="46" t="s">
        <v>81</v>
      </c>
      <c r="I487" s="51" t="str">
        <f>"0x"&amp;AE_w_WORK!G102</f>
        <v>0x2222</v>
      </c>
      <c r="J487" s="41">
        <v>40473</v>
      </c>
      <c r="K487" s="42"/>
      <c r="M487" s="179"/>
      <c r="N487" s="179"/>
    </row>
    <row r="488" spans="2:14" hidden="1" outlineLevel="1">
      <c r="B488" s="178">
        <v>482</v>
      </c>
      <c r="C488" s="44"/>
      <c r="D488" s="45"/>
      <c r="E488" s="39" t="s">
        <v>325</v>
      </c>
      <c r="F488" s="180" t="s">
        <v>912</v>
      </c>
      <c r="G488" s="40" t="s">
        <v>82</v>
      </c>
      <c r="H488" s="46" t="s">
        <v>83</v>
      </c>
      <c r="I488" s="51" t="str">
        <f>"0x"&amp;AE_w_WORK!G103</f>
        <v>0x2222</v>
      </c>
      <c r="J488" s="41">
        <v>40473</v>
      </c>
      <c r="K488" s="42"/>
      <c r="M488" s="179"/>
      <c r="N488" s="179"/>
    </row>
    <row r="489" spans="2:14" hidden="1" outlineLevel="1">
      <c r="B489" s="178">
        <v>483</v>
      </c>
      <c r="C489" s="44"/>
      <c r="D489" s="45"/>
      <c r="E489" s="39" t="s">
        <v>325</v>
      </c>
      <c r="F489" s="180" t="s">
        <v>913</v>
      </c>
      <c r="G489" s="40" t="s">
        <v>84</v>
      </c>
      <c r="H489" s="46" t="s">
        <v>85</v>
      </c>
      <c r="I489" s="51" t="str">
        <f>"0x"&amp;AE_w_WORK!G104</f>
        <v>0x2222</v>
      </c>
      <c r="J489" s="41">
        <v>40473</v>
      </c>
      <c r="K489" s="42"/>
      <c r="M489" s="179"/>
      <c r="N489" s="179"/>
    </row>
    <row r="490" spans="2:14" hidden="1" outlineLevel="1">
      <c r="B490" s="178">
        <v>484</v>
      </c>
      <c r="C490" s="44"/>
      <c r="D490" s="45"/>
      <c r="E490" s="39" t="s">
        <v>325</v>
      </c>
      <c r="F490" s="180" t="s">
        <v>914</v>
      </c>
      <c r="G490" s="40" t="s">
        <v>86</v>
      </c>
      <c r="H490" s="46" t="s">
        <v>87</v>
      </c>
      <c r="I490" s="51" t="str">
        <f>"0x"&amp;AE_w_WORK!G105</f>
        <v>0x2222</v>
      </c>
      <c r="J490" s="41">
        <v>40473</v>
      </c>
      <c r="K490" s="42"/>
      <c r="M490" s="179"/>
      <c r="N490" s="179"/>
    </row>
    <row r="491" spans="2:14" hidden="1" outlineLevel="1">
      <c r="B491" s="178">
        <v>485</v>
      </c>
      <c r="C491" s="44"/>
      <c r="D491" s="45"/>
      <c r="E491" s="39" t="s">
        <v>325</v>
      </c>
      <c r="F491" s="180" t="s">
        <v>915</v>
      </c>
      <c r="G491" s="40" t="s">
        <v>88</v>
      </c>
      <c r="H491" s="46" t="s">
        <v>89</v>
      </c>
      <c r="I491" s="51" t="str">
        <f>"0x"&amp;AE_w_WORK!G106</f>
        <v>0x2222</v>
      </c>
      <c r="J491" s="41">
        <v>40473</v>
      </c>
      <c r="K491" s="42"/>
      <c r="M491" s="179"/>
      <c r="N491" s="179"/>
    </row>
    <row r="492" spans="2:14" hidden="1" outlineLevel="1">
      <c r="B492" s="178">
        <v>486</v>
      </c>
      <c r="C492" s="44"/>
      <c r="D492" s="45"/>
      <c r="E492" s="39" t="s">
        <v>325</v>
      </c>
      <c r="F492" s="180" t="s">
        <v>916</v>
      </c>
      <c r="G492" s="40" t="s">
        <v>90</v>
      </c>
      <c r="H492" s="46" t="s">
        <v>91</v>
      </c>
      <c r="I492" s="51" t="str">
        <f>"0x"&amp;AE_w_WORK!G107</f>
        <v>0x2222</v>
      </c>
      <c r="J492" s="41">
        <v>40473</v>
      </c>
      <c r="K492" s="42"/>
      <c r="M492" s="179"/>
      <c r="N492" s="179"/>
    </row>
    <row r="493" spans="2:14" hidden="1" outlineLevel="1">
      <c r="B493" s="178">
        <v>487</v>
      </c>
      <c r="C493" s="44"/>
      <c r="D493" s="45"/>
      <c r="E493" s="39" t="s">
        <v>325</v>
      </c>
      <c r="F493" s="180" t="s">
        <v>917</v>
      </c>
      <c r="G493" s="40" t="s">
        <v>92</v>
      </c>
      <c r="H493" s="46" t="s">
        <v>93</v>
      </c>
      <c r="I493" s="51" t="str">
        <f>"0x"&amp;AE_w_WORK!G108</f>
        <v>0x2222</v>
      </c>
      <c r="J493" s="41">
        <v>40473</v>
      </c>
      <c r="K493" s="42"/>
      <c r="M493" s="179"/>
      <c r="N493" s="179"/>
    </row>
    <row r="494" spans="2:14" hidden="1" outlineLevel="1">
      <c r="B494" s="178">
        <v>488</v>
      </c>
      <c r="C494" s="44"/>
      <c r="D494" s="45"/>
      <c r="E494" s="39" t="s">
        <v>325</v>
      </c>
      <c r="F494" s="180" t="s">
        <v>918</v>
      </c>
      <c r="G494" s="40" t="s">
        <v>94</v>
      </c>
      <c r="H494" s="46" t="s">
        <v>95</v>
      </c>
      <c r="I494" s="51" t="str">
        <f>"0x"&amp;AE_w_WORK!G109</f>
        <v>0x2222</v>
      </c>
      <c r="J494" s="41">
        <v>40473</v>
      </c>
      <c r="K494" s="42"/>
      <c r="M494" s="179"/>
      <c r="N494" s="179"/>
    </row>
    <row r="495" spans="2:14" hidden="1" outlineLevel="1">
      <c r="B495" s="178">
        <v>489</v>
      </c>
      <c r="C495" s="44"/>
      <c r="D495" s="45"/>
      <c r="E495" s="39" t="s">
        <v>325</v>
      </c>
      <c r="F495" s="180" t="s">
        <v>919</v>
      </c>
      <c r="G495" s="40" t="s">
        <v>96</v>
      </c>
      <c r="H495" s="46" t="s">
        <v>97</v>
      </c>
      <c r="I495" s="51" t="str">
        <f>"0x"&amp;AE_w_WORK!G110</f>
        <v>0x2222</v>
      </c>
      <c r="J495" s="41">
        <v>40473</v>
      </c>
      <c r="K495" s="42"/>
      <c r="M495" s="179"/>
      <c r="N495" s="179"/>
    </row>
    <row r="496" spans="2:14" hidden="1" outlineLevel="1">
      <c r="B496" s="178">
        <v>490</v>
      </c>
      <c r="C496" s="44"/>
      <c r="D496" s="45"/>
      <c r="E496" s="39" t="s">
        <v>325</v>
      </c>
      <c r="F496" s="180" t="s">
        <v>920</v>
      </c>
      <c r="G496" s="40" t="s">
        <v>98</v>
      </c>
      <c r="H496" s="46" t="s">
        <v>99</v>
      </c>
      <c r="I496" s="51" t="str">
        <f>"0x"&amp;AE_w_WORK!G111</f>
        <v>0x2222</v>
      </c>
      <c r="J496" s="41">
        <v>40473</v>
      </c>
      <c r="K496" s="42"/>
      <c r="M496" s="179"/>
      <c r="N496" s="179"/>
    </row>
    <row r="497" spans="2:14" hidden="1" outlineLevel="1">
      <c r="B497" s="178">
        <v>491</v>
      </c>
      <c r="C497" s="44"/>
      <c r="D497" s="45"/>
      <c r="E497" s="39" t="s">
        <v>325</v>
      </c>
      <c r="F497" s="180" t="s">
        <v>921</v>
      </c>
      <c r="G497" s="40" t="s">
        <v>100</v>
      </c>
      <c r="H497" s="46" t="s">
        <v>101</v>
      </c>
      <c r="I497" s="51" t="str">
        <f>"0x"&amp;AE_w_WORK!G112</f>
        <v>0x2222</v>
      </c>
      <c r="J497" s="41">
        <v>40473</v>
      </c>
      <c r="K497" s="42"/>
      <c r="M497" s="179"/>
      <c r="N497" s="179"/>
    </row>
    <row r="498" spans="2:14" hidden="1" outlineLevel="1">
      <c r="B498" s="178">
        <v>492</v>
      </c>
      <c r="C498" s="44"/>
      <c r="D498" s="45"/>
      <c r="E498" s="39" t="s">
        <v>325</v>
      </c>
      <c r="F498" s="180" t="s">
        <v>922</v>
      </c>
      <c r="G498" s="40" t="s">
        <v>102</v>
      </c>
      <c r="H498" s="46" t="s">
        <v>103</v>
      </c>
      <c r="I498" s="51" t="str">
        <f>"0x"&amp;AE_w_WORK!G113</f>
        <v>0x2222</v>
      </c>
      <c r="J498" s="41">
        <v>40473</v>
      </c>
      <c r="K498" s="42"/>
      <c r="M498" s="179"/>
      <c r="N498" s="179"/>
    </row>
    <row r="499" spans="2:14" hidden="1" outlineLevel="1">
      <c r="B499" s="178">
        <v>493</v>
      </c>
      <c r="C499" s="44"/>
      <c r="D499" s="45"/>
      <c r="E499" s="39" t="s">
        <v>325</v>
      </c>
      <c r="F499" s="180" t="s">
        <v>923</v>
      </c>
      <c r="G499" s="40" t="s">
        <v>104</v>
      </c>
      <c r="H499" s="46" t="s">
        <v>105</v>
      </c>
      <c r="I499" s="51" t="str">
        <f>"0x"&amp;AE_w_WORK!G114</f>
        <v>0x2222</v>
      </c>
      <c r="J499" s="41">
        <v>40473</v>
      </c>
      <c r="K499" s="42"/>
      <c r="M499" s="179"/>
      <c r="N499" s="179"/>
    </row>
    <row r="500" spans="2:14" hidden="1" outlineLevel="1">
      <c r="B500" s="178">
        <v>494</v>
      </c>
      <c r="C500" s="44"/>
      <c r="D500" s="45"/>
      <c r="E500" s="39" t="s">
        <v>325</v>
      </c>
      <c r="F500" s="180" t="s">
        <v>924</v>
      </c>
      <c r="G500" s="40" t="s">
        <v>106</v>
      </c>
      <c r="H500" s="46" t="s">
        <v>107</v>
      </c>
      <c r="I500" s="51" t="str">
        <f>"0x"&amp;AE_w_WORK!G115</f>
        <v>0x2222</v>
      </c>
      <c r="J500" s="41">
        <v>40473</v>
      </c>
      <c r="K500" s="42"/>
      <c r="M500" s="179"/>
      <c r="N500" s="179"/>
    </row>
    <row r="501" spans="2:14" hidden="1" outlineLevel="1">
      <c r="B501" s="178">
        <v>495</v>
      </c>
      <c r="C501" s="44"/>
      <c r="D501" s="45"/>
      <c r="E501" s="39" t="s">
        <v>325</v>
      </c>
      <c r="F501" s="180" t="s">
        <v>925</v>
      </c>
      <c r="G501" s="40" t="s">
        <v>108</v>
      </c>
      <c r="H501" s="46" t="s">
        <v>109</v>
      </c>
      <c r="I501" s="51" t="str">
        <f>"0x"&amp;AE_w_WORK!G116</f>
        <v>0x2222</v>
      </c>
      <c r="J501" s="41">
        <v>40473</v>
      </c>
      <c r="K501" s="42"/>
      <c r="M501" s="179"/>
      <c r="N501" s="179"/>
    </row>
    <row r="502" spans="2:14" hidden="1" outlineLevel="1">
      <c r="B502" s="178">
        <v>496</v>
      </c>
      <c r="C502" s="44"/>
      <c r="D502" s="45"/>
      <c r="E502" s="39" t="s">
        <v>325</v>
      </c>
      <c r="F502" s="180" t="s">
        <v>926</v>
      </c>
      <c r="G502" s="40" t="s">
        <v>110</v>
      </c>
      <c r="H502" s="46" t="s">
        <v>111</v>
      </c>
      <c r="I502" s="51" t="str">
        <f>"0x"&amp;AE_w_WORK!G117</f>
        <v>0x2222</v>
      </c>
      <c r="J502" s="41">
        <v>40473</v>
      </c>
      <c r="K502" s="42"/>
      <c r="M502" s="179"/>
      <c r="N502" s="179"/>
    </row>
    <row r="503" spans="2:14" hidden="1" outlineLevel="1">
      <c r="B503" s="178">
        <v>497</v>
      </c>
      <c r="C503" s="44"/>
      <c r="D503" s="45"/>
      <c r="E503" s="39" t="s">
        <v>325</v>
      </c>
      <c r="F503" s="180" t="s">
        <v>927</v>
      </c>
      <c r="G503" s="40" t="s">
        <v>112</v>
      </c>
      <c r="H503" s="46" t="s">
        <v>113</v>
      </c>
      <c r="I503" s="51" t="str">
        <f>"0x"&amp;AE_w_WORK!G118</f>
        <v>0x2222</v>
      </c>
      <c r="J503" s="41">
        <v>40473</v>
      </c>
      <c r="K503" s="42"/>
      <c r="M503" s="179"/>
      <c r="N503" s="179"/>
    </row>
    <row r="504" spans="2:14" hidden="1" outlineLevel="1">
      <c r="B504" s="178">
        <v>498</v>
      </c>
      <c r="C504" s="44"/>
      <c r="D504" s="45"/>
      <c r="E504" s="39" t="s">
        <v>325</v>
      </c>
      <c r="F504" s="180" t="s">
        <v>928</v>
      </c>
      <c r="G504" s="40" t="s">
        <v>114</v>
      </c>
      <c r="H504" s="46" t="s">
        <v>115</v>
      </c>
      <c r="I504" s="51" t="str">
        <f>"0x"&amp;AE_w_WORK!G119</f>
        <v>0x2222</v>
      </c>
      <c r="J504" s="41">
        <v>40473</v>
      </c>
      <c r="K504" s="42"/>
      <c r="M504" s="179"/>
      <c r="N504" s="179"/>
    </row>
    <row r="505" spans="2:14" hidden="1" outlineLevel="1">
      <c r="B505" s="178">
        <v>499</v>
      </c>
      <c r="C505" s="44"/>
      <c r="D505" s="45"/>
      <c r="E505" s="39" t="s">
        <v>325</v>
      </c>
      <c r="F505" s="180" t="s">
        <v>929</v>
      </c>
      <c r="G505" s="40" t="s">
        <v>116</v>
      </c>
      <c r="H505" s="46" t="s">
        <v>117</v>
      </c>
      <c r="I505" s="51" t="str">
        <f>"0x"&amp;AE_w_WORK!G120</f>
        <v>0x2222</v>
      </c>
      <c r="J505" s="41">
        <v>40473</v>
      </c>
      <c r="K505" s="42"/>
      <c r="M505" s="179"/>
      <c r="N505" s="179"/>
    </row>
    <row r="506" spans="2:14" hidden="1" outlineLevel="1">
      <c r="B506" s="178">
        <v>500</v>
      </c>
      <c r="C506" s="44"/>
      <c r="D506" s="45"/>
      <c r="E506" s="39" t="s">
        <v>325</v>
      </c>
      <c r="F506" s="180" t="s">
        <v>930</v>
      </c>
      <c r="G506" s="40" t="s">
        <v>118</v>
      </c>
      <c r="H506" s="46" t="s">
        <v>119</v>
      </c>
      <c r="I506" s="51" t="str">
        <f>"0x"&amp;AE_w_WORK!G121</f>
        <v>0x2222</v>
      </c>
      <c r="J506" s="41">
        <v>40473</v>
      </c>
      <c r="K506" s="42"/>
      <c r="M506" s="179"/>
      <c r="N506" s="179"/>
    </row>
    <row r="507" spans="2:14" hidden="1" outlineLevel="1">
      <c r="B507" s="178">
        <v>501</v>
      </c>
      <c r="C507" s="44"/>
      <c r="D507" s="45"/>
      <c r="E507" s="39" t="s">
        <v>325</v>
      </c>
      <c r="F507" s="180" t="s">
        <v>931</v>
      </c>
      <c r="G507" s="40" t="s">
        <v>120</v>
      </c>
      <c r="H507" s="46" t="s">
        <v>264</v>
      </c>
      <c r="I507" s="51" t="str">
        <f>"0x"&amp;AE_w_WORK!G122</f>
        <v>0x2222</v>
      </c>
      <c r="J507" s="41">
        <v>40473</v>
      </c>
      <c r="K507" s="42"/>
      <c r="M507" s="179"/>
      <c r="N507" s="179"/>
    </row>
    <row r="508" spans="2:14" hidden="1" outlineLevel="1">
      <c r="B508" s="178">
        <v>502</v>
      </c>
      <c r="C508" s="44"/>
      <c r="D508" s="45"/>
      <c r="E508" s="39" t="s">
        <v>325</v>
      </c>
      <c r="F508" s="180" t="s">
        <v>932</v>
      </c>
      <c r="G508" s="40" t="s">
        <v>0</v>
      </c>
      <c r="H508" s="46" t="s">
        <v>1</v>
      </c>
      <c r="I508" s="51" t="str">
        <f>"0x"&amp;AE_w_WORK!G123</f>
        <v>0x2222</v>
      </c>
      <c r="J508" s="41">
        <v>40473</v>
      </c>
      <c r="K508" s="42"/>
      <c r="M508" s="179"/>
      <c r="N508" s="179"/>
    </row>
    <row r="509" spans="2:14" hidden="1" outlineLevel="1">
      <c r="B509" s="178">
        <v>503</v>
      </c>
      <c r="C509" s="44"/>
      <c r="D509" s="45"/>
      <c r="E509" s="39" t="s">
        <v>325</v>
      </c>
      <c r="F509" s="180" t="s">
        <v>933</v>
      </c>
      <c r="G509" s="40" t="s">
        <v>2</v>
      </c>
      <c r="H509" s="46" t="s">
        <v>3</v>
      </c>
      <c r="I509" s="51" t="str">
        <f>"0x"&amp;AE_w_WORK!G124</f>
        <v>0x2222</v>
      </c>
      <c r="J509" s="41">
        <v>40473</v>
      </c>
      <c r="K509" s="42"/>
      <c r="M509" s="179"/>
      <c r="N509" s="179"/>
    </row>
    <row r="510" spans="2:14" hidden="1" outlineLevel="1">
      <c r="B510" s="178">
        <v>504</v>
      </c>
      <c r="C510" s="44"/>
      <c r="D510" s="45"/>
      <c r="E510" s="39" t="s">
        <v>325</v>
      </c>
      <c r="F510" s="180" t="s">
        <v>934</v>
      </c>
      <c r="G510" s="40" t="s">
        <v>4</v>
      </c>
      <c r="H510" s="46" t="s">
        <v>5</v>
      </c>
      <c r="I510" s="51" t="str">
        <f>"0x"&amp;AE_w_WORK!G125</f>
        <v>0x2222</v>
      </c>
      <c r="J510" s="41">
        <v>40473</v>
      </c>
      <c r="K510" s="42"/>
      <c r="M510" s="179"/>
      <c r="N510" s="179"/>
    </row>
    <row r="511" spans="2:14" hidden="1" outlineLevel="1">
      <c r="B511" s="178">
        <v>505</v>
      </c>
      <c r="C511" s="44"/>
      <c r="D511" s="45"/>
      <c r="E511" s="39" t="s">
        <v>325</v>
      </c>
      <c r="F511" s="180" t="s">
        <v>935</v>
      </c>
      <c r="G511" s="40" t="s">
        <v>6</v>
      </c>
      <c r="H511" s="46" t="s">
        <v>7</v>
      </c>
      <c r="I511" s="51" t="str">
        <f>"0x"&amp;AE_w_WORK!G126</f>
        <v>0x2222</v>
      </c>
      <c r="J511" s="41">
        <v>40473</v>
      </c>
      <c r="K511" s="42"/>
      <c r="M511" s="179"/>
      <c r="N511" s="179"/>
    </row>
    <row r="512" spans="2:14" hidden="1" outlineLevel="1">
      <c r="B512" s="178">
        <v>506</v>
      </c>
      <c r="C512" s="44"/>
      <c r="D512" s="45"/>
      <c r="E512" s="39" t="s">
        <v>325</v>
      </c>
      <c r="F512" s="180" t="s">
        <v>936</v>
      </c>
      <c r="G512" s="40" t="s">
        <v>8</v>
      </c>
      <c r="H512" s="46" t="s">
        <v>9</v>
      </c>
      <c r="I512" s="51" t="str">
        <f>"0x"&amp;AE_w_WORK!G127</f>
        <v>0x2222</v>
      </c>
      <c r="J512" s="41">
        <v>40473</v>
      </c>
      <c r="K512" s="42"/>
      <c r="M512" s="179"/>
      <c r="N512" s="179"/>
    </row>
    <row r="513" spans="2:14" hidden="1" outlineLevel="1">
      <c r="B513" s="178">
        <v>507</v>
      </c>
      <c r="C513" s="44"/>
      <c r="D513" s="45"/>
      <c r="E513" s="39" t="s">
        <v>325</v>
      </c>
      <c r="F513" s="180" t="s">
        <v>937</v>
      </c>
      <c r="G513" s="40" t="s">
        <v>10</v>
      </c>
      <c r="H513" s="46" t="s">
        <v>11</v>
      </c>
      <c r="I513" s="51" t="str">
        <f>"0x"&amp;AE_w_WORK!G128</f>
        <v>0x2222</v>
      </c>
      <c r="J513" s="41">
        <v>40473</v>
      </c>
      <c r="K513" s="42"/>
      <c r="M513" s="179"/>
      <c r="N513" s="179"/>
    </row>
    <row r="514" spans="2:14" hidden="1" outlineLevel="1">
      <c r="B514" s="178">
        <v>508</v>
      </c>
      <c r="C514" s="44"/>
      <c r="D514" s="45"/>
      <c r="E514" s="39" t="s">
        <v>325</v>
      </c>
      <c r="F514" s="180" t="s">
        <v>938</v>
      </c>
      <c r="G514" s="40" t="s">
        <v>12</v>
      </c>
      <c r="H514" s="46" t="s">
        <v>13</v>
      </c>
      <c r="I514" s="51" t="str">
        <f>"0x"&amp;AE_w_WORK!G129</f>
        <v>0x2222</v>
      </c>
      <c r="J514" s="41">
        <v>40473</v>
      </c>
      <c r="K514" s="42"/>
      <c r="M514" s="179"/>
      <c r="N514" s="179"/>
    </row>
    <row r="515" spans="2:14" hidden="1" outlineLevel="1">
      <c r="B515" s="178">
        <v>509</v>
      </c>
      <c r="C515" s="44"/>
      <c r="D515" s="45"/>
      <c r="E515" s="39" t="s">
        <v>325</v>
      </c>
      <c r="F515" s="180" t="s">
        <v>939</v>
      </c>
      <c r="G515" s="40" t="s">
        <v>14</v>
      </c>
      <c r="H515" s="46" t="s">
        <v>15</v>
      </c>
      <c r="I515" s="51" t="str">
        <f>"0x"&amp;AE_w_WORK!G130</f>
        <v>0x2222</v>
      </c>
      <c r="J515" s="41">
        <v>40473</v>
      </c>
      <c r="K515" s="42"/>
      <c r="M515" s="179"/>
      <c r="N515" s="179"/>
    </row>
    <row r="516" spans="2:14" hidden="1" outlineLevel="1">
      <c r="B516" s="178">
        <v>510</v>
      </c>
      <c r="C516" s="44"/>
      <c r="D516" s="45"/>
      <c r="E516" s="39" t="s">
        <v>325</v>
      </c>
      <c r="F516" s="180" t="s">
        <v>940</v>
      </c>
      <c r="G516" s="40" t="s">
        <v>16</v>
      </c>
      <c r="H516" s="46" t="s">
        <v>17</v>
      </c>
      <c r="I516" s="51" t="str">
        <f>"0x"&amp;AE_w_WORK!G131</f>
        <v>0x2222</v>
      </c>
      <c r="J516" s="41">
        <v>40473</v>
      </c>
      <c r="K516" s="42"/>
      <c r="M516" s="179"/>
      <c r="N516" s="179"/>
    </row>
    <row r="517" spans="2:14" hidden="1" outlineLevel="1">
      <c r="B517" s="178">
        <v>511</v>
      </c>
      <c r="C517" s="44"/>
      <c r="D517" s="45"/>
      <c r="E517" s="39" t="s">
        <v>325</v>
      </c>
      <c r="F517" s="180" t="s">
        <v>941</v>
      </c>
      <c r="G517" s="40" t="s">
        <v>18</v>
      </c>
      <c r="H517" s="46" t="s">
        <v>19</v>
      </c>
      <c r="I517" s="51" t="str">
        <f>"0x"&amp;AE_w_WORK!G132</f>
        <v>0x2222</v>
      </c>
      <c r="J517" s="41">
        <v>40473</v>
      </c>
      <c r="K517" s="42"/>
      <c r="M517" s="179"/>
      <c r="N517" s="179"/>
    </row>
    <row r="518" spans="2:14" hidden="1" outlineLevel="1">
      <c r="B518" s="178">
        <v>512</v>
      </c>
      <c r="C518" s="44"/>
      <c r="D518" s="45"/>
      <c r="E518" s="39" t="s">
        <v>325</v>
      </c>
      <c r="F518" s="180" t="s">
        <v>942</v>
      </c>
      <c r="G518" s="40" t="s">
        <v>20</v>
      </c>
      <c r="H518" s="46" t="s">
        <v>21</v>
      </c>
      <c r="I518" s="51" t="str">
        <f>"0x"&amp;AE_w_WORK!G133</f>
        <v>0x2222</v>
      </c>
      <c r="J518" s="41">
        <v>40473</v>
      </c>
      <c r="K518" s="42"/>
      <c r="M518" s="179"/>
      <c r="N518" s="179"/>
    </row>
    <row r="519" spans="2:14" collapsed="1">
      <c r="B519" s="178">
        <v>513</v>
      </c>
      <c r="C519" s="44"/>
      <c r="D519" s="45"/>
      <c r="E519" s="39" t="s">
        <v>325</v>
      </c>
      <c r="F519" s="180" t="s">
        <v>943</v>
      </c>
      <c r="G519" s="40" t="s">
        <v>79</v>
      </c>
      <c r="H519" s="46" t="s">
        <v>80</v>
      </c>
      <c r="I519" s="51" t="str">
        <f>"0x"&amp;AE_w_WORK!H6</f>
        <v>0x0000</v>
      </c>
      <c r="J519" s="41">
        <v>40473</v>
      </c>
      <c r="K519" s="42" t="s">
        <v>335</v>
      </c>
      <c r="M519" s="179"/>
      <c r="N519" s="179"/>
    </row>
    <row r="520" spans="2:14" hidden="1" outlineLevel="1">
      <c r="B520" s="178">
        <v>514</v>
      </c>
      <c r="C520" s="44"/>
      <c r="D520" s="45"/>
      <c r="E520" s="39" t="s">
        <v>325</v>
      </c>
      <c r="F520" s="180" t="s">
        <v>944</v>
      </c>
      <c r="G520" s="40" t="s">
        <v>77</v>
      </c>
      <c r="H520" s="46" t="s">
        <v>78</v>
      </c>
      <c r="I520" s="51" t="str">
        <f>"0x"&amp;AE_w_WORK!H7</f>
        <v>0x0000</v>
      </c>
      <c r="J520" s="41">
        <v>40473</v>
      </c>
      <c r="K520" s="42"/>
      <c r="M520" s="179"/>
      <c r="N520" s="179"/>
    </row>
    <row r="521" spans="2:14" hidden="1" outlineLevel="1">
      <c r="B521" s="178">
        <v>515</v>
      </c>
      <c r="C521" s="44"/>
      <c r="D521" s="45"/>
      <c r="E521" s="39" t="s">
        <v>325</v>
      </c>
      <c r="F521" s="180" t="s">
        <v>945</v>
      </c>
      <c r="G521" s="40" t="s">
        <v>22</v>
      </c>
      <c r="H521" s="46" t="s">
        <v>23</v>
      </c>
      <c r="I521" s="51" t="str">
        <f>"0x"&amp;AE_w_WORK!H8</f>
        <v>0x0000</v>
      </c>
      <c r="J521" s="41">
        <v>40473</v>
      </c>
      <c r="K521" s="42"/>
      <c r="M521" s="179"/>
      <c r="N521" s="179"/>
    </row>
    <row r="522" spans="2:14" hidden="1" outlineLevel="1">
      <c r="B522" s="178">
        <v>516</v>
      </c>
      <c r="C522" s="44"/>
      <c r="D522" s="45"/>
      <c r="E522" s="39" t="s">
        <v>325</v>
      </c>
      <c r="F522" s="180" t="s">
        <v>946</v>
      </c>
      <c r="G522" s="40" t="s">
        <v>24</v>
      </c>
      <c r="H522" s="46" t="s">
        <v>25</v>
      </c>
      <c r="I522" s="51" t="str">
        <f>"0x"&amp;AE_w_WORK!H9</f>
        <v>0x0000</v>
      </c>
      <c r="J522" s="41">
        <v>40473</v>
      </c>
      <c r="K522" s="42"/>
      <c r="M522" s="179"/>
      <c r="N522" s="179"/>
    </row>
    <row r="523" spans="2:14" hidden="1" outlineLevel="1">
      <c r="B523" s="178">
        <v>517</v>
      </c>
      <c r="C523" s="44"/>
      <c r="D523" s="45"/>
      <c r="E523" s="39" t="s">
        <v>325</v>
      </c>
      <c r="F523" s="180" t="s">
        <v>947</v>
      </c>
      <c r="G523" s="40" t="s">
        <v>26</v>
      </c>
      <c r="H523" s="46" t="s">
        <v>27</v>
      </c>
      <c r="I523" s="51" t="str">
        <f>"0x"&amp;AE_w_WORK!H10</f>
        <v>0x0000</v>
      </c>
      <c r="J523" s="41">
        <v>40473</v>
      </c>
      <c r="K523" s="42"/>
      <c r="M523" s="179"/>
      <c r="N523" s="179"/>
    </row>
    <row r="524" spans="2:14" hidden="1" outlineLevel="1">
      <c r="B524" s="178">
        <v>518</v>
      </c>
      <c r="C524" s="44"/>
      <c r="D524" s="45"/>
      <c r="E524" s="39" t="s">
        <v>325</v>
      </c>
      <c r="F524" s="180" t="s">
        <v>948</v>
      </c>
      <c r="G524" s="40" t="s">
        <v>28</v>
      </c>
      <c r="H524" s="46" t="s">
        <v>29</v>
      </c>
      <c r="I524" s="51" t="str">
        <f>"0x"&amp;AE_w_WORK!H11</f>
        <v>0x0000</v>
      </c>
      <c r="J524" s="41">
        <v>40473</v>
      </c>
      <c r="K524" s="42"/>
      <c r="M524" s="179"/>
      <c r="N524" s="179"/>
    </row>
    <row r="525" spans="2:14" hidden="1" outlineLevel="1">
      <c r="B525" s="178">
        <v>519</v>
      </c>
      <c r="C525" s="44"/>
      <c r="D525" s="45"/>
      <c r="E525" s="39" t="s">
        <v>325</v>
      </c>
      <c r="F525" s="180" t="s">
        <v>949</v>
      </c>
      <c r="G525" s="40" t="s">
        <v>30</v>
      </c>
      <c r="H525" s="46" t="s">
        <v>31</v>
      </c>
      <c r="I525" s="51" t="str">
        <f>"0x"&amp;AE_w_WORK!H12</f>
        <v>0x0000</v>
      </c>
      <c r="J525" s="41">
        <v>40473</v>
      </c>
      <c r="K525" s="42"/>
      <c r="M525" s="179"/>
      <c r="N525" s="179"/>
    </row>
    <row r="526" spans="2:14" hidden="1" outlineLevel="1">
      <c r="B526" s="178">
        <v>520</v>
      </c>
      <c r="C526" s="44"/>
      <c r="D526" s="45"/>
      <c r="E526" s="39" t="s">
        <v>325</v>
      </c>
      <c r="F526" s="180" t="s">
        <v>950</v>
      </c>
      <c r="G526" s="40" t="s">
        <v>32</v>
      </c>
      <c r="H526" s="46" t="s">
        <v>33</v>
      </c>
      <c r="I526" s="51" t="str">
        <f>"0x"&amp;AE_w_WORK!H13</f>
        <v>0x0000</v>
      </c>
      <c r="J526" s="41">
        <v>40473</v>
      </c>
      <c r="K526" s="42"/>
      <c r="M526" s="179"/>
      <c r="N526" s="179"/>
    </row>
    <row r="527" spans="2:14" hidden="1" outlineLevel="1">
      <c r="B527" s="178">
        <v>521</v>
      </c>
      <c r="C527" s="44"/>
      <c r="D527" s="45"/>
      <c r="E527" s="39" t="s">
        <v>325</v>
      </c>
      <c r="F527" s="180" t="s">
        <v>951</v>
      </c>
      <c r="G527" s="40" t="s">
        <v>34</v>
      </c>
      <c r="H527" s="46" t="s">
        <v>35</v>
      </c>
      <c r="I527" s="51" t="str">
        <f>"0x"&amp;AE_w_WORK!H14</f>
        <v>0x0000</v>
      </c>
      <c r="J527" s="41">
        <v>40473</v>
      </c>
      <c r="K527" s="42"/>
      <c r="M527" s="179"/>
      <c r="N527" s="179"/>
    </row>
    <row r="528" spans="2:14" hidden="1" outlineLevel="1">
      <c r="B528" s="178">
        <v>522</v>
      </c>
      <c r="C528" s="44"/>
      <c r="D528" s="45"/>
      <c r="E528" s="39" t="s">
        <v>325</v>
      </c>
      <c r="F528" s="180" t="s">
        <v>952</v>
      </c>
      <c r="G528" s="40" t="s">
        <v>36</v>
      </c>
      <c r="H528" s="46" t="s">
        <v>37</v>
      </c>
      <c r="I528" s="51" t="str">
        <f>"0x"&amp;AE_w_WORK!H15</f>
        <v>0x0000</v>
      </c>
      <c r="J528" s="41">
        <v>40473</v>
      </c>
      <c r="K528" s="42"/>
      <c r="M528" s="179"/>
      <c r="N528" s="179"/>
    </row>
    <row r="529" spans="2:14" hidden="1" outlineLevel="1">
      <c r="B529" s="178">
        <v>523</v>
      </c>
      <c r="C529" s="44"/>
      <c r="D529" s="45"/>
      <c r="E529" s="39" t="s">
        <v>325</v>
      </c>
      <c r="F529" s="180" t="s">
        <v>953</v>
      </c>
      <c r="G529" s="40" t="s">
        <v>38</v>
      </c>
      <c r="H529" s="46" t="s">
        <v>39</v>
      </c>
      <c r="I529" s="51" t="str">
        <f>"0x"&amp;AE_w_WORK!H16</f>
        <v>0x0000</v>
      </c>
      <c r="J529" s="41">
        <v>40473</v>
      </c>
      <c r="K529" s="42"/>
      <c r="M529" s="179"/>
      <c r="N529" s="179"/>
    </row>
    <row r="530" spans="2:14" hidden="1" outlineLevel="1">
      <c r="B530" s="178">
        <v>524</v>
      </c>
      <c r="C530" s="44"/>
      <c r="D530" s="45"/>
      <c r="E530" s="39" t="s">
        <v>325</v>
      </c>
      <c r="F530" s="180" t="s">
        <v>954</v>
      </c>
      <c r="G530" s="40" t="s">
        <v>40</v>
      </c>
      <c r="H530" s="46" t="s">
        <v>41</v>
      </c>
      <c r="I530" s="51" t="str">
        <f>"0x"&amp;AE_w_WORK!H17</f>
        <v>0x0000</v>
      </c>
      <c r="J530" s="41">
        <v>40473</v>
      </c>
      <c r="K530" s="42"/>
      <c r="M530" s="179"/>
      <c r="N530" s="179"/>
    </row>
    <row r="531" spans="2:14" hidden="1" outlineLevel="1">
      <c r="B531" s="178">
        <v>525</v>
      </c>
      <c r="C531" s="44"/>
      <c r="D531" s="45"/>
      <c r="E531" s="39" t="s">
        <v>325</v>
      </c>
      <c r="F531" s="180" t="s">
        <v>955</v>
      </c>
      <c r="G531" s="40" t="s">
        <v>42</v>
      </c>
      <c r="H531" s="46" t="s">
        <v>43</v>
      </c>
      <c r="I531" s="51" t="str">
        <f>"0x"&amp;AE_w_WORK!H18</f>
        <v>0x0000</v>
      </c>
      <c r="J531" s="41">
        <v>40473</v>
      </c>
      <c r="K531" s="42"/>
      <c r="M531" s="179"/>
      <c r="N531" s="179"/>
    </row>
    <row r="532" spans="2:14" hidden="1" outlineLevel="1">
      <c r="B532" s="178">
        <v>526</v>
      </c>
      <c r="C532" s="44"/>
      <c r="D532" s="45"/>
      <c r="E532" s="39" t="s">
        <v>325</v>
      </c>
      <c r="F532" s="180" t="s">
        <v>956</v>
      </c>
      <c r="G532" s="40" t="s">
        <v>44</v>
      </c>
      <c r="H532" s="46" t="s">
        <v>45</v>
      </c>
      <c r="I532" s="51" t="str">
        <f>"0x"&amp;AE_w_WORK!H19</f>
        <v>0x0000</v>
      </c>
      <c r="J532" s="41">
        <v>40473</v>
      </c>
      <c r="K532" s="42"/>
      <c r="M532" s="179"/>
      <c r="N532" s="179"/>
    </row>
    <row r="533" spans="2:14" hidden="1" outlineLevel="1">
      <c r="B533" s="178">
        <v>527</v>
      </c>
      <c r="C533" s="44"/>
      <c r="D533" s="45"/>
      <c r="E533" s="39" t="s">
        <v>325</v>
      </c>
      <c r="F533" s="180" t="s">
        <v>957</v>
      </c>
      <c r="G533" s="40" t="s">
        <v>46</v>
      </c>
      <c r="H533" s="46" t="s">
        <v>47</v>
      </c>
      <c r="I533" s="51" t="str">
        <f>"0x"&amp;AE_w_WORK!H20</f>
        <v>0x0000</v>
      </c>
      <c r="J533" s="41">
        <v>40473</v>
      </c>
      <c r="K533" s="42"/>
      <c r="M533" s="179"/>
      <c r="N533" s="179"/>
    </row>
    <row r="534" spans="2:14" hidden="1" outlineLevel="1">
      <c r="B534" s="178">
        <v>528</v>
      </c>
      <c r="C534" s="44"/>
      <c r="D534" s="45"/>
      <c r="E534" s="39" t="s">
        <v>325</v>
      </c>
      <c r="F534" s="180" t="s">
        <v>958</v>
      </c>
      <c r="G534" s="40" t="s">
        <v>48</v>
      </c>
      <c r="H534" s="46" t="s">
        <v>49</v>
      </c>
      <c r="I534" s="51" t="str">
        <f>"0x"&amp;AE_w_WORK!H21</f>
        <v>0x0000</v>
      </c>
      <c r="J534" s="41">
        <v>40473</v>
      </c>
      <c r="K534" s="42"/>
      <c r="M534" s="179"/>
      <c r="N534" s="179"/>
    </row>
    <row r="535" spans="2:14" hidden="1" outlineLevel="1">
      <c r="B535" s="178">
        <v>529</v>
      </c>
      <c r="C535" s="44"/>
      <c r="D535" s="45"/>
      <c r="E535" s="39" t="s">
        <v>325</v>
      </c>
      <c r="F535" s="180" t="s">
        <v>959</v>
      </c>
      <c r="G535" s="40" t="s">
        <v>50</v>
      </c>
      <c r="H535" s="46" t="s">
        <v>51</v>
      </c>
      <c r="I535" s="51" t="str">
        <f>"0x"&amp;AE_w_WORK!H22</f>
        <v>0x0000</v>
      </c>
      <c r="J535" s="41">
        <v>40473</v>
      </c>
      <c r="K535" s="42"/>
      <c r="M535" s="179"/>
      <c r="N535" s="179"/>
    </row>
    <row r="536" spans="2:14" hidden="1" outlineLevel="1">
      <c r="B536" s="178">
        <v>530</v>
      </c>
      <c r="C536" s="44"/>
      <c r="D536" s="45"/>
      <c r="E536" s="39" t="s">
        <v>325</v>
      </c>
      <c r="F536" s="180" t="s">
        <v>960</v>
      </c>
      <c r="G536" s="40" t="s">
        <v>52</v>
      </c>
      <c r="H536" s="46" t="s">
        <v>53</v>
      </c>
      <c r="I536" s="51" t="str">
        <f>"0x"&amp;AE_w_WORK!H23</f>
        <v>0x0000</v>
      </c>
      <c r="J536" s="41">
        <v>40473</v>
      </c>
      <c r="K536" s="42"/>
      <c r="M536" s="179"/>
      <c r="N536" s="179"/>
    </row>
    <row r="537" spans="2:14" hidden="1" outlineLevel="1">
      <c r="B537" s="178">
        <v>531</v>
      </c>
      <c r="C537" s="44"/>
      <c r="D537" s="45"/>
      <c r="E537" s="39" t="s">
        <v>325</v>
      </c>
      <c r="F537" s="180" t="s">
        <v>961</v>
      </c>
      <c r="G537" s="40" t="s">
        <v>54</v>
      </c>
      <c r="H537" s="46" t="s">
        <v>55</v>
      </c>
      <c r="I537" s="51" t="str">
        <f>"0x"&amp;AE_w_WORK!H24</f>
        <v>0x0000</v>
      </c>
      <c r="J537" s="41">
        <v>40473</v>
      </c>
      <c r="K537" s="42"/>
      <c r="M537" s="179"/>
      <c r="N537" s="179"/>
    </row>
    <row r="538" spans="2:14" hidden="1" outlineLevel="1">
      <c r="B538" s="178">
        <v>532</v>
      </c>
      <c r="C538" s="44"/>
      <c r="D538" s="45"/>
      <c r="E538" s="39" t="s">
        <v>325</v>
      </c>
      <c r="F538" s="180" t="s">
        <v>962</v>
      </c>
      <c r="G538" s="40" t="s">
        <v>56</v>
      </c>
      <c r="H538" s="46" t="s">
        <v>57</v>
      </c>
      <c r="I538" s="51" t="str">
        <f>"0x"&amp;AE_w_WORK!H25</f>
        <v>0x0000</v>
      </c>
      <c r="J538" s="41">
        <v>40473</v>
      </c>
      <c r="K538" s="42"/>
      <c r="M538" s="179"/>
      <c r="N538" s="179"/>
    </row>
    <row r="539" spans="2:14" hidden="1" outlineLevel="1">
      <c r="B539" s="178">
        <v>533</v>
      </c>
      <c r="C539" s="44"/>
      <c r="D539" s="45"/>
      <c r="E539" s="39" t="s">
        <v>325</v>
      </c>
      <c r="F539" s="180" t="s">
        <v>963</v>
      </c>
      <c r="G539" s="40" t="s">
        <v>58</v>
      </c>
      <c r="H539" s="46" t="s">
        <v>59</v>
      </c>
      <c r="I539" s="51" t="str">
        <f>"0x"&amp;AE_w_WORK!H26</f>
        <v>0x0000</v>
      </c>
      <c r="J539" s="41">
        <v>40473</v>
      </c>
      <c r="K539" s="42"/>
      <c r="M539" s="179"/>
      <c r="N539" s="179"/>
    </row>
    <row r="540" spans="2:14" hidden="1" outlineLevel="1">
      <c r="B540" s="178">
        <v>534</v>
      </c>
      <c r="C540" s="44"/>
      <c r="D540" s="45"/>
      <c r="E540" s="39" t="s">
        <v>325</v>
      </c>
      <c r="F540" s="180" t="s">
        <v>964</v>
      </c>
      <c r="G540" s="40" t="s">
        <v>60</v>
      </c>
      <c r="H540" s="46" t="s">
        <v>61</v>
      </c>
      <c r="I540" s="51" t="str">
        <f>"0x"&amp;AE_w_WORK!H27</f>
        <v>0x0000</v>
      </c>
      <c r="J540" s="41">
        <v>40473</v>
      </c>
      <c r="K540" s="42"/>
      <c r="M540" s="179"/>
      <c r="N540" s="179"/>
    </row>
    <row r="541" spans="2:14" hidden="1" outlineLevel="1">
      <c r="B541" s="178">
        <v>535</v>
      </c>
      <c r="C541" s="44"/>
      <c r="D541" s="45"/>
      <c r="E541" s="39" t="s">
        <v>325</v>
      </c>
      <c r="F541" s="180" t="s">
        <v>965</v>
      </c>
      <c r="G541" s="40" t="s">
        <v>62</v>
      </c>
      <c r="H541" s="46" t="s">
        <v>63</v>
      </c>
      <c r="I541" s="51" t="str">
        <f>"0x"&amp;AE_w_WORK!H28</f>
        <v>0x0000</v>
      </c>
      <c r="J541" s="41">
        <v>40473</v>
      </c>
      <c r="K541" s="42"/>
      <c r="M541" s="179"/>
      <c r="N541" s="179"/>
    </row>
    <row r="542" spans="2:14" hidden="1" outlineLevel="1">
      <c r="B542" s="178">
        <v>536</v>
      </c>
      <c r="C542" s="44"/>
      <c r="D542" s="45"/>
      <c r="E542" s="39" t="s">
        <v>325</v>
      </c>
      <c r="F542" s="180" t="s">
        <v>966</v>
      </c>
      <c r="G542" s="40" t="s">
        <v>64</v>
      </c>
      <c r="H542" s="46" t="s">
        <v>65</v>
      </c>
      <c r="I542" s="51" t="str">
        <f>"0x"&amp;AE_w_WORK!H29</f>
        <v>0x0000</v>
      </c>
      <c r="J542" s="41">
        <v>40473</v>
      </c>
      <c r="K542" s="42"/>
      <c r="M542" s="179"/>
      <c r="N542" s="179"/>
    </row>
    <row r="543" spans="2:14" hidden="1" outlineLevel="1">
      <c r="B543" s="178">
        <v>537</v>
      </c>
      <c r="C543" s="44"/>
      <c r="D543" s="45"/>
      <c r="E543" s="39" t="s">
        <v>325</v>
      </c>
      <c r="F543" s="180" t="s">
        <v>967</v>
      </c>
      <c r="G543" s="40" t="s">
        <v>66</v>
      </c>
      <c r="H543" s="46" t="s">
        <v>67</v>
      </c>
      <c r="I543" s="51" t="str">
        <f>"0x"&amp;AE_w_WORK!H30</f>
        <v>0x0000</v>
      </c>
      <c r="J543" s="41">
        <v>40473</v>
      </c>
      <c r="K543" s="42"/>
      <c r="M543" s="179"/>
      <c r="N543" s="179"/>
    </row>
    <row r="544" spans="2:14" hidden="1" outlineLevel="1">
      <c r="B544" s="178">
        <v>538</v>
      </c>
      <c r="C544" s="44"/>
      <c r="D544" s="45"/>
      <c r="E544" s="39" t="s">
        <v>325</v>
      </c>
      <c r="F544" s="180" t="s">
        <v>968</v>
      </c>
      <c r="G544" s="40" t="s">
        <v>68</v>
      </c>
      <c r="H544" s="46" t="s">
        <v>69</v>
      </c>
      <c r="I544" s="51" t="str">
        <f>"0x"&amp;AE_w_WORK!H31</f>
        <v>0x0000</v>
      </c>
      <c r="J544" s="41">
        <v>40473</v>
      </c>
      <c r="K544" s="42"/>
      <c r="M544" s="179"/>
      <c r="N544" s="179"/>
    </row>
    <row r="545" spans="2:14" hidden="1" outlineLevel="1">
      <c r="B545" s="178">
        <v>539</v>
      </c>
      <c r="C545" s="44"/>
      <c r="D545" s="45"/>
      <c r="E545" s="39" t="s">
        <v>325</v>
      </c>
      <c r="F545" s="180" t="s">
        <v>969</v>
      </c>
      <c r="G545" s="40" t="s">
        <v>70</v>
      </c>
      <c r="H545" s="46" t="s">
        <v>71</v>
      </c>
      <c r="I545" s="51" t="str">
        <f>"0x"&amp;AE_w_WORK!H32</f>
        <v>0x0000</v>
      </c>
      <c r="J545" s="41">
        <v>40473</v>
      </c>
      <c r="K545" s="42"/>
      <c r="M545" s="179"/>
      <c r="N545" s="179"/>
    </row>
    <row r="546" spans="2:14" hidden="1" outlineLevel="1">
      <c r="B546" s="178">
        <v>540</v>
      </c>
      <c r="C546" s="44"/>
      <c r="D546" s="45"/>
      <c r="E546" s="39" t="s">
        <v>325</v>
      </c>
      <c r="F546" s="180" t="s">
        <v>970</v>
      </c>
      <c r="G546" s="40" t="s">
        <v>72</v>
      </c>
      <c r="H546" s="46" t="s">
        <v>73</v>
      </c>
      <c r="I546" s="51" t="str">
        <f>"0x"&amp;AE_w_WORK!H33</f>
        <v>0x0000</v>
      </c>
      <c r="J546" s="41">
        <v>40473</v>
      </c>
      <c r="K546" s="42"/>
      <c r="M546" s="179"/>
      <c r="N546" s="179"/>
    </row>
    <row r="547" spans="2:14" hidden="1" outlineLevel="1">
      <c r="B547" s="178">
        <v>541</v>
      </c>
      <c r="C547" s="44"/>
      <c r="D547" s="45"/>
      <c r="E547" s="39" t="s">
        <v>325</v>
      </c>
      <c r="F547" s="180" t="s">
        <v>971</v>
      </c>
      <c r="G547" s="40" t="s">
        <v>74</v>
      </c>
      <c r="H547" s="46" t="s">
        <v>128</v>
      </c>
      <c r="I547" s="51" t="str">
        <f>"0x"&amp;AE_w_WORK!H34</f>
        <v>0x0000</v>
      </c>
      <c r="J547" s="41">
        <v>40473</v>
      </c>
      <c r="K547" s="42"/>
      <c r="M547" s="179"/>
      <c r="N547" s="179"/>
    </row>
    <row r="548" spans="2:14" hidden="1" outlineLevel="1">
      <c r="B548" s="178">
        <v>542</v>
      </c>
      <c r="C548" s="44"/>
      <c r="D548" s="45"/>
      <c r="E548" s="39" t="s">
        <v>325</v>
      </c>
      <c r="F548" s="180" t="s">
        <v>972</v>
      </c>
      <c r="G548" s="40" t="s">
        <v>129</v>
      </c>
      <c r="H548" s="46" t="s">
        <v>130</v>
      </c>
      <c r="I548" s="51" t="str">
        <f>"0x"&amp;AE_w_WORK!H35</f>
        <v>0x0000</v>
      </c>
      <c r="J548" s="41">
        <v>40473</v>
      </c>
      <c r="K548" s="42"/>
      <c r="M548" s="179"/>
      <c r="N548" s="179"/>
    </row>
    <row r="549" spans="2:14" hidden="1" outlineLevel="1">
      <c r="B549" s="178">
        <v>543</v>
      </c>
      <c r="C549" s="44"/>
      <c r="D549" s="45"/>
      <c r="E549" s="39" t="s">
        <v>325</v>
      </c>
      <c r="F549" s="180" t="s">
        <v>973</v>
      </c>
      <c r="G549" s="40" t="s">
        <v>131</v>
      </c>
      <c r="H549" s="46" t="s">
        <v>132</v>
      </c>
      <c r="I549" s="51" t="str">
        <f>"0x"&amp;AE_w_WORK!H36</f>
        <v>0x0000</v>
      </c>
      <c r="J549" s="41">
        <v>40473</v>
      </c>
      <c r="K549" s="42"/>
      <c r="M549" s="179"/>
      <c r="N549" s="179"/>
    </row>
    <row r="550" spans="2:14" hidden="1" outlineLevel="1">
      <c r="B550" s="178">
        <v>544</v>
      </c>
      <c r="C550" s="44"/>
      <c r="D550" s="45"/>
      <c r="E550" s="39" t="s">
        <v>325</v>
      </c>
      <c r="F550" s="180" t="s">
        <v>974</v>
      </c>
      <c r="G550" s="40" t="s">
        <v>133</v>
      </c>
      <c r="H550" s="46" t="s">
        <v>134</v>
      </c>
      <c r="I550" s="51" t="str">
        <f>"0x"&amp;AE_w_WORK!H37</f>
        <v>0x0000</v>
      </c>
      <c r="J550" s="41">
        <v>40473</v>
      </c>
      <c r="K550" s="42"/>
      <c r="M550" s="179"/>
      <c r="N550" s="179"/>
    </row>
    <row r="551" spans="2:14" hidden="1" outlineLevel="1">
      <c r="B551" s="178">
        <v>545</v>
      </c>
      <c r="C551" s="44"/>
      <c r="D551" s="45"/>
      <c r="E551" s="39" t="s">
        <v>325</v>
      </c>
      <c r="F551" s="180" t="s">
        <v>975</v>
      </c>
      <c r="G551" s="40" t="s">
        <v>135</v>
      </c>
      <c r="H551" s="46" t="s">
        <v>136</v>
      </c>
      <c r="I551" s="51" t="str">
        <f>"0x"&amp;AE_w_WORK!H38</f>
        <v>0x0000</v>
      </c>
      <c r="J551" s="41">
        <v>40473</v>
      </c>
      <c r="K551" s="42"/>
      <c r="M551" s="179"/>
      <c r="N551" s="179"/>
    </row>
    <row r="552" spans="2:14" hidden="1" outlineLevel="1">
      <c r="B552" s="178">
        <v>546</v>
      </c>
      <c r="C552" s="44"/>
      <c r="D552" s="45"/>
      <c r="E552" s="39" t="s">
        <v>325</v>
      </c>
      <c r="F552" s="180" t="s">
        <v>976</v>
      </c>
      <c r="G552" s="40" t="s">
        <v>137</v>
      </c>
      <c r="H552" s="46" t="s">
        <v>138</v>
      </c>
      <c r="I552" s="51" t="str">
        <f>"0x"&amp;AE_w_WORK!H39</f>
        <v>0x0000</v>
      </c>
      <c r="J552" s="41">
        <v>40473</v>
      </c>
      <c r="K552" s="42"/>
      <c r="M552" s="179"/>
      <c r="N552" s="179"/>
    </row>
    <row r="553" spans="2:14" hidden="1" outlineLevel="1">
      <c r="B553" s="178">
        <v>547</v>
      </c>
      <c r="C553" s="44"/>
      <c r="D553" s="45"/>
      <c r="E553" s="39" t="s">
        <v>325</v>
      </c>
      <c r="F553" s="180" t="s">
        <v>977</v>
      </c>
      <c r="G553" s="40" t="s">
        <v>139</v>
      </c>
      <c r="H553" s="46" t="s">
        <v>140</v>
      </c>
      <c r="I553" s="51" t="str">
        <f>"0x"&amp;AE_w_WORK!H40</f>
        <v>0x0000</v>
      </c>
      <c r="J553" s="41">
        <v>40473</v>
      </c>
      <c r="K553" s="42"/>
      <c r="M553" s="179"/>
      <c r="N553" s="179"/>
    </row>
    <row r="554" spans="2:14" hidden="1" outlineLevel="1">
      <c r="B554" s="178">
        <v>548</v>
      </c>
      <c r="C554" s="44"/>
      <c r="D554" s="45"/>
      <c r="E554" s="39" t="s">
        <v>325</v>
      </c>
      <c r="F554" s="180" t="s">
        <v>978</v>
      </c>
      <c r="G554" s="40" t="s">
        <v>141</v>
      </c>
      <c r="H554" s="46" t="s">
        <v>142</v>
      </c>
      <c r="I554" s="51" t="str">
        <f>"0x"&amp;AE_w_WORK!H41</f>
        <v>0x0000</v>
      </c>
      <c r="J554" s="41">
        <v>40473</v>
      </c>
      <c r="K554" s="42"/>
      <c r="M554" s="179"/>
      <c r="N554" s="179"/>
    </row>
    <row r="555" spans="2:14" hidden="1" outlineLevel="1">
      <c r="B555" s="178">
        <v>549</v>
      </c>
      <c r="C555" s="44"/>
      <c r="D555" s="45"/>
      <c r="E555" s="39" t="s">
        <v>325</v>
      </c>
      <c r="F555" s="180" t="s">
        <v>979</v>
      </c>
      <c r="G555" s="40" t="s">
        <v>143</v>
      </c>
      <c r="H555" s="46" t="s">
        <v>144</v>
      </c>
      <c r="I555" s="51" t="str">
        <f>"0x"&amp;AE_w_WORK!H42</f>
        <v>0x0000</v>
      </c>
      <c r="J555" s="41">
        <v>40473</v>
      </c>
      <c r="K555" s="42"/>
      <c r="M555" s="179"/>
      <c r="N555" s="179"/>
    </row>
    <row r="556" spans="2:14" hidden="1" outlineLevel="1">
      <c r="B556" s="178">
        <v>550</v>
      </c>
      <c r="C556" s="44"/>
      <c r="D556" s="45"/>
      <c r="E556" s="39" t="s">
        <v>325</v>
      </c>
      <c r="F556" s="180" t="s">
        <v>980</v>
      </c>
      <c r="G556" s="40" t="s">
        <v>145</v>
      </c>
      <c r="H556" s="46" t="s">
        <v>146</v>
      </c>
      <c r="I556" s="51" t="str">
        <f>"0x"&amp;AE_w_WORK!H43</f>
        <v>0x0000</v>
      </c>
      <c r="J556" s="41">
        <v>40473</v>
      </c>
      <c r="K556" s="42"/>
      <c r="M556" s="179"/>
      <c r="N556" s="179"/>
    </row>
    <row r="557" spans="2:14" hidden="1" outlineLevel="1">
      <c r="B557" s="178">
        <v>551</v>
      </c>
      <c r="C557" s="44"/>
      <c r="D557" s="45"/>
      <c r="E557" s="39" t="s">
        <v>325</v>
      </c>
      <c r="F557" s="180" t="s">
        <v>981</v>
      </c>
      <c r="G557" s="40" t="s">
        <v>147</v>
      </c>
      <c r="H557" s="46" t="s">
        <v>148</v>
      </c>
      <c r="I557" s="51" t="str">
        <f>"0x"&amp;AE_w_WORK!H44</f>
        <v>0x0000</v>
      </c>
      <c r="J557" s="41">
        <v>40473</v>
      </c>
      <c r="K557" s="42"/>
      <c r="M557" s="179"/>
      <c r="N557" s="179"/>
    </row>
    <row r="558" spans="2:14" hidden="1" outlineLevel="1">
      <c r="B558" s="178">
        <v>552</v>
      </c>
      <c r="C558" s="44"/>
      <c r="D558" s="45"/>
      <c r="E558" s="39" t="s">
        <v>325</v>
      </c>
      <c r="F558" s="180" t="s">
        <v>982</v>
      </c>
      <c r="G558" s="40" t="s">
        <v>149</v>
      </c>
      <c r="H558" s="46" t="s">
        <v>150</v>
      </c>
      <c r="I558" s="51" t="str">
        <f>"0x"&amp;AE_w_WORK!H45</f>
        <v>0x0000</v>
      </c>
      <c r="J558" s="41">
        <v>40473</v>
      </c>
      <c r="K558" s="42"/>
      <c r="M558" s="179"/>
      <c r="N558" s="179"/>
    </row>
    <row r="559" spans="2:14" hidden="1" outlineLevel="1">
      <c r="B559" s="178">
        <v>553</v>
      </c>
      <c r="C559" s="44"/>
      <c r="D559" s="45"/>
      <c r="E559" s="39" t="s">
        <v>325</v>
      </c>
      <c r="F559" s="180" t="s">
        <v>983</v>
      </c>
      <c r="G559" s="40" t="s">
        <v>151</v>
      </c>
      <c r="H559" s="46" t="s">
        <v>152</v>
      </c>
      <c r="I559" s="51" t="str">
        <f>"0x"&amp;AE_w_WORK!H46</f>
        <v>0x0000</v>
      </c>
      <c r="J559" s="41">
        <v>40473</v>
      </c>
      <c r="K559" s="42"/>
      <c r="M559" s="179"/>
      <c r="N559" s="179"/>
    </row>
    <row r="560" spans="2:14" hidden="1" outlineLevel="1">
      <c r="B560" s="178">
        <v>554</v>
      </c>
      <c r="C560" s="44"/>
      <c r="D560" s="45"/>
      <c r="E560" s="39" t="s">
        <v>325</v>
      </c>
      <c r="F560" s="180" t="s">
        <v>984</v>
      </c>
      <c r="G560" s="40" t="s">
        <v>153</v>
      </c>
      <c r="H560" s="46" t="s">
        <v>154</v>
      </c>
      <c r="I560" s="51" t="str">
        <f>"0x"&amp;AE_w_WORK!H47</f>
        <v>0x0000</v>
      </c>
      <c r="J560" s="41">
        <v>40473</v>
      </c>
      <c r="K560" s="42"/>
      <c r="M560" s="179"/>
      <c r="N560" s="179"/>
    </row>
    <row r="561" spans="2:14" hidden="1" outlineLevel="1">
      <c r="B561" s="178">
        <v>555</v>
      </c>
      <c r="C561" s="44"/>
      <c r="D561" s="45"/>
      <c r="E561" s="39" t="s">
        <v>325</v>
      </c>
      <c r="F561" s="180" t="s">
        <v>985</v>
      </c>
      <c r="G561" s="40" t="s">
        <v>155</v>
      </c>
      <c r="H561" s="46" t="s">
        <v>156</v>
      </c>
      <c r="I561" s="51" t="str">
        <f>"0x"&amp;AE_w_WORK!H48</f>
        <v>0x0000</v>
      </c>
      <c r="J561" s="41">
        <v>40473</v>
      </c>
      <c r="K561" s="42"/>
      <c r="M561" s="179"/>
      <c r="N561" s="179"/>
    </row>
    <row r="562" spans="2:14" hidden="1" outlineLevel="1">
      <c r="B562" s="178">
        <v>556</v>
      </c>
      <c r="C562" s="44"/>
      <c r="D562" s="45"/>
      <c r="E562" s="39" t="s">
        <v>325</v>
      </c>
      <c r="F562" s="180" t="s">
        <v>986</v>
      </c>
      <c r="G562" s="40" t="s">
        <v>157</v>
      </c>
      <c r="H562" s="46" t="s">
        <v>158</v>
      </c>
      <c r="I562" s="51" t="str">
        <f>"0x"&amp;AE_w_WORK!H49</f>
        <v>0x0000</v>
      </c>
      <c r="J562" s="41">
        <v>40473</v>
      </c>
      <c r="K562" s="42"/>
      <c r="M562" s="179"/>
      <c r="N562" s="179"/>
    </row>
    <row r="563" spans="2:14" hidden="1" outlineLevel="1">
      <c r="B563" s="178">
        <v>557</v>
      </c>
      <c r="C563" s="44"/>
      <c r="D563" s="45"/>
      <c r="E563" s="39" t="s">
        <v>325</v>
      </c>
      <c r="F563" s="180" t="s">
        <v>987</v>
      </c>
      <c r="G563" s="40" t="s">
        <v>159</v>
      </c>
      <c r="H563" s="46" t="s">
        <v>160</v>
      </c>
      <c r="I563" s="51" t="str">
        <f>"0x"&amp;AE_w_WORK!H50</f>
        <v>0x0000</v>
      </c>
      <c r="J563" s="41">
        <v>40473</v>
      </c>
      <c r="K563" s="42"/>
      <c r="M563" s="179"/>
      <c r="N563" s="179"/>
    </row>
    <row r="564" spans="2:14" hidden="1" outlineLevel="1">
      <c r="B564" s="178">
        <v>558</v>
      </c>
      <c r="C564" s="44"/>
      <c r="D564" s="45"/>
      <c r="E564" s="39" t="s">
        <v>325</v>
      </c>
      <c r="F564" s="180" t="s">
        <v>988</v>
      </c>
      <c r="G564" s="40" t="s">
        <v>161</v>
      </c>
      <c r="H564" s="46" t="s">
        <v>162</v>
      </c>
      <c r="I564" s="51" t="str">
        <f>"0x"&amp;AE_w_WORK!H51</f>
        <v>0x0000</v>
      </c>
      <c r="J564" s="41">
        <v>40473</v>
      </c>
      <c r="K564" s="42"/>
      <c r="M564" s="179"/>
      <c r="N564" s="179"/>
    </row>
    <row r="565" spans="2:14" hidden="1" outlineLevel="1">
      <c r="B565" s="178">
        <v>559</v>
      </c>
      <c r="C565" s="44"/>
      <c r="D565" s="45"/>
      <c r="E565" s="39" t="s">
        <v>325</v>
      </c>
      <c r="F565" s="180" t="s">
        <v>989</v>
      </c>
      <c r="G565" s="40" t="s">
        <v>163</v>
      </c>
      <c r="H565" s="46" t="s">
        <v>164</v>
      </c>
      <c r="I565" s="51" t="str">
        <f>"0x"&amp;AE_w_WORK!H52</f>
        <v>0x0000</v>
      </c>
      <c r="J565" s="41">
        <v>40473</v>
      </c>
      <c r="K565" s="42"/>
      <c r="M565" s="179"/>
      <c r="N565" s="179"/>
    </row>
    <row r="566" spans="2:14" hidden="1" outlineLevel="1">
      <c r="B566" s="178">
        <v>560</v>
      </c>
      <c r="C566" s="44"/>
      <c r="D566" s="45"/>
      <c r="E566" s="39" t="s">
        <v>325</v>
      </c>
      <c r="F566" s="180" t="s">
        <v>990</v>
      </c>
      <c r="G566" s="40" t="s">
        <v>165</v>
      </c>
      <c r="H566" s="46" t="s">
        <v>166</v>
      </c>
      <c r="I566" s="51" t="str">
        <f>"0x"&amp;AE_w_WORK!H53</f>
        <v>0x0000</v>
      </c>
      <c r="J566" s="41">
        <v>40473</v>
      </c>
      <c r="K566" s="42"/>
      <c r="M566" s="179"/>
      <c r="N566" s="179"/>
    </row>
    <row r="567" spans="2:14" hidden="1" outlineLevel="1">
      <c r="B567" s="178">
        <v>561</v>
      </c>
      <c r="C567" s="44"/>
      <c r="D567" s="45"/>
      <c r="E567" s="39" t="s">
        <v>325</v>
      </c>
      <c r="F567" s="180" t="s">
        <v>991</v>
      </c>
      <c r="G567" s="40" t="s">
        <v>167</v>
      </c>
      <c r="H567" s="46" t="s">
        <v>168</v>
      </c>
      <c r="I567" s="51" t="str">
        <f>"0x"&amp;AE_w_WORK!H54</f>
        <v>0x0000</v>
      </c>
      <c r="J567" s="41">
        <v>40473</v>
      </c>
      <c r="K567" s="42"/>
      <c r="M567" s="179"/>
      <c r="N567" s="179"/>
    </row>
    <row r="568" spans="2:14" hidden="1" outlineLevel="1">
      <c r="B568" s="178">
        <v>562</v>
      </c>
      <c r="C568" s="44"/>
      <c r="D568" s="45"/>
      <c r="E568" s="39" t="s">
        <v>325</v>
      </c>
      <c r="F568" s="180" t="s">
        <v>992</v>
      </c>
      <c r="G568" s="40" t="s">
        <v>169</v>
      </c>
      <c r="H568" s="46" t="s">
        <v>170</v>
      </c>
      <c r="I568" s="51" t="str">
        <f>"0x"&amp;AE_w_WORK!H55</f>
        <v>0x0000</v>
      </c>
      <c r="J568" s="41">
        <v>40473</v>
      </c>
      <c r="K568" s="42"/>
      <c r="M568" s="179"/>
      <c r="N568" s="179"/>
    </row>
    <row r="569" spans="2:14" hidden="1" outlineLevel="1">
      <c r="B569" s="178">
        <v>563</v>
      </c>
      <c r="C569" s="44"/>
      <c r="D569" s="45"/>
      <c r="E569" s="39" t="s">
        <v>325</v>
      </c>
      <c r="F569" s="180" t="s">
        <v>993</v>
      </c>
      <c r="G569" s="40" t="s">
        <v>171</v>
      </c>
      <c r="H569" s="46" t="s">
        <v>172</v>
      </c>
      <c r="I569" s="51" t="str">
        <f>"0x"&amp;AE_w_WORK!H56</f>
        <v>0x0000</v>
      </c>
      <c r="J569" s="41">
        <v>40473</v>
      </c>
      <c r="K569" s="42"/>
      <c r="M569" s="179"/>
      <c r="N569" s="179"/>
    </row>
    <row r="570" spans="2:14" hidden="1" outlineLevel="1">
      <c r="B570" s="178">
        <v>564</v>
      </c>
      <c r="C570" s="44"/>
      <c r="D570" s="45"/>
      <c r="E570" s="39" t="s">
        <v>325</v>
      </c>
      <c r="F570" s="180" t="s">
        <v>994</v>
      </c>
      <c r="G570" s="40" t="s">
        <v>173</v>
      </c>
      <c r="H570" s="46" t="s">
        <v>174</v>
      </c>
      <c r="I570" s="51" t="str">
        <f>"0x"&amp;AE_w_WORK!H57</f>
        <v>0x0000</v>
      </c>
      <c r="J570" s="41">
        <v>40473</v>
      </c>
      <c r="K570" s="42"/>
      <c r="M570" s="179"/>
      <c r="N570" s="179"/>
    </row>
    <row r="571" spans="2:14" hidden="1" outlineLevel="1">
      <c r="B571" s="178">
        <v>565</v>
      </c>
      <c r="C571" s="44"/>
      <c r="D571" s="45"/>
      <c r="E571" s="39" t="s">
        <v>325</v>
      </c>
      <c r="F571" s="180" t="s">
        <v>995</v>
      </c>
      <c r="G571" s="40" t="s">
        <v>175</v>
      </c>
      <c r="H571" s="46" t="s">
        <v>176</v>
      </c>
      <c r="I571" s="51" t="str">
        <f>"0x"&amp;AE_w_WORK!H58</f>
        <v>0x0000</v>
      </c>
      <c r="J571" s="41">
        <v>40473</v>
      </c>
      <c r="K571" s="42"/>
      <c r="M571" s="179"/>
      <c r="N571" s="179"/>
    </row>
    <row r="572" spans="2:14" hidden="1" outlineLevel="1">
      <c r="B572" s="178">
        <v>566</v>
      </c>
      <c r="C572" s="44"/>
      <c r="D572" s="45"/>
      <c r="E572" s="39" t="s">
        <v>325</v>
      </c>
      <c r="F572" s="180" t="s">
        <v>996</v>
      </c>
      <c r="G572" s="40" t="s">
        <v>177</v>
      </c>
      <c r="H572" s="46" t="s">
        <v>178</v>
      </c>
      <c r="I572" s="51" t="str">
        <f>"0x"&amp;AE_w_WORK!H59</f>
        <v>0x0000</v>
      </c>
      <c r="J572" s="41">
        <v>40473</v>
      </c>
      <c r="K572" s="42"/>
      <c r="M572" s="179"/>
      <c r="N572" s="179"/>
    </row>
    <row r="573" spans="2:14" hidden="1" outlineLevel="1">
      <c r="B573" s="178">
        <v>567</v>
      </c>
      <c r="C573" s="44"/>
      <c r="D573" s="45"/>
      <c r="E573" s="39" t="s">
        <v>325</v>
      </c>
      <c r="F573" s="180" t="s">
        <v>997</v>
      </c>
      <c r="G573" s="40" t="s">
        <v>179</v>
      </c>
      <c r="H573" s="46" t="s">
        <v>180</v>
      </c>
      <c r="I573" s="51" t="str">
        <f>"0x"&amp;AE_w_WORK!H60</f>
        <v>0x0000</v>
      </c>
      <c r="J573" s="41">
        <v>40473</v>
      </c>
      <c r="K573" s="42"/>
      <c r="M573" s="179"/>
      <c r="N573" s="179"/>
    </row>
    <row r="574" spans="2:14" hidden="1" outlineLevel="1">
      <c r="B574" s="178">
        <v>568</v>
      </c>
      <c r="C574" s="44"/>
      <c r="D574" s="45"/>
      <c r="E574" s="39" t="s">
        <v>325</v>
      </c>
      <c r="F574" s="180" t="s">
        <v>998</v>
      </c>
      <c r="G574" s="40" t="s">
        <v>181</v>
      </c>
      <c r="H574" s="46" t="s">
        <v>182</v>
      </c>
      <c r="I574" s="51" t="str">
        <f>"0x"&amp;AE_w_WORK!H61</f>
        <v>0x0000</v>
      </c>
      <c r="J574" s="41">
        <v>40473</v>
      </c>
      <c r="K574" s="42"/>
      <c r="M574" s="179"/>
      <c r="N574" s="179"/>
    </row>
    <row r="575" spans="2:14" hidden="1" outlineLevel="1">
      <c r="B575" s="178">
        <v>569</v>
      </c>
      <c r="C575" s="44"/>
      <c r="D575" s="45"/>
      <c r="E575" s="39" t="s">
        <v>325</v>
      </c>
      <c r="F575" s="180" t="s">
        <v>999</v>
      </c>
      <c r="G575" s="40" t="s">
        <v>183</v>
      </c>
      <c r="H575" s="46" t="s">
        <v>184</v>
      </c>
      <c r="I575" s="51" t="str">
        <f>"0x"&amp;AE_w_WORK!H62</f>
        <v>0x0000</v>
      </c>
      <c r="J575" s="41">
        <v>40473</v>
      </c>
      <c r="K575" s="42"/>
      <c r="M575" s="179"/>
      <c r="N575" s="179"/>
    </row>
    <row r="576" spans="2:14" hidden="1" outlineLevel="1">
      <c r="B576" s="178">
        <v>570</v>
      </c>
      <c r="C576" s="44"/>
      <c r="D576" s="45"/>
      <c r="E576" s="39" t="s">
        <v>325</v>
      </c>
      <c r="F576" s="180" t="s">
        <v>1000</v>
      </c>
      <c r="G576" s="40" t="s">
        <v>185</v>
      </c>
      <c r="H576" s="46" t="s">
        <v>186</v>
      </c>
      <c r="I576" s="51" t="str">
        <f>"0x"&amp;AE_w_WORK!H63</f>
        <v>0x000F</v>
      </c>
      <c r="J576" s="41">
        <v>40473</v>
      </c>
      <c r="K576" s="42"/>
      <c r="M576" s="179"/>
      <c r="N576" s="179"/>
    </row>
    <row r="577" spans="2:14" hidden="1" outlineLevel="1">
      <c r="B577" s="178">
        <v>571</v>
      </c>
      <c r="C577" s="44"/>
      <c r="D577" s="45"/>
      <c r="E577" s="39" t="s">
        <v>325</v>
      </c>
      <c r="F577" s="180" t="s">
        <v>1001</v>
      </c>
      <c r="G577" s="40" t="s">
        <v>187</v>
      </c>
      <c r="H577" s="46" t="s">
        <v>188</v>
      </c>
      <c r="I577" s="51" t="str">
        <f>"0x"&amp;AE_w_WORK!H64</f>
        <v>0xF000</v>
      </c>
      <c r="J577" s="41">
        <v>40473</v>
      </c>
      <c r="K577" s="42"/>
      <c r="M577" s="179"/>
      <c r="N577" s="179"/>
    </row>
    <row r="578" spans="2:14" hidden="1" outlineLevel="1">
      <c r="B578" s="178">
        <v>572</v>
      </c>
      <c r="C578" s="44"/>
      <c r="D578" s="45"/>
      <c r="E578" s="39" t="s">
        <v>325</v>
      </c>
      <c r="F578" s="180" t="s">
        <v>1002</v>
      </c>
      <c r="G578" s="40" t="s">
        <v>189</v>
      </c>
      <c r="H578" s="46" t="s">
        <v>190</v>
      </c>
      <c r="I578" s="51" t="str">
        <f>"0x"&amp;AE_w_WORK!H65</f>
        <v>0x0000</v>
      </c>
      <c r="J578" s="41">
        <v>40473</v>
      </c>
      <c r="K578" s="42"/>
      <c r="M578" s="179"/>
      <c r="N578" s="179"/>
    </row>
    <row r="579" spans="2:14" hidden="1" outlineLevel="1">
      <c r="B579" s="178">
        <v>573</v>
      </c>
      <c r="C579" s="44"/>
      <c r="D579" s="45"/>
      <c r="E579" s="39" t="s">
        <v>325</v>
      </c>
      <c r="F579" s="180" t="s">
        <v>1003</v>
      </c>
      <c r="G579" s="40" t="s">
        <v>191</v>
      </c>
      <c r="H579" s="46" t="s">
        <v>192</v>
      </c>
      <c r="I579" s="51" t="str">
        <f>"0x"&amp;AE_w_WORK!H66</f>
        <v>0x0000</v>
      </c>
      <c r="J579" s="41">
        <v>40473</v>
      </c>
      <c r="K579" s="42"/>
      <c r="M579" s="179"/>
      <c r="N579" s="179"/>
    </row>
    <row r="580" spans="2:14" hidden="1" outlineLevel="1">
      <c r="B580" s="178">
        <v>574</v>
      </c>
      <c r="C580" s="44"/>
      <c r="D580" s="45"/>
      <c r="E580" s="39" t="s">
        <v>325</v>
      </c>
      <c r="F580" s="180" t="s">
        <v>1004</v>
      </c>
      <c r="G580" s="40" t="s">
        <v>193</v>
      </c>
      <c r="H580" s="46" t="s">
        <v>194</v>
      </c>
      <c r="I580" s="51" t="str">
        <f>"0x"&amp;AE_w_WORK!H67</f>
        <v>0x000F</v>
      </c>
      <c r="J580" s="41">
        <v>40473</v>
      </c>
      <c r="K580" s="42"/>
      <c r="M580" s="179"/>
      <c r="N580" s="179"/>
    </row>
    <row r="581" spans="2:14" hidden="1" outlineLevel="1">
      <c r="B581" s="178">
        <v>575</v>
      </c>
      <c r="C581" s="44"/>
      <c r="D581" s="45"/>
      <c r="E581" s="39" t="s">
        <v>325</v>
      </c>
      <c r="F581" s="180" t="s">
        <v>1005</v>
      </c>
      <c r="G581" s="40" t="s">
        <v>195</v>
      </c>
      <c r="H581" s="46" t="s">
        <v>196</v>
      </c>
      <c r="I581" s="51" t="str">
        <f>"0x"&amp;AE_w_WORK!H68</f>
        <v>0xF000</v>
      </c>
      <c r="J581" s="41">
        <v>40473</v>
      </c>
      <c r="K581" s="42"/>
      <c r="M581" s="179"/>
      <c r="N581" s="179"/>
    </row>
    <row r="582" spans="2:14" hidden="1" outlineLevel="1">
      <c r="B582" s="178">
        <v>576</v>
      </c>
      <c r="C582" s="44"/>
      <c r="D582" s="45"/>
      <c r="E582" s="39" t="s">
        <v>325</v>
      </c>
      <c r="F582" s="180" t="s">
        <v>1006</v>
      </c>
      <c r="G582" s="40" t="s">
        <v>197</v>
      </c>
      <c r="H582" s="46" t="s">
        <v>198</v>
      </c>
      <c r="I582" s="51" t="str">
        <f>"0x"&amp;AE_w_WORK!H69</f>
        <v>0x0000</v>
      </c>
      <c r="J582" s="41">
        <v>40473</v>
      </c>
      <c r="K582" s="42"/>
      <c r="M582" s="179"/>
      <c r="N582" s="179"/>
    </row>
    <row r="583" spans="2:14" hidden="1" outlineLevel="1">
      <c r="B583" s="178">
        <v>577</v>
      </c>
      <c r="C583" s="44"/>
      <c r="D583" s="45"/>
      <c r="E583" s="39" t="s">
        <v>325</v>
      </c>
      <c r="F583" s="180" t="s">
        <v>1007</v>
      </c>
      <c r="G583" s="40" t="s">
        <v>199</v>
      </c>
      <c r="H583" s="46" t="s">
        <v>200</v>
      </c>
      <c r="I583" s="51" t="str">
        <f>"0x"&amp;AE_w_WORK!H70</f>
        <v>0x0000</v>
      </c>
      <c r="J583" s="41">
        <v>40473</v>
      </c>
      <c r="K583" s="42"/>
      <c r="M583" s="179"/>
      <c r="N583" s="179"/>
    </row>
    <row r="584" spans="2:14" hidden="1" outlineLevel="1">
      <c r="B584" s="178">
        <v>578</v>
      </c>
      <c r="C584" s="44"/>
      <c r="D584" s="45"/>
      <c r="E584" s="39" t="s">
        <v>325</v>
      </c>
      <c r="F584" s="180" t="s">
        <v>1008</v>
      </c>
      <c r="G584" s="40" t="s">
        <v>201</v>
      </c>
      <c r="H584" s="46" t="s">
        <v>202</v>
      </c>
      <c r="I584" s="51" t="str">
        <f>"0x"&amp;AE_w_WORK!H71</f>
        <v>0x000F</v>
      </c>
      <c r="J584" s="41">
        <v>40473</v>
      </c>
      <c r="K584" s="42"/>
      <c r="M584" s="179"/>
      <c r="N584" s="179"/>
    </row>
    <row r="585" spans="2:14" hidden="1" outlineLevel="1">
      <c r="B585" s="178">
        <v>579</v>
      </c>
      <c r="C585" s="44"/>
      <c r="D585" s="45"/>
      <c r="E585" s="39" t="s">
        <v>325</v>
      </c>
      <c r="F585" s="180" t="s">
        <v>1009</v>
      </c>
      <c r="G585" s="40" t="s">
        <v>203</v>
      </c>
      <c r="H585" s="46" t="s">
        <v>204</v>
      </c>
      <c r="I585" s="51" t="str">
        <f>"0x"&amp;AE_w_WORK!H72</f>
        <v>0xF000</v>
      </c>
      <c r="J585" s="41">
        <v>40473</v>
      </c>
      <c r="K585" s="42"/>
      <c r="M585" s="179"/>
      <c r="N585" s="179"/>
    </row>
    <row r="586" spans="2:14" hidden="1" outlineLevel="1">
      <c r="B586" s="178">
        <v>580</v>
      </c>
      <c r="C586" s="44"/>
      <c r="D586" s="45"/>
      <c r="E586" s="39" t="s">
        <v>325</v>
      </c>
      <c r="F586" s="180" t="s">
        <v>1010</v>
      </c>
      <c r="G586" s="40" t="s">
        <v>205</v>
      </c>
      <c r="H586" s="46" t="s">
        <v>206</v>
      </c>
      <c r="I586" s="51" t="str">
        <f>"0x"&amp;AE_w_WORK!H73</f>
        <v>0x0000</v>
      </c>
      <c r="J586" s="41">
        <v>40473</v>
      </c>
      <c r="K586" s="42"/>
      <c r="M586" s="179"/>
      <c r="N586" s="179"/>
    </row>
    <row r="587" spans="2:14" hidden="1" outlineLevel="1">
      <c r="B587" s="178">
        <v>581</v>
      </c>
      <c r="C587" s="44"/>
      <c r="D587" s="45"/>
      <c r="E587" s="39" t="s">
        <v>325</v>
      </c>
      <c r="F587" s="180" t="s">
        <v>1011</v>
      </c>
      <c r="G587" s="40" t="s">
        <v>207</v>
      </c>
      <c r="H587" s="46" t="s">
        <v>208</v>
      </c>
      <c r="I587" s="51" t="str">
        <f>"0x"&amp;AE_w_WORK!H74</f>
        <v>0x0000</v>
      </c>
      <c r="J587" s="41">
        <v>40473</v>
      </c>
      <c r="K587" s="42"/>
      <c r="M587" s="179"/>
      <c r="N587" s="179"/>
    </row>
    <row r="588" spans="2:14" hidden="1" outlineLevel="1">
      <c r="B588" s="178">
        <v>582</v>
      </c>
      <c r="C588" s="44"/>
      <c r="D588" s="45"/>
      <c r="E588" s="39" t="s">
        <v>325</v>
      </c>
      <c r="F588" s="180" t="s">
        <v>1012</v>
      </c>
      <c r="G588" s="40" t="s">
        <v>209</v>
      </c>
      <c r="H588" s="46" t="s">
        <v>210</v>
      </c>
      <c r="I588" s="51" t="str">
        <f>"0x"&amp;AE_w_WORK!H75</f>
        <v>0x000F</v>
      </c>
      <c r="J588" s="41">
        <v>40473</v>
      </c>
      <c r="K588" s="42"/>
      <c r="M588" s="179"/>
      <c r="N588" s="179"/>
    </row>
    <row r="589" spans="2:14" hidden="1" outlineLevel="1">
      <c r="B589" s="178">
        <v>583</v>
      </c>
      <c r="C589" s="44"/>
      <c r="D589" s="45"/>
      <c r="E589" s="39" t="s">
        <v>325</v>
      </c>
      <c r="F589" s="180" t="s">
        <v>1013</v>
      </c>
      <c r="G589" s="40" t="s">
        <v>211</v>
      </c>
      <c r="H589" s="46" t="s">
        <v>212</v>
      </c>
      <c r="I589" s="51" t="str">
        <f>"0x"&amp;AE_w_WORK!H76</f>
        <v>0xF000</v>
      </c>
      <c r="J589" s="41">
        <v>40473</v>
      </c>
      <c r="K589" s="42"/>
      <c r="M589" s="179"/>
      <c r="N589" s="179"/>
    </row>
    <row r="590" spans="2:14" hidden="1" outlineLevel="1">
      <c r="B590" s="178">
        <v>584</v>
      </c>
      <c r="C590" s="44"/>
      <c r="D590" s="45"/>
      <c r="E590" s="39" t="s">
        <v>325</v>
      </c>
      <c r="F590" s="180" t="s">
        <v>1014</v>
      </c>
      <c r="G590" s="40" t="s">
        <v>213</v>
      </c>
      <c r="H590" s="46" t="s">
        <v>214</v>
      </c>
      <c r="I590" s="51" t="str">
        <f>"0x"&amp;AE_w_WORK!H77</f>
        <v>0x0000</v>
      </c>
      <c r="J590" s="41">
        <v>40473</v>
      </c>
      <c r="K590" s="42"/>
      <c r="M590" s="179"/>
      <c r="N590" s="179"/>
    </row>
    <row r="591" spans="2:14" hidden="1" outlineLevel="1">
      <c r="B591" s="178">
        <v>585</v>
      </c>
      <c r="C591" s="44"/>
      <c r="D591" s="45"/>
      <c r="E591" s="39" t="s">
        <v>325</v>
      </c>
      <c r="F591" s="180" t="s">
        <v>1015</v>
      </c>
      <c r="G591" s="40" t="s">
        <v>215</v>
      </c>
      <c r="H591" s="46" t="s">
        <v>216</v>
      </c>
      <c r="I591" s="51" t="str">
        <f>"0x"&amp;AE_w_WORK!H78</f>
        <v>0x0000</v>
      </c>
      <c r="J591" s="41">
        <v>40473</v>
      </c>
      <c r="K591" s="42"/>
      <c r="M591" s="179"/>
      <c r="N591" s="179"/>
    </row>
    <row r="592" spans="2:14" hidden="1" outlineLevel="1">
      <c r="B592" s="178">
        <v>586</v>
      </c>
      <c r="C592" s="44"/>
      <c r="D592" s="45"/>
      <c r="E592" s="39" t="s">
        <v>325</v>
      </c>
      <c r="F592" s="180" t="s">
        <v>1016</v>
      </c>
      <c r="G592" s="40" t="s">
        <v>217</v>
      </c>
      <c r="H592" s="46" t="s">
        <v>218</v>
      </c>
      <c r="I592" s="51" t="str">
        <f>"0x"&amp;AE_w_WORK!H79</f>
        <v>0x0000</v>
      </c>
      <c r="J592" s="41">
        <v>40473</v>
      </c>
      <c r="K592" s="42"/>
      <c r="M592" s="179"/>
      <c r="N592" s="179"/>
    </row>
    <row r="593" spans="2:14" hidden="1" outlineLevel="1">
      <c r="B593" s="178">
        <v>587</v>
      </c>
      <c r="C593" s="44"/>
      <c r="D593" s="45"/>
      <c r="E593" s="39" t="s">
        <v>325</v>
      </c>
      <c r="F593" s="180" t="s">
        <v>1017</v>
      </c>
      <c r="G593" s="40" t="s">
        <v>219</v>
      </c>
      <c r="H593" s="46" t="s">
        <v>220</v>
      </c>
      <c r="I593" s="51" t="str">
        <f>"0x"&amp;AE_w_WORK!H80</f>
        <v>0x0000</v>
      </c>
      <c r="J593" s="41">
        <v>40473</v>
      </c>
      <c r="K593" s="42"/>
      <c r="M593" s="179"/>
      <c r="N593" s="179"/>
    </row>
    <row r="594" spans="2:14" hidden="1" outlineLevel="1">
      <c r="B594" s="178">
        <v>588</v>
      </c>
      <c r="C594" s="44"/>
      <c r="D594" s="45"/>
      <c r="E594" s="39" t="s">
        <v>325</v>
      </c>
      <c r="F594" s="180" t="s">
        <v>1018</v>
      </c>
      <c r="G594" s="40" t="s">
        <v>221</v>
      </c>
      <c r="H594" s="46" t="s">
        <v>222</v>
      </c>
      <c r="I594" s="51" t="str">
        <f>"0x"&amp;AE_w_WORK!H81</f>
        <v>0x0000</v>
      </c>
      <c r="J594" s="41">
        <v>40473</v>
      </c>
      <c r="K594" s="42"/>
      <c r="M594" s="179"/>
      <c r="N594" s="179"/>
    </row>
    <row r="595" spans="2:14" hidden="1" outlineLevel="1">
      <c r="B595" s="178">
        <v>589</v>
      </c>
      <c r="C595" s="44"/>
      <c r="D595" s="45"/>
      <c r="E595" s="39" t="s">
        <v>325</v>
      </c>
      <c r="F595" s="180" t="s">
        <v>1019</v>
      </c>
      <c r="G595" s="40" t="s">
        <v>223</v>
      </c>
      <c r="H595" s="46" t="s">
        <v>224</v>
      </c>
      <c r="I595" s="51" t="str">
        <f>"0x"&amp;AE_w_WORK!H82</f>
        <v>0x0000</v>
      </c>
      <c r="J595" s="41">
        <v>40473</v>
      </c>
      <c r="K595" s="42"/>
      <c r="M595" s="179"/>
      <c r="N595" s="179"/>
    </row>
    <row r="596" spans="2:14" hidden="1" outlineLevel="1">
      <c r="B596" s="178">
        <v>590</v>
      </c>
      <c r="C596" s="44"/>
      <c r="D596" s="45"/>
      <c r="E596" s="39" t="s">
        <v>325</v>
      </c>
      <c r="F596" s="180" t="s">
        <v>1020</v>
      </c>
      <c r="G596" s="40" t="s">
        <v>225</v>
      </c>
      <c r="H596" s="46" t="s">
        <v>226</v>
      </c>
      <c r="I596" s="51" t="str">
        <f>"0x"&amp;AE_w_WORK!H83</f>
        <v>0x0000</v>
      </c>
      <c r="J596" s="41">
        <v>40473</v>
      </c>
      <c r="K596" s="42"/>
      <c r="M596" s="179"/>
      <c r="N596" s="179"/>
    </row>
    <row r="597" spans="2:14" hidden="1" outlineLevel="1">
      <c r="B597" s="178">
        <v>591</v>
      </c>
      <c r="C597" s="44"/>
      <c r="D597" s="45"/>
      <c r="E597" s="39" t="s">
        <v>325</v>
      </c>
      <c r="F597" s="180" t="s">
        <v>1021</v>
      </c>
      <c r="G597" s="40" t="s">
        <v>227</v>
      </c>
      <c r="H597" s="46" t="s">
        <v>228</v>
      </c>
      <c r="I597" s="51" t="str">
        <f>"0x"&amp;AE_w_WORK!H84</f>
        <v>0x0000</v>
      </c>
      <c r="J597" s="41">
        <v>40473</v>
      </c>
      <c r="K597" s="42"/>
      <c r="M597" s="179"/>
      <c r="N597" s="179"/>
    </row>
    <row r="598" spans="2:14" hidden="1" outlineLevel="1">
      <c r="B598" s="178">
        <v>592</v>
      </c>
      <c r="C598" s="44"/>
      <c r="D598" s="45"/>
      <c r="E598" s="39" t="s">
        <v>325</v>
      </c>
      <c r="F598" s="180" t="s">
        <v>1022</v>
      </c>
      <c r="G598" s="40" t="s">
        <v>229</v>
      </c>
      <c r="H598" s="46" t="s">
        <v>230</v>
      </c>
      <c r="I598" s="51" t="str">
        <f>"0x"&amp;AE_w_WORK!H85</f>
        <v>0x0000</v>
      </c>
      <c r="J598" s="41">
        <v>40473</v>
      </c>
      <c r="K598" s="42"/>
      <c r="M598" s="179"/>
      <c r="N598" s="179"/>
    </row>
    <row r="599" spans="2:14" hidden="1" outlineLevel="1">
      <c r="B599" s="178">
        <v>593</v>
      </c>
      <c r="C599" s="44"/>
      <c r="D599" s="45"/>
      <c r="E599" s="39" t="s">
        <v>325</v>
      </c>
      <c r="F599" s="180" t="s">
        <v>1023</v>
      </c>
      <c r="G599" s="40" t="s">
        <v>231</v>
      </c>
      <c r="H599" s="46" t="s">
        <v>232</v>
      </c>
      <c r="I599" s="51" t="str">
        <f>"0x"&amp;AE_w_WORK!H86</f>
        <v>0x0000</v>
      </c>
      <c r="J599" s="41">
        <v>40473</v>
      </c>
      <c r="K599" s="42"/>
      <c r="M599" s="179"/>
      <c r="N599" s="179"/>
    </row>
    <row r="600" spans="2:14" hidden="1" outlineLevel="1">
      <c r="B600" s="178">
        <v>594</v>
      </c>
      <c r="C600" s="44"/>
      <c r="D600" s="45"/>
      <c r="E600" s="39" t="s">
        <v>325</v>
      </c>
      <c r="F600" s="180" t="s">
        <v>1024</v>
      </c>
      <c r="G600" s="40" t="s">
        <v>233</v>
      </c>
      <c r="H600" s="46" t="s">
        <v>234</v>
      </c>
      <c r="I600" s="51" t="str">
        <f>"0x"&amp;AE_w_WORK!H87</f>
        <v>0x0000</v>
      </c>
      <c r="J600" s="41">
        <v>40473</v>
      </c>
      <c r="K600" s="42"/>
      <c r="M600" s="179"/>
      <c r="N600" s="179"/>
    </row>
    <row r="601" spans="2:14" hidden="1" outlineLevel="1">
      <c r="B601" s="178">
        <v>595</v>
      </c>
      <c r="C601" s="44"/>
      <c r="D601" s="45"/>
      <c r="E601" s="39" t="s">
        <v>325</v>
      </c>
      <c r="F601" s="180" t="s">
        <v>1025</v>
      </c>
      <c r="G601" s="40" t="s">
        <v>235</v>
      </c>
      <c r="H601" s="46" t="s">
        <v>236</v>
      </c>
      <c r="I601" s="51" t="str">
        <f>"0x"&amp;AE_w_WORK!H88</f>
        <v>0x0000</v>
      </c>
      <c r="J601" s="41">
        <v>40473</v>
      </c>
      <c r="K601" s="42"/>
      <c r="M601" s="179"/>
      <c r="N601" s="179"/>
    </row>
    <row r="602" spans="2:14" hidden="1" outlineLevel="1">
      <c r="B602" s="178">
        <v>596</v>
      </c>
      <c r="C602" s="44"/>
      <c r="D602" s="45"/>
      <c r="E602" s="39" t="s">
        <v>325</v>
      </c>
      <c r="F602" s="180" t="s">
        <v>1026</v>
      </c>
      <c r="G602" s="40" t="s">
        <v>237</v>
      </c>
      <c r="H602" s="46" t="s">
        <v>238</v>
      </c>
      <c r="I602" s="51" t="str">
        <f>"0x"&amp;AE_w_WORK!H89</f>
        <v>0x0000</v>
      </c>
      <c r="J602" s="41">
        <v>40473</v>
      </c>
      <c r="K602" s="42"/>
      <c r="M602" s="179"/>
      <c r="N602" s="179"/>
    </row>
    <row r="603" spans="2:14" hidden="1" outlineLevel="1">
      <c r="B603" s="178">
        <v>597</v>
      </c>
      <c r="C603" s="44"/>
      <c r="D603" s="45"/>
      <c r="E603" s="39" t="s">
        <v>325</v>
      </c>
      <c r="F603" s="180" t="s">
        <v>1027</v>
      </c>
      <c r="G603" s="40" t="s">
        <v>239</v>
      </c>
      <c r="H603" s="46" t="s">
        <v>240</v>
      </c>
      <c r="I603" s="51" t="str">
        <f>"0x"&amp;AE_w_WORK!H90</f>
        <v>0x0000</v>
      </c>
      <c r="J603" s="41">
        <v>40473</v>
      </c>
      <c r="K603" s="42"/>
      <c r="M603" s="179"/>
      <c r="N603" s="179"/>
    </row>
    <row r="604" spans="2:14" hidden="1" outlineLevel="1">
      <c r="B604" s="178">
        <v>598</v>
      </c>
      <c r="C604" s="44"/>
      <c r="D604" s="45"/>
      <c r="E604" s="39" t="s">
        <v>325</v>
      </c>
      <c r="F604" s="180" t="s">
        <v>1028</v>
      </c>
      <c r="G604" s="40" t="s">
        <v>241</v>
      </c>
      <c r="H604" s="46" t="s">
        <v>242</v>
      </c>
      <c r="I604" s="51" t="str">
        <f>"0x"&amp;AE_w_WORK!H91</f>
        <v>0x0000</v>
      </c>
      <c r="J604" s="41">
        <v>40473</v>
      </c>
      <c r="K604" s="42"/>
      <c r="M604" s="179"/>
      <c r="N604" s="179"/>
    </row>
    <row r="605" spans="2:14" hidden="1" outlineLevel="1">
      <c r="B605" s="178">
        <v>599</v>
      </c>
      <c r="C605" s="44"/>
      <c r="D605" s="45"/>
      <c r="E605" s="39" t="s">
        <v>325</v>
      </c>
      <c r="F605" s="180" t="s">
        <v>1029</v>
      </c>
      <c r="G605" s="40" t="s">
        <v>243</v>
      </c>
      <c r="H605" s="46" t="s">
        <v>244</v>
      </c>
      <c r="I605" s="51" t="str">
        <f>"0x"&amp;AE_w_WORK!H92</f>
        <v>0x0000</v>
      </c>
      <c r="J605" s="41">
        <v>40473</v>
      </c>
      <c r="K605" s="42"/>
      <c r="M605" s="179"/>
      <c r="N605" s="179"/>
    </row>
    <row r="606" spans="2:14" hidden="1" outlineLevel="1">
      <c r="B606" s="178">
        <v>600</v>
      </c>
      <c r="C606" s="44"/>
      <c r="D606" s="45"/>
      <c r="E606" s="39" t="s">
        <v>325</v>
      </c>
      <c r="F606" s="180" t="s">
        <v>1030</v>
      </c>
      <c r="G606" s="40" t="s">
        <v>245</v>
      </c>
      <c r="H606" s="46" t="s">
        <v>246</v>
      </c>
      <c r="I606" s="51" t="str">
        <f>"0x"&amp;AE_w_WORK!H93</f>
        <v>0x0000</v>
      </c>
      <c r="J606" s="41">
        <v>40473</v>
      </c>
      <c r="K606" s="42"/>
      <c r="M606" s="179"/>
      <c r="N606" s="179"/>
    </row>
    <row r="607" spans="2:14" hidden="1" outlineLevel="1">
      <c r="B607" s="178">
        <v>601</v>
      </c>
      <c r="C607" s="44"/>
      <c r="D607" s="45"/>
      <c r="E607" s="39" t="s">
        <v>325</v>
      </c>
      <c r="F607" s="180" t="s">
        <v>1031</v>
      </c>
      <c r="G607" s="40" t="s">
        <v>247</v>
      </c>
      <c r="H607" s="46" t="s">
        <v>248</v>
      </c>
      <c r="I607" s="51" t="str">
        <f>"0x"&amp;AE_w_WORK!H94</f>
        <v>0x0000</v>
      </c>
      <c r="J607" s="41">
        <v>40473</v>
      </c>
      <c r="K607" s="42"/>
      <c r="M607" s="179"/>
      <c r="N607" s="179"/>
    </row>
    <row r="608" spans="2:14" hidden="1" outlineLevel="1">
      <c r="B608" s="178">
        <v>602</v>
      </c>
      <c r="C608" s="44"/>
      <c r="D608" s="45"/>
      <c r="E608" s="39" t="s">
        <v>325</v>
      </c>
      <c r="F608" s="180" t="s">
        <v>1032</v>
      </c>
      <c r="G608" s="40" t="s">
        <v>249</v>
      </c>
      <c r="H608" s="46" t="s">
        <v>250</v>
      </c>
      <c r="I608" s="51" t="str">
        <f>"0x"&amp;AE_w_WORK!H95</f>
        <v>0x0000</v>
      </c>
      <c r="J608" s="41">
        <v>40473</v>
      </c>
      <c r="K608" s="42"/>
      <c r="M608" s="179"/>
      <c r="N608" s="179"/>
    </row>
    <row r="609" spans="2:14" hidden="1" outlineLevel="1">
      <c r="B609" s="178">
        <v>603</v>
      </c>
      <c r="C609" s="44"/>
      <c r="D609" s="45"/>
      <c r="E609" s="39" t="s">
        <v>325</v>
      </c>
      <c r="F609" s="180" t="s">
        <v>1033</v>
      </c>
      <c r="G609" s="40" t="s">
        <v>251</v>
      </c>
      <c r="H609" s="46" t="s">
        <v>252</v>
      </c>
      <c r="I609" s="51" t="str">
        <f>"0x"&amp;AE_w_WORK!H96</f>
        <v>0x0000</v>
      </c>
      <c r="J609" s="41">
        <v>40473</v>
      </c>
      <c r="K609" s="42"/>
      <c r="M609" s="179"/>
      <c r="N609" s="179"/>
    </row>
    <row r="610" spans="2:14" hidden="1" outlineLevel="1">
      <c r="B610" s="178">
        <v>604</v>
      </c>
      <c r="C610" s="44"/>
      <c r="D610" s="45"/>
      <c r="E610" s="39" t="s">
        <v>325</v>
      </c>
      <c r="F610" s="180" t="s">
        <v>1034</v>
      </c>
      <c r="G610" s="40" t="s">
        <v>253</v>
      </c>
      <c r="H610" s="46" t="s">
        <v>254</v>
      </c>
      <c r="I610" s="51" t="str">
        <f>"0x"&amp;AE_w_WORK!H97</f>
        <v>0x0000</v>
      </c>
      <c r="J610" s="41">
        <v>40473</v>
      </c>
      <c r="K610" s="42"/>
      <c r="M610" s="179"/>
      <c r="N610" s="179"/>
    </row>
    <row r="611" spans="2:14" hidden="1" outlineLevel="1">
      <c r="B611" s="178">
        <v>605</v>
      </c>
      <c r="C611" s="44"/>
      <c r="D611" s="45"/>
      <c r="E611" s="39" t="s">
        <v>325</v>
      </c>
      <c r="F611" s="180" t="s">
        <v>1035</v>
      </c>
      <c r="G611" s="40" t="s">
        <v>255</v>
      </c>
      <c r="H611" s="46" t="s">
        <v>256</v>
      </c>
      <c r="I611" s="51" t="str">
        <f>"0x"&amp;AE_w_WORK!H98</f>
        <v>0x0000</v>
      </c>
      <c r="J611" s="41">
        <v>40473</v>
      </c>
      <c r="K611" s="42"/>
      <c r="M611" s="179"/>
      <c r="N611" s="179"/>
    </row>
    <row r="612" spans="2:14" hidden="1" outlineLevel="1">
      <c r="B612" s="178">
        <v>606</v>
      </c>
      <c r="C612" s="44"/>
      <c r="D612" s="45"/>
      <c r="E612" s="39" t="s">
        <v>325</v>
      </c>
      <c r="F612" s="180" t="s">
        <v>1036</v>
      </c>
      <c r="G612" s="40" t="s">
        <v>257</v>
      </c>
      <c r="H612" s="46" t="s">
        <v>258</v>
      </c>
      <c r="I612" s="51" t="str">
        <f>"0x"&amp;AE_w_WORK!H99</f>
        <v>0x0000</v>
      </c>
      <c r="J612" s="41">
        <v>40473</v>
      </c>
      <c r="K612" s="42"/>
      <c r="M612" s="179"/>
      <c r="N612" s="179"/>
    </row>
    <row r="613" spans="2:14" hidden="1" outlineLevel="1">
      <c r="B613" s="178">
        <v>607</v>
      </c>
      <c r="C613" s="44"/>
      <c r="D613" s="45"/>
      <c r="E613" s="39" t="s">
        <v>325</v>
      </c>
      <c r="F613" s="180" t="s">
        <v>1037</v>
      </c>
      <c r="G613" s="40" t="s">
        <v>259</v>
      </c>
      <c r="H613" s="46" t="s">
        <v>260</v>
      </c>
      <c r="I613" s="51" t="str">
        <f>"0x"&amp;AE_w_WORK!H100</f>
        <v>0x0000</v>
      </c>
      <c r="J613" s="41">
        <v>40473</v>
      </c>
      <c r="K613" s="42"/>
      <c r="M613" s="179"/>
      <c r="N613" s="179"/>
    </row>
    <row r="614" spans="2:14" hidden="1" outlineLevel="1">
      <c r="B614" s="178">
        <v>608</v>
      </c>
      <c r="C614" s="44"/>
      <c r="D614" s="45"/>
      <c r="E614" s="39" t="s">
        <v>325</v>
      </c>
      <c r="F614" s="180" t="s">
        <v>1038</v>
      </c>
      <c r="G614" s="40" t="s">
        <v>261</v>
      </c>
      <c r="H614" s="46" t="s">
        <v>262</v>
      </c>
      <c r="I614" s="51" t="str">
        <f>"0x"&amp;AE_w_WORK!H101</f>
        <v>0x0000</v>
      </c>
      <c r="J614" s="41">
        <v>40473</v>
      </c>
      <c r="K614" s="42"/>
      <c r="M614" s="179"/>
      <c r="N614" s="179"/>
    </row>
    <row r="615" spans="2:14" hidden="1" outlineLevel="1">
      <c r="B615" s="178">
        <v>609</v>
      </c>
      <c r="C615" s="44"/>
      <c r="D615" s="45"/>
      <c r="E615" s="39" t="s">
        <v>325</v>
      </c>
      <c r="F615" s="180" t="s">
        <v>1039</v>
      </c>
      <c r="G615" s="40" t="s">
        <v>263</v>
      </c>
      <c r="H615" s="46" t="s">
        <v>81</v>
      </c>
      <c r="I615" s="51" t="str">
        <f>"0x"&amp;AE_w_WORK!H102</f>
        <v>0x0000</v>
      </c>
      <c r="J615" s="41">
        <v>40473</v>
      </c>
      <c r="K615" s="42"/>
      <c r="M615" s="179"/>
      <c r="N615" s="179"/>
    </row>
    <row r="616" spans="2:14" hidden="1" outlineLevel="1">
      <c r="B616" s="178">
        <v>610</v>
      </c>
      <c r="C616" s="44"/>
      <c r="D616" s="45"/>
      <c r="E616" s="39" t="s">
        <v>325</v>
      </c>
      <c r="F616" s="180" t="s">
        <v>1040</v>
      </c>
      <c r="G616" s="40" t="s">
        <v>82</v>
      </c>
      <c r="H616" s="46" t="s">
        <v>83</v>
      </c>
      <c r="I616" s="51" t="str">
        <f>"0x"&amp;AE_w_WORK!H103</f>
        <v>0x0000</v>
      </c>
      <c r="J616" s="41">
        <v>40473</v>
      </c>
      <c r="K616" s="42"/>
      <c r="M616" s="179"/>
      <c r="N616" s="179"/>
    </row>
    <row r="617" spans="2:14" hidden="1" outlineLevel="1">
      <c r="B617" s="178">
        <v>611</v>
      </c>
      <c r="C617" s="44"/>
      <c r="D617" s="45"/>
      <c r="E617" s="39" t="s">
        <v>325</v>
      </c>
      <c r="F617" s="180" t="s">
        <v>1041</v>
      </c>
      <c r="G617" s="40" t="s">
        <v>84</v>
      </c>
      <c r="H617" s="46" t="s">
        <v>85</v>
      </c>
      <c r="I617" s="51" t="str">
        <f>"0x"&amp;AE_w_WORK!H104</f>
        <v>0x0000</v>
      </c>
      <c r="J617" s="41">
        <v>40473</v>
      </c>
      <c r="K617" s="42"/>
      <c r="M617" s="179"/>
      <c r="N617" s="179"/>
    </row>
    <row r="618" spans="2:14" hidden="1" outlineLevel="1">
      <c r="B618" s="178">
        <v>612</v>
      </c>
      <c r="C618" s="44"/>
      <c r="D618" s="45"/>
      <c r="E618" s="39" t="s">
        <v>325</v>
      </c>
      <c r="F618" s="180" t="s">
        <v>1042</v>
      </c>
      <c r="G618" s="40" t="s">
        <v>86</v>
      </c>
      <c r="H618" s="46" t="s">
        <v>87</v>
      </c>
      <c r="I618" s="51" t="str">
        <f>"0x"&amp;AE_w_WORK!H105</f>
        <v>0x0000</v>
      </c>
      <c r="J618" s="41">
        <v>40473</v>
      </c>
      <c r="K618" s="42"/>
      <c r="M618" s="179"/>
      <c r="N618" s="179"/>
    </row>
    <row r="619" spans="2:14" hidden="1" outlineLevel="1">
      <c r="B619" s="178">
        <v>613</v>
      </c>
      <c r="C619" s="44"/>
      <c r="D619" s="45"/>
      <c r="E619" s="39" t="s">
        <v>325</v>
      </c>
      <c r="F619" s="180" t="s">
        <v>1043</v>
      </c>
      <c r="G619" s="40" t="s">
        <v>88</v>
      </c>
      <c r="H619" s="46" t="s">
        <v>89</v>
      </c>
      <c r="I619" s="51" t="str">
        <f>"0x"&amp;AE_w_WORK!H106</f>
        <v>0x0000</v>
      </c>
      <c r="J619" s="41">
        <v>40473</v>
      </c>
      <c r="K619" s="42"/>
      <c r="M619" s="179"/>
      <c r="N619" s="179"/>
    </row>
    <row r="620" spans="2:14" hidden="1" outlineLevel="1">
      <c r="B620" s="178">
        <v>614</v>
      </c>
      <c r="C620" s="44"/>
      <c r="D620" s="45"/>
      <c r="E620" s="39" t="s">
        <v>325</v>
      </c>
      <c r="F620" s="180" t="s">
        <v>1044</v>
      </c>
      <c r="G620" s="40" t="s">
        <v>90</v>
      </c>
      <c r="H620" s="46" t="s">
        <v>91</v>
      </c>
      <c r="I620" s="51" t="str">
        <f>"0x"&amp;AE_w_WORK!H107</f>
        <v>0x0000</v>
      </c>
      <c r="J620" s="41">
        <v>40473</v>
      </c>
      <c r="K620" s="42"/>
      <c r="M620" s="179"/>
      <c r="N620" s="179"/>
    </row>
    <row r="621" spans="2:14" hidden="1" outlineLevel="1">
      <c r="B621" s="178">
        <v>615</v>
      </c>
      <c r="C621" s="44"/>
      <c r="D621" s="45"/>
      <c r="E621" s="39" t="s">
        <v>325</v>
      </c>
      <c r="F621" s="180" t="s">
        <v>1045</v>
      </c>
      <c r="G621" s="40" t="s">
        <v>92</v>
      </c>
      <c r="H621" s="46" t="s">
        <v>93</v>
      </c>
      <c r="I621" s="51" t="str">
        <f>"0x"&amp;AE_w_WORK!H108</f>
        <v>0x0000</v>
      </c>
      <c r="J621" s="41">
        <v>40473</v>
      </c>
      <c r="K621" s="42"/>
      <c r="M621" s="179"/>
      <c r="N621" s="179"/>
    </row>
    <row r="622" spans="2:14" hidden="1" outlineLevel="1">
      <c r="B622" s="178">
        <v>616</v>
      </c>
      <c r="C622" s="44"/>
      <c r="D622" s="45"/>
      <c r="E622" s="39" t="s">
        <v>325</v>
      </c>
      <c r="F622" s="180" t="s">
        <v>1046</v>
      </c>
      <c r="G622" s="40" t="s">
        <v>94</v>
      </c>
      <c r="H622" s="46" t="s">
        <v>95</v>
      </c>
      <c r="I622" s="51" t="str">
        <f>"0x"&amp;AE_w_WORK!H109</f>
        <v>0x0000</v>
      </c>
      <c r="J622" s="41">
        <v>40473</v>
      </c>
      <c r="K622" s="42"/>
      <c r="M622" s="179"/>
      <c r="N622" s="179"/>
    </row>
    <row r="623" spans="2:14" hidden="1" outlineLevel="1">
      <c r="B623" s="178">
        <v>617</v>
      </c>
      <c r="C623" s="44"/>
      <c r="D623" s="45"/>
      <c r="E623" s="39" t="s">
        <v>325</v>
      </c>
      <c r="F623" s="180" t="s">
        <v>1047</v>
      </c>
      <c r="G623" s="40" t="s">
        <v>96</v>
      </c>
      <c r="H623" s="46" t="s">
        <v>97</v>
      </c>
      <c r="I623" s="51" t="str">
        <f>"0x"&amp;AE_w_WORK!H110</f>
        <v>0x0000</v>
      </c>
      <c r="J623" s="41">
        <v>40473</v>
      </c>
      <c r="K623" s="42"/>
      <c r="M623" s="179"/>
      <c r="N623" s="179"/>
    </row>
    <row r="624" spans="2:14" hidden="1" outlineLevel="1">
      <c r="B624" s="178">
        <v>618</v>
      </c>
      <c r="C624" s="44"/>
      <c r="D624" s="45"/>
      <c r="E624" s="39" t="s">
        <v>325</v>
      </c>
      <c r="F624" s="180" t="s">
        <v>1048</v>
      </c>
      <c r="G624" s="40" t="s">
        <v>98</v>
      </c>
      <c r="H624" s="46" t="s">
        <v>99</v>
      </c>
      <c r="I624" s="51" t="str">
        <f>"0x"&amp;AE_w_WORK!H111</f>
        <v>0x0000</v>
      </c>
      <c r="J624" s="41">
        <v>40473</v>
      </c>
      <c r="K624" s="42"/>
      <c r="M624" s="179"/>
      <c r="N624" s="179"/>
    </row>
    <row r="625" spans="2:14" hidden="1" outlineLevel="1">
      <c r="B625" s="178">
        <v>619</v>
      </c>
      <c r="C625" s="44"/>
      <c r="D625" s="45"/>
      <c r="E625" s="39" t="s">
        <v>325</v>
      </c>
      <c r="F625" s="180" t="s">
        <v>1049</v>
      </c>
      <c r="G625" s="40" t="s">
        <v>100</v>
      </c>
      <c r="H625" s="46" t="s">
        <v>101</v>
      </c>
      <c r="I625" s="51" t="str">
        <f>"0x"&amp;AE_w_WORK!H112</f>
        <v>0x0000</v>
      </c>
      <c r="J625" s="41">
        <v>40473</v>
      </c>
      <c r="K625" s="42"/>
      <c r="M625" s="179"/>
      <c r="N625" s="179"/>
    </row>
    <row r="626" spans="2:14" hidden="1" outlineLevel="1">
      <c r="B626" s="178">
        <v>620</v>
      </c>
      <c r="C626" s="44"/>
      <c r="D626" s="45"/>
      <c r="E626" s="39" t="s">
        <v>325</v>
      </c>
      <c r="F626" s="180" t="s">
        <v>1050</v>
      </c>
      <c r="G626" s="40" t="s">
        <v>102</v>
      </c>
      <c r="H626" s="46" t="s">
        <v>103</v>
      </c>
      <c r="I626" s="51" t="str">
        <f>"0x"&amp;AE_w_WORK!H113</f>
        <v>0x0000</v>
      </c>
      <c r="J626" s="41">
        <v>40473</v>
      </c>
      <c r="K626" s="42"/>
      <c r="M626" s="179"/>
      <c r="N626" s="179"/>
    </row>
    <row r="627" spans="2:14" hidden="1" outlineLevel="1">
      <c r="B627" s="178">
        <v>621</v>
      </c>
      <c r="C627" s="44"/>
      <c r="D627" s="45"/>
      <c r="E627" s="39" t="s">
        <v>325</v>
      </c>
      <c r="F627" s="180" t="s">
        <v>1051</v>
      </c>
      <c r="G627" s="40" t="s">
        <v>104</v>
      </c>
      <c r="H627" s="46" t="s">
        <v>105</v>
      </c>
      <c r="I627" s="51" t="str">
        <f>"0x"&amp;AE_w_WORK!H114</f>
        <v>0x0000</v>
      </c>
      <c r="J627" s="41">
        <v>40473</v>
      </c>
      <c r="K627" s="42"/>
      <c r="M627" s="179"/>
      <c r="N627" s="179"/>
    </row>
    <row r="628" spans="2:14" hidden="1" outlineLevel="1">
      <c r="B628" s="178">
        <v>622</v>
      </c>
      <c r="C628" s="44"/>
      <c r="D628" s="45"/>
      <c r="E628" s="39" t="s">
        <v>325</v>
      </c>
      <c r="F628" s="180" t="s">
        <v>1052</v>
      </c>
      <c r="G628" s="40" t="s">
        <v>106</v>
      </c>
      <c r="H628" s="46" t="s">
        <v>107</v>
      </c>
      <c r="I628" s="51" t="str">
        <f>"0x"&amp;AE_w_WORK!H115</f>
        <v>0x0000</v>
      </c>
      <c r="J628" s="41">
        <v>40473</v>
      </c>
      <c r="K628" s="42"/>
      <c r="M628" s="179"/>
      <c r="N628" s="179"/>
    </row>
    <row r="629" spans="2:14" hidden="1" outlineLevel="1">
      <c r="B629" s="178">
        <v>623</v>
      </c>
      <c r="C629" s="44"/>
      <c r="D629" s="45"/>
      <c r="E629" s="39" t="s">
        <v>325</v>
      </c>
      <c r="F629" s="180" t="s">
        <v>1053</v>
      </c>
      <c r="G629" s="40" t="s">
        <v>108</v>
      </c>
      <c r="H629" s="46" t="s">
        <v>109</v>
      </c>
      <c r="I629" s="51" t="str">
        <f>"0x"&amp;AE_w_WORK!H116</f>
        <v>0x0000</v>
      </c>
      <c r="J629" s="41">
        <v>40473</v>
      </c>
      <c r="K629" s="42"/>
      <c r="M629" s="179"/>
      <c r="N629" s="179"/>
    </row>
    <row r="630" spans="2:14" hidden="1" outlineLevel="1">
      <c r="B630" s="178">
        <v>624</v>
      </c>
      <c r="C630" s="44"/>
      <c r="D630" s="45"/>
      <c r="E630" s="39" t="s">
        <v>325</v>
      </c>
      <c r="F630" s="180" t="s">
        <v>1054</v>
      </c>
      <c r="G630" s="40" t="s">
        <v>110</v>
      </c>
      <c r="H630" s="46" t="s">
        <v>111</v>
      </c>
      <c r="I630" s="51" t="str">
        <f>"0x"&amp;AE_w_WORK!H117</f>
        <v>0x0000</v>
      </c>
      <c r="J630" s="41">
        <v>40473</v>
      </c>
      <c r="K630" s="42"/>
      <c r="M630" s="179"/>
      <c r="N630" s="179"/>
    </row>
    <row r="631" spans="2:14" hidden="1" outlineLevel="1">
      <c r="B631" s="178">
        <v>625</v>
      </c>
      <c r="C631" s="44"/>
      <c r="D631" s="45"/>
      <c r="E631" s="39" t="s">
        <v>325</v>
      </c>
      <c r="F631" s="180" t="s">
        <v>1055</v>
      </c>
      <c r="G631" s="40" t="s">
        <v>112</v>
      </c>
      <c r="H631" s="46" t="s">
        <v>113</v>
      </c>
      <c r="I631" s="51" t="str">
        <f>"0x"&amp;AE_w_WORK!H118</f>
        <v>0x0000</v>
      </c>
      <c r="J631" s="41">
        <v>40473</v>
      </c>
      <c r="K631" s="42"/>
      <c r="M631" s="179"/>
      <c r="N631" s="179"/>
    </row>
    <row r="632" spans="2:14" hidden="1" outlineLevel="1">
      <c r="B632" s="178">
        <v>626</v>
      </c>
      <c r="C632" s="44"/>
      <c r="D632" s="45"/>
      <c r="E632" s="39" t="s">
        <v>325</v>
      </c>
      <c r="F632" s="180" t="s">
        <v>1056</v>
      </c>
      <c r="G632" s="40" t="s">
        <v>114</v>
      </c>
      <c r="H632" s="46" t="s">
        <v>115</v>
      </c>
      <c r="I632" s="51" t="str">
        <f>"0x"&amp;AE_w_WORK!H119</f>
        <v>0x0000</v>
      </c>
      <c r="J632" s="41">
        <v>40473</v>
      </c>
      <c r="K632" s="42"/>
      <c r="M632" s="179"/>
      <c r="N632" s="179"/>
    </row>
    <row r="633" spans="2:14" hidden="1" outlineLevel="1">
      <c r="B633" s="178">
        <v>627</v>
      </c>
      <c r="C633" s="44"/>
      <c r="D633" s="45"/>
      <c r="E633" s="39" t="s">
        <v>325</v>
      </c>
      <c r="F633" s="180" t="s">
        <v>1057</v>
      </c>
      <c r="G633" s="40" t="s">
        <v>116</v>
      </c>
      <c r="H633" s="46" t="s">
        <v>117</v>
      </c>
      <c r="I633" s="51" t="str">
        <f>"0x"&amp;AE_w_WORK!H120</f>
        <v>0x0000</v>
      </c>
      <c r="J633" s="41">
        <v>40473</v>
      </c>
      <c r="K633" s="42"/>
      <c r="M633" s="179"/>
      <c r="N633" s="179"/>
    </row>
    <row r="634" spans="2:14" hidden="1" outlineLevel="1">
      <c r="B634" s="178">
        <v>628</v>
      </c>
      <c r="C634" s="44"/>
      <c r="D634" s="45"/>
      <c r="E634" s="39" t="s">
        <v>325</v>
      </c>
      <c r="F634" s="180" t="s">
        <v>1058</v>
      </c>
      <c r="G634" s="40" t="s">
        <v>118</v>
      </c>
      <c r="H634" s="46" t="s">
        <v>119</v>
      </c>
      <c r="I634" s="51" t="str">
        <f>"0x"&amp;AE_w_WORK!H121</f>
        <v>0x0000</v>
      </c>
      <c r="J634" s="41">
        <v>40473</v>
      </c>
      <c r="K634" s="42"/>
      <c r="M634" s="179"/>
      <c r="N634" s="179"/>
    </row>
    <row r="635" spans="2:14" hidden="1" outlineLevel="1">
      <c r="B635" s="178">
        <v>629</v>
      </c>
      <c r="C635" s="44"/>
      <c r="D635" s="45"/>
      <c r="E635" s="39" t="s">
        <v>325</v>
      </c>
      <c r="F635" s="180" t="s">
        <v>1059</v>
      </c>
      <c r="G635" s="40" t="s">
        <v>120</v>
      </c>
      <c r="H635" s="46" t="s">
        <v>264</v>
      </c>
      <c r="I635" s="51" t="str">
        <f>"0x"&amp;AE_w_WORK!H122</f>
        <v>0x0000</v>
      </c>
      <c r="J635" s="41">
        <v>40473</v>
      </c>
      <c r="K635" s="42"/>
      <c r="M635" s="179"/>
      <c r="N635" s="179"/>
    </row>
    <row r="636" spans="2:14" hidden="1" outlineLevel="1">
      <c r="B636" s="178">
        <v>630</v>
      </c>
      <c r="C636" s="44"/>
      <c r="D636" s="45"/>
      <c r="E636" s="39" t="s">
        <v>325</v>
      </c>
      <c r="F636" s="180" t="s">
        <v>1060</v>
      </c>
      <c r="G636" s="40" t="s">
        <v>0</v>
      </c>
      <c r="H636" s="46" t="s">
        <v>1</v>
      </c>
      <c r="I636" s="51" t="str">
        <f>"0x"&amp;AE_w_WORK!H123</f>
        <v>0x0000</v>
      </c>
      <c r="J636" s="41">
        <v>40473</v>
      </c>
      <c r="K636" s="42"/>
      <c r="M636" s="179"/>
      <c r="N636" s="179"/>
    </row>
    <row r="637" spans="2:14" hidden="1" outlineLevel="1">
      <c r="B637" s="178">
        <v>631</v>
      </c>
      <c r="C637" s="44"/>
      <c r="D637" s="45"/>
      <c r="E637" s="39" t="s">
        <v>325</v>
      </c>
      <c r="F637" s="180" t="s">
        <v>1061</v>
      </c>
      <c r="G637" s="40" t="s">
        <v>2</v>
      </c>
      <c r="H637" s="46" t="s">
        <v>3</v>
      </c>
      <c r="I637" s="51" t="str">
        <f>"0x"&amp;AE_w_WORK!H124</f>
        <v>0x0000</v>
      </c>
      <c r="J637" s="41">
        <v>40473</v>
      </c>
      <c r="K637" s="42"/>
      <c r="M637" s="179"/>
      <c r="N637" s="179"/>
    </row>
    <row r="638" spans="2:14" hidden="1" outlineLevel="1">
      <c r="B638" s="178">
        <v>632</v>
      </c>
      <c r="C638" s="44"/>
      <c r="D638" s="45"/>
      <c r="E638" s="39" t="s">
        <v>325</v>
      </c>
      <c r="F638" s="180" t="s">
        <v>1062</v>
      </c>
      <c r="G638" s="40" t="s">
        <v>4</v>
      </c>
      <c r="H638" s="46" t="s">
        <v>5</v>
      </c>
      <c r="I638" s="51" t="str">
        <f>"0x"&amp;AE_w_WORK!H125</f>
        <v>0x0000</v>
      </c>
      <c r="J638" s="41">
        <v>40473</v>
      </c>
      <c r="K638" s="42"/>
      <c r="M638" s="179"/>
      <c r="N638" s="179"/>
    </row>
    <row r="639" spans="2:14" hidden="1" outlineLevel="1">
      <c r="B639" s="178">
        <v>633</v>
      </c>
      <c r="C639" s="44"/>
      <c r="D639" s="45"/>
      <c r="E639" s="39" t="s">
        <v>325</v>
      </c>
      <c r="F639" s="180" t="s">
        <v>1063</v>
      </c>
      <c r="G639" s="40" t="s">
        <v>6</v>
      </c>
      <c r="H639" s="46" t="s">
        <v>7</v>
      </c>
      <c r="I639" s="51" t="str">
        <f>"0x"&amp;AE_w_WORK!H126</f>
        <v>0x0000</v>
      </c>
      <c r="J639" s="41">
        <v>40473</v>
      </c>
      <c r="K639" s="42"/>
      <c r="M639" s="179"/>
      <c r="N639" s="179"/>
    </row>
    <row r="640" spans="2:14" hidden="1" outlineLevel="1">
      <c r="B640" s="178">
        <v>634</v>
      </c>
      <c r="C640" s="44"/>
      <c r="D640" s="45"/>
      <c r="E640" s="39" t="s">
        <v>325</v>
      </c>
      <c r="F640" s="180" t="s">
        <v>1064</v>
      </c>
      <c r="G640" s="40" t="s">
        <v>8</v>
      </c>
      <c r="H640" s="46" t="s">
        <v>9</v>
      </c>
      <c r="I640" s="51" t="str">
        <f>"0x"&amp;AE_w_WORK!H127</f>
        <v>0x0000</v>
      </c>
      <c r="J640" s="41">
        <v>40473</v>
      </c>
      <c r="K640" s="42"/>
      <c r="M640" s="179"/>
      <c r="N640" s="179"/>
    </row>
    <row r="641" spans="2:14" hidden="1" outlineLevel="1">
      <c r="B641" s="178">
        <v>635</v>
      </c>
      <c r="C641" s="44"/>
      <c r="D641" s="45"/>
      <c r="E641" s="39" t="s">
        <v>325</v>
      </c>
      <c r="F641" s="180" t="s">
        <v>1065</v>
      </c>
      <c r="G641" s="40" t="s">
        <v>10</v>
      </c>
      <c r="H641" s="46" t="s">
        <v>11</v>
      </c>
      <c r="I641" s="51" t="str">
        <f>"0x"&amp;AE_w_WORK!H128</f>
        <v>0x0000</v>
      </c>
      <c r="J641" s="41">
        <v>40473</v>
      </c>
      <c r="K641" s="42"/>
      <c r="M641" s="179"/>
      <c r="N641" s="179"/>
    </row>
    <row r="642" spans="2:14" hidden="1" outlineLevel="1">
      <c r="B642" s="178">
        <v>636</v>
      </c>
      <c r="C642" s="44"/>
      <c r="D642" s="45"/>
      <c r="E642" s="39" t="s">
        <v>325</v>
      </c>
      <c r="F642" s="180" t="s">
        <v>1066</v>
      </c>
      <c r="G642" s="40" t="s">
        <v>12</v>
      </c>
      <c r="H642" s="46" t="s">
        <v>13</v>
      </c>
      <c r="I642" s="51" t="str">
        <f>"0x"&amp;AE_w_WORK!H129</f>
        <v>0x0000</v>
      </c>
      <c r="J642" s="41">
        <v>40473</v>
      </c>
      <c r="K642" s="42"/>
      <c r="M642" s="179"/>
      <c r="N642" s="179"/>
    </row>
    <row r="643" spans="2:14" hidden="1" outlineLevel="1">
      <c r="B643" s="178">
        <v>637</v>
      </c>
      <c r="C643" s="44"/>
      <c r="D643" s="45"/>
      <c r="E643" s="39" t="s">
        <v>325</v>
      </c>
      <c r="F643" s="180" t="s">
        <v>1067</v>
      </c>
      <c r="G643" s="40" t="s">
        <v>14</v>
      </c>
      <c r="H643" s="46" t="s">
        <v>15</v>
      </c>
      <c r="I643" s="51" t="str">
        <f>"0x"&amp;AE_w_WORK!H130</f>
        <v>0x0000</v>
      </c>
      <c r="J643" s="41">
        <v>40473</v>
      </c>
      <c r="K643" s="42"/>
      <c r="M643" s="179"/>
      <c r="N643" s="179"/>
    </row>
    <row r="644" spans="2:14" hidden="1" outlineLevel="1">
      <c r="B644" s="178">
        <v>638</v>
      </c>
      <c r="C644" s="44"/>
      <c r="D644" s="45"/>
      <c r="E644" s="39" t="s">
        <v>325</v>
      </c>
      <c r="F644" s="180" t="s">
        <v>1068</v>
      </c>
      <c r="G644" s="40" t="s">
        <v>16</v>
      </c>
      <c r="H644" s="46" t="s">
        <v>17</v>
      </c>
      <c r="I644" s="51" t="str">
        <f>"0x"&amp;AE_w_WORK!H131</f>
        <v>0x0000</v>
      </c>
      <c r="J644" s="41">
        <v>40473</v>
      </c>
      <c r="K644" s="42"/>
      <c r="M644" s="179"/>
      <c r="N644" s="179"/>
    </row>
    <row r="645" spans="2:14" hidden="1" outlineLevel="1">
      <c r="B645" s="178">
        <v>639</v>
      </c>
      <c r="C645" s="44"/>
      <c r="D645" s="45"/>
      <c r="E645" s="39" t="s">
        <v>325</v>
      </c>
      <c r="F645" s="180" t="s">
        <v>1069</v>
      </c>
      <c r="G645" s="40" t="s">
        <v>18</v>
      </c>
      <c r="H645" s="46" t="s">
        <v>19</v>
      </c>
      <c r="I645" s="51" t="str">
        <f>"0x"&amp;AE_w_WORK!H132</f>
        <v>0x0000</v>
      </c>
      <c r="J645" s="41">
        <v>40473</v>
      </c>
      <c r="K645" s="42"/>
      <c r="M645" s="179"/>
      <c r="N645" s="179"/>
    </row>
    <row r="646" spans="2:14" hidden="1" outlineLevel="1">
      <c r="B646" s="178">
        <v>640</v>
      </c>
      <c r="C646" s="44"/>
      <c r="D646" s="45"/>
      <c r="E646" s="39" t="s">
        <v>325</v>
      </c>
      <c r="F646" s="180" t="s">
        <v>1070</v>
      </c>
      <c r="G646" s="40" t="s">
        <v>20</v>
      </c>
      <c r="H646" s="46" t="s">
        <v>21</v>
      </c>
      <c r="I646" s="51" t="str">
        <f>"0x"&amp;AE_w_WORK!H133</f>
        <v>0x0000</v>
      </c>
      <c r="J646" s="41">
        <v>40473</v>
      </c>
      <c r="K646" s="42"/>
      <c r="M646" s="179"/>
      <c r="N646" s="179"/>
    </row>
    <row r="647" spans="2:14" collapsed="1">
      <c r="B647" s="178">
        <v>641</v>
      </c>
      <c r="C647" s="44"/>
      <c r="D647" s="45"/>
      <c r="E647" s="39" t="s">
        <v>325</v>
      </c>
      <c r="F647" s="180" t="s">
        <v>1071</v>
      </c>
      <c r="G647" s="40" t="s">
        <v>79</v>
      </c>
      <c r="H647" s="46" t="s">
        <v>80</v>
      </c>
      <c r="I647" s="51" t="str">
        <f>"0x"&amp;AE_w_WORK!I6</f>
        <v>0x0000</v>
      </c>
      <c r="J647" s="41">
        <v>40473</v>
      </c>
      <c r="K647" s="42" t="s">
        <v>329</v>
      </c>
      <c r="M647" s="179"/>
      <c r="N647" s="179"/>
    </row>
    <row r="648" spans="2:14" hidden="1" outlineLevel="1">
      <c r="B648" s="178">
        <v>642</v>
      </c>
      <c r="C648" s="44"/>
      <c r="D648" s="45"/>
      <c r="E648" s="39" t="s">
        <v>325</v>
      </c>
      <c r="F648" s="180" t="s">
        <v>1072</v>
      </c>
      <c r="G648" s="40" t="s">
        <v>77</v>
      </c>
      <c r="H648" s="46" t="s">
        <v>78</v>
      </c>
      <c r="I648" s="51" t="str">
        <f>"0x"&amp;AE_w_WORK!I7</f>
        <v>0x0000</v>
      </c>
      <c r="J648" s="41">
        <v>40473</v>
      </c>
      <c r="K648" s="42"/>
      <c r="M648" s="179"/>
      <c r="N648" s="179"/>
    </row>
    <row r="649" spans="2:14" hidden="1" outlineLevel="1">
      <c r="B649" s="178">
        <v>643</v>
      </c>
      <c r="C649" s="44"/>
      <c r="D649" s="45"/>
      <c r="E649" s="39" t="s">
        <v>325</v>
      </c>
      <c r="F649" s="180" t="s">
        <v>1073</v>
      </c>
      <c r="G649" s="40" t="s">
        <v>22</v>
      </c>
      <c r="H649" s="46" t="s">
        <v>23</v>
      </c>
      <c r="I649" s="51" t="str">
        <f>"0x"&amp;AE_w_WORK!I8</f>
        <v>0x0000</v>
      </c>
      <c r="J649" s="41">
        <v>40473</v>
      </c>
      <c r="K649" s="42"/>
      <c r="M649" s="179"/>
      <c r="N649" s="179"/>
    </row>
    <row r="650" spans="2:14" hidden="1" outlineLevel="1">
      <c r="B650" s="178">
        <v>644</v>
      </c>
      <c r="C650" s="44"/>
      <c r="D650" s="45"/>
      <c r="E650" s="39" t="s">
        <v>325</v>
      </c>
      <c r="F650" s="180" t="s">
        <v>1074</v>
      </c>
      <c r="G650" s="40" t="s">
        <v>24</v>
      </c>
      <c r="H650" s="46" t="s">
        <v>25</v>
      </c>
      <c r="I650" s="51" t="str">
        <f>"0x"&amp;AE_w_WORK!I9</f>
        <v>0x0000</v>
      </c>
      <c r="J650" s="41">
        <v>40473</v>
      </c>
      <c r="K650" s="42"/>
      <c r="M650" s="179"/>
      <c r="N650" s="179"/>
    </row>
    <row r="651" spans="2:14" hidden="1" outlineLevel="1">
      <c r="B651" s="178">
        <v>645</v>
      </c>
      <c r="C651" s="44"/>
      <c r="D651" s="45"/>
      <c r="E651" s="39" t="s">
        <v>325</v>
      </c>
      <c r="F651" s="180" t="s">
        <v>1075</v>
      </c>
      <c r="G651" s="40" t="s">
        <v>26</v>
      </c>
      <c r="H651" s="46" t="s">
        <v>27</v>
      </c>
      <c r="I651" s="51" t="str">
        <f>"0x"&amp;AE_w_WORK!I10</f>
        <v>0x0000</v>
      </c>
      <c r="J651" s="41">
        <v>40473</v>
      </c>
      <c r="K651" s="42"/>
      <c r="M651" s="179"/>
      <c r="N651" s="179"/>
    </row>
    <row r="652" spans="2:14" hidden="1" outlineLevel="1">
      <c r="B652" s="178">
        <v>646</v>
      </c>
      <c r="C652" s="44"/>
      <c r="D652" s="45"/>
      <c r="E652" s="39" t="s">
        <v>325</v>
      </c>
      <c r="F652" s="180" t="s">
        <v>1076</v>
      </c>
      <c r="G652" s="40" t="s">
        <v>28</v>
      </c>
      <c r="H652" s="46" t="s">
        <v>29</v>
      </c>
      <c r="I652" s="51" t="str">
        <f>"0x"&amp;AE_w_WORK!I11</f>
        <v>0x0000</v>
      </c>
      <c r="J652" s="41">
        <v>40473</v>
      </c>
      <c r="K652" s="42"/>
      <c r="M652" s="179"/>
      <c r="N652" s="179"/>
    </row>
    <row r="653" spans="2:14" hidden="1" outlineLevel="1">
      <c r="B653" s="178">
        <v>647</v>
      </c>
      <c r="C653" s="44"/>
      <c r="D653" s="45"/>
      <c r="E653" s="39" t="s">
        <v>325</v>
      </c>
      <c r="F653" s="180" t="s">
        <v>1077</v>
      </c>
      <c r="G653" s="40" t="s">
        <v>30</v>
      </c>
      <c r="H653" s="46" t="s">
        <v>31</v>
      </c>
      <c r="I653" s="51" t="str">
        <f>"0x"&amp;AE_w_WORK!I12</f>
        <v>0x0000</v>
      </c>
      <c r="J653" s="41">
        <v>40473</v>
      </c>
      <c r="K653" s="42"/>
      <c r="M653" s="179"/>
      <c r="N653" s="179"/>
    </row>
    <row r="654" spans="2:14" hidden="1" outlineLevel="1">
      <c r="B654" s="178">
        <v>648</v>
      </c>
      <c r="C654" s="44"/>
      <c r="D654" s="45"/>
      <c r="E654" s="39" t="s">
        <v>325</v>
      </c>
      <c r="F654" s="180" t="s">
        <v>1078</v>
      </c>
      <c r="G654" s="40" t="s">
        <v>32</v>
      </c>
      <c r="H654" s="46" t="s">
        <v>33</v>
      </c>
      <c r="I654" s="51" t="str">
        <f>"0x"&amp;AE_w_WORK!I13</f>
        <v>0x0000</v>
      </c>
      <c r="J654" s="41">
        <v>40473</v>
      </c>
      <c r="K654" s="42"/>
      <c r="M654" s="179"/>
      <c r="N654" s="179"/>
    </row>
    <row r="655" spans="2:14" hidden="1" outlineLevel="1">
      <c r="B655" s="178">
        <v>649</v>
      </c>
      <c r="C655" s="44"/>
      <c r="D655" s="45"/>
      <c r="E655" s="39" t="s">
        <v>325</v>
      </c>
      <c r="F655" s="180" t="s">
        <v>1079</v>
      </c>
      <c r="G655" s="40" t="s">
        <v>34</v>
      </c>
      <c r="H655" s="46" t="s">
        <v>35</v>
      </c>
      <c r="I655" s="51" t="str">
        <f>"0x"&amp;AE_w_WORK!I14</f>
        <v>0x0000</v>
      </c>
      <c r="J655" s="41">
        <v>40473</v>
      </c>
      <c r="K655" s="42"/>
      <c r="M655" s="179"/>
      <c r="N655" s="179"/>
    </row>
    <row r="656" spans="2:14" hidden="1" outlineLevel="1">
      <c r="B656" s="178">
        <v>650</v>
      </c>
      <c r="C656" s="44"/>
      <c r="D656" s="45"/>
      <c r="E656" s="39" t="s">
        <v>325</v>
      </c>
      <c r="F656" s="180" t="s">
        <v>1080</v>
      </c>
      <c r="G656" s="40" t="s">
        <v>36</v>
      </c>
      <c r="H656" s="46" t="s">
        <v>37</v>
      </c>
      <c r="I656" s="51" t="str">
        <f>"0x"&amp;AE_w_WORK!I15</f>
        <v>0x0000</v>
      </c>
      <c r="J656" s="41">
        <v>40473</v>
      </c>
      <c r="K656" s="42"/>
      <c r="M656" s="179"/>
      <c r="N656" s="179"/>
    </row>
    <row r="657" spans="2:14" hidden="1" outlineLevel="1">
      <c r="B657" s="178">
        <v>651</v>
      </c>
      <c r="C657" s="44"/>
      <c r="D657" s="45"/>
      <c r="E657" s="39" t="s">
        <v>325</v>
      </c>
      <c r="F657" s="180" t="s">
        <v>1081</v>
      </c>
      <c r="G657" s="40" t="s">
        <v>38</v>
      </c>
      <c r="H657" s="46" t="s">
        <v>39</v>
      </c>
      <c r="I657" s="51" t="str">
        <f>"0x"&amp;AE_w_WORK!I16</f>
        <v>0x0000</v>
      </c>
      <c r="J657" s="41">
        <v>40473</v>
      </c>
      <c r="K657" s="42"/>
      <c r="M657" s="179"/>
      <c r="N657" s="179"/>
    </row>
    <row r="658" spans="2:14" hidden="1" outlineLevel="1">
      <c r="B658" s="178">
        <v>652</v>
      </c>
      <c r="C658" s="44"/>
      <c r="D658" s="45"/>
      <c r="E658" s="39" t="s">
        <v>325</v>
      </c>
      <c r="F658" s="180" t="s">
        <v>1082</v>
      </c>
      <c r="G658" s="40" t="s">
        <v>40</v>
      </c>
      <c r="H658" s="46" t="s">
        <v>41</v>
      </c>
      <c r="I658" s="51" t="str">
        <f>"0x"&amp;AE_w_WORK!I17</f>
        <v>0x0000</v>
      </c>
      <c r="J658" s="41">
        <v>40473</v>
      </c>
      <c r="K658" s="42"/>
      <c r="M658" s="179"/>
      <c r="N658" s="179"/>
    </row>
    <row r="659" spans="2:14" hidden="1" outlineLevel="1">
      <c r="B659" s="178">
        <v>653</v>
      </c>
      <c r="C659" s="44"/>
      <c r="D659" s="45"/>
      <c r="E659" s="39" t="s">
        <v>325</v>
      </c>
      <c r="F659" s="180" t="s">
        <v>1083</v>
      </c>
      <c r="G659" s="40" t="s">
        <v>42</v>
      </c>
      <c r="H659" s="46" t="s">
        <v>43</v>
      </c>
      <c r="I659" s="51" t="str">
        <f>"0x"&amp;AE_w_WORK!I18</f>
        <v>0x0000</v>
      </c>
      <c r="J659" s="41">
        <v>40473</v>
      </c>
      <c r="K659" s="42"/>
      <c r="M659" s="179"/>
      <c r="N659" s="179"/>
    </row>
    <row r="660" spans="2:14" hidden="1" outlineLevel="1">
      <c r="B660" s="178">
        <v>654</v>
      </c>
      <c r="C660" s="44"/>
      <c r="D660" s="45"/>
      <c r="E660" s="39" t="s">
        <v>325</v>
      </c>
      <c r="F660" s="180" t="s">
        <v>1084</v>
      </c>
      <c r="G660" s="40" t="s">
        <v>44</v>
      </c>
      <c r="H660" s="46" t="s">
        <v>45</v>
      </c>
      <c r="I660" s="51" t="str">
        <f>"0x"&amp;AE_w_WORK!I19</f>
        <v>0x0000</v>
      </c>
      <c r="J660" s="41">
        <v>40473</v>
      </c>
      <c r="K660" s="42"/>
      <c r="M660" s="179"/>
      <c r="N660" s="179"/>
    </row>
    <row r="661" spans="2:14" hidden="1" outlineLevel="1">
      <c r="B661" s="178">
        <v>655</v>
      </c>
      <c r="C661" s="44"/>
      <c r="D661" s="45"/>
      <c r="E661" s="39" t="s">
        <v>325</v>
      </c>
      <c r="F661" s="180" t="s">
        <v>1085</v>
      </c>
      <c r="G661" s="40" t="s">
        <v>46</v>
      </c>
      <c r="H661" s="46" t="s">
        <v>47</v>
      </c>
      <c r="I661" s="51" t="str">
        <f>"0x"&amp;AE_w_WORK!I20</f>
        <v>0x0000</v>
      </c>
      <c r="J661" s="41">
        <v>40473</v>
      </c>
      <c r="K661" s="42"/>
      <c r="M661" s="179"/>
      <c r="N661" s="179"/>
    </row>
    <row r="662" spans="2:14" hidden="1" outlineLevel="1">
      <c r="B662" s="178">
        <v>656</v>
      </c>
      <c r="C662" s="44"/>
      <c r="D662" s="45"/>
      <c r="E662" s="39" t="s">
        <v>325</v>
      </c>
      <c r="F662" s="180" t="s">
        <v>1086</v>
      </c>
      <c r="G662" s="40" t="s">
        <v>48</v>
      </c>
      <c r="H662" s="46" t="s">
        <v>49</v>
      </c>
      <c r="I662" s="51" t="str">
        <f>"0x"&amp;AE_w_WORK!I21</f>
        <v>0x0000</v>
      </c>
      <c r="J662" s="41">
        <v>40473</v>
      </c>
      <c r="K662" s="42"/>
      <c r="M662" s="179"/>
      <c r="N662" s="179"/>
    </row>
    <row r="663" spans="2:14" hidden="1" outlineLevel="1">
      <c r="B663" s="178">
        <v>657</v>
      </c>
      <c r="C663" s="44"/>
      <c r="D663" s="45"/>
      <c r="E663" s="39" t="s">
        <v>325</v>
      </c>
      <c r="F663" s="180" t="s">
        <v>1087</v>
      </c>
      <c r="G663" s="40" t="s">
        <v>50</v>
      </c>
      <c r="H663" s="46" t="s">
        <v>51</v>
      </c>
      <c r="I663" s="51" t="str">
        <f>"0x"&amp;AE_w_WORK!I22</f>
        <v>0x0000</v>
      </c>
      <c r="J663" s="41">
        <v>40473</v>
      </c>
      <c r="K663" s="42"/>
      <c r="M663" s="179"/>
      <c r="N663" s="179"/>
    </row>
    <row r="664" spans="2:14" hidden="1" outlineLevel="1">
      <c r="B664" s="178">
        <v>658</v>
      </c>
      <c r="C664" s="44"/>
      <c r="D664" s="45"/>
      <c r="E664" s="39" t="s">
        <v>325</v>
      </c>
      <c r="F664" s="180" t="s">
        <v>1088</v>
      </c>
      <c r="G664" s="40" t="s">
        <v>52</v>
      </c>
      <c r="H664" s="46" t="s">
        <v>53</v>
      </c>
      <c r="I664" s="51" t="str">
        <f>"0x"&amp;AE_w_WORK!I23</f>
        <v>0x0000</v>
      </c>
      <c r="J664" s="41">
        <v>40473</v>
      </c>
      <c r="K664" s="42"/>
      <c r="M664" s="179"/>
      <c r="N664" s="179"/>
    </row>
    <row r="665" spans="2:14" hidden="1" outlineLevel="1">
      <c r="B665" s="178">
        <v>659</v>
      </c>
      <c r="C665" s="44"/>
      <c r="D665" s="45"/>
      <c r="E665" s="39" t="s">
        <v>325</v>
      </c>
      <c r="F665" s="180" t="s">
        <v>1089</v>
      </c>
      <c r="G665" s="40" t="s">
        <v>54</v>
      </c>
      <c r="H665" s="46" t="s">
        <v>55</v>
      </c>
      <c r="I665" s="51" t="str">
        <f>"0x"&amp;AE_w_WORK!I24</f>
        <v>0x0000</v>
      </c>
      <c r="J665" s="41">
        <v>40473</v>
      </c>
      <c r="K665" s="42"/>
      <c r="M665" s="179"/>
      <c r="N665" s="179"/>
    </row>
    <row r="666" spans="2:14" hidden="1" outlineLevel="1">
      <c r="B666" s="178">
        <v>660</v>
      </c>
      <c r="C666" s="44"/>
      <c r="D666" s="45"/>
      <c r="E666" s="39" t="s">
        <v>325</v>
      </c>
      <c r="F666" s="180" t="s">
        <v>1090</v>
      </c>
      <c r="G666" s="40" t="s">
        <v>56</v>
      </c>
      <c r="H666" s="46" t="s">
        <v>57</v>
      </c>
      <c r="I666" s="51" t="str">
        <f>"0x"&amp;AE_w_WORK!I25</f>
        <v>0x0000</v>
      </c>
      <c r="J666" s="41">
        <v>40473</v>
      </c>
      <c r="K666" s="42"/>
      <c r="M666" s="179"/>
      <c r="N666" s="179"/>
    </row>
    <row r="667" spans="2:14" hidden="1" outlineLevel="1">
      <c r="B667" s="178">
        <v>661</v>
      </c>
      <c r="C667" s="44"/>
      <c r="D667" s="45"/>
      <c r="E667" s="39" t="s">
        <v>325</v>
      </c>
      <c r="F667" s="180" t="s">
        <v>1091</v>
      </c>
      <c r="G667" s="40" t="s">
        <v>58</v>
      </c>
      <c r="H667" s="46" t="s">
        <v>59</v>
      </c>
      <c r="I667" s="51" t="str">
        <f>"0x"&amp;AE_w_WORK!I26</f>
        <v>0x0000</v>
      </c>
      <c r="J667" s="41">
        <v>40473</v>
      </c>
      <c r="K667" s="42"/>
      <c r="M667" s="179"/>
      <c r="N667" s="179"/>
    </row>
    <row r="668" spans="2:14" hidden="1" outlineLevel="1">
      <c r="B668" s="178">
        <v>662</v>
      </c>
      <c r="C668" s="44"/>
      <c r="D668" s="45"/>
      <c r="E668" s="39" t="s">
        <v>325</v>
      </c>
      <c r="F668" s="180" t="s">
        <v>1092</v>
      </c>
      <c r="G668" s="40" t="s">
        <v>60</v>
      </c>
      <c r="H668" s="46" t="s">
        <v>61</v>
      </c>
      <c r="I668" s="51" t="str">
        <f>"0x"&amp;AE_w_WORK!I27</f>
        <v>0x0000</v>
      </c>
      <c r="J668" s="41">
        <v>40473</v>
      </c>
      <c r="K668" s="42"/>
      <c r="M668" s="179"/>
      <c r="N668" s="179"/>
    </row>
    <row r="669" spans="2:14" hidden="1" outlineLevel="1">
      <c r="B669" s="178">
        <v>663</v>
      </c>
      <c r="C669" s="44"/>
      <c r="D669" s="45"/>
      <c r="E669" s="39" t="s">
        <v>325</v>
      </c>
      <c r="F669" s="180" t="s">
        <v>1093</v>
      </c>
      <c r="G669" s="40" t="s">
        <v>62</v>
      </c>
      <c r="H669" s="46" t="s">
        <v>63</v>
      </c>
      <c r="I669" s="51" t="str">
        <f>"0x"&amp;AE_w_WORK!I28</f>
        <v>0x0000</v>
      </c>
      <c r="J669" s="41">
        <v>40473</v>
      </c>
      <c r="K669" s="42"/>
      <c r="M669" s="179"/>
      <c r="N669" s="179"/>
    </row>
    <row r="670" spans="2:14" hidden="1" outlineLevel="1">
      <c r="B670" s="178">
        <v>664</v>
      </c>
      <c r="C670" s="44"/>
      <c r="D670" s="45"/>
      <c r="E670" s="39" t="s">
        <v>325</v>
      </c>
      <c r="F670" s="180" t="s">
        <v>1094</v>
      </c>
      <c r="G670" s="40" t="s">
        <v>64</v>
      </c>
      <c r="H670" s="46" t="s">
        <v>65</v>
      </c>
      <c r="I670" s="51" t="str">
        <f>"0x"&amp;AE_w_WORK!I29</f>
        <v>0x0000</v>
      </c>
      <c r="J670" s="41">
        <v>40473</v>
      </c>
      <c r="K670" s="42"/>
      <c r="M670" s="179"/>
      <c r="N670" s="179"/>
    </row>
    <row r="671" spans="2:14" hidden="1" outlineLevel="1">
      <c r="B671" s="178">
        <v>665</v>
      </c>
      <c r="C671" s="44"/>
      <c r="D671" s="45"/>
      <c r="E671" s="39" t="s">
        <v>325</v>
      </c>
      <c r="F671" s="180" t="s">
        <v>1095</v>
      </c>
      <c r="G671" s="40" t="s">
        <v>66</v>
      </c>
      <c r="H671" s="46" t="s">
        <v>67</v>
      </c>
      <c r="I671" s="51" t="str">
        <f>"0x"&amp;AE_w_WORK!I30</f>
        <v>0x0000</v>
      </c>
      <c r="J671" s="41">
        <v>40473</v>
      </c>
      <c r="K671" s="42"/>
      <c r="M671" s="179"/>
      <c r="N671" s="179"/>
    </row>
    <row r="672" spans="2:14" hidden="1" outlineLevel="1">
      <c r="B672" s="178">
        <v>666</v>
      </c>
      <c r="C672" s="44"/>
      <c r="D672" s="45"/>
      <c r="E672" s="39" t="s">
        <v>325</v>
      </c>
      <c r="F672" s="180" t="s">
        <v>1096</v>
      </c>
      <c r="G672" s="40" t="s">
        <v>68</v>
      </c>
      <c r="H672" s="46" t="s">
        <v>69</v>
      </c>
      <c r="I672" s="51" t="str">
        <f>"0x"&amp;AE_w_WORK!I31</f>
        <v>0x0000</v>
      </c>
      <c r="J672" s="41">
        <v>40473</v>
      </c>
      <c r="K672" s="42"/>
      <c r="M672" s="179"/>
      <c r="N672" s="179"/>
    </row>
    <row r="673" spans="2:14" hidden="1" outlineLevel="1">
      <c r="B673" s="178">
        <v>667</v>
      </c>
      <c r="C673" s="44"/>
      <c r="D673" s="45"/>
      <c r="E673" s="39" t="s">
        <v>325</v>
      </c>
      <c r="F673" s="180" t="s">
        <v>1097</v>
      </c>
      <c r="G673" s="40" t="s">
        <v>70</v>
      </c>
      <c r="H673" s="46" t="s">
        <v>71</v>
      </c>
      <c r="I673" s="51" t="str">
        <f>"0x"&amp;AE_w_WORK!I32</f>
        <v>0x0000</v>
      </c>
      <c r="J673" s="41">
        <v>40473</v>
      </c>
      <c r="K673" s="42"/>
      <c r="M673" s="179"/>
      <c r="N673" s="179"/>
    </row>
    <row r="674" spans="2:14" hidden="1" outlineLevel="1">
      <c r="B674" s="178">
        <v>668</v>
      </c>
      <c r="C674" s="44"/>
      <c r="D674" s="45"/>
      <c r="E674" s="39" t="s">
        <v>325</v>
      </c>
      <c r="F674" s="180" t="s">
        <v>1098</v>
      </c>
      <c r="G674" s="40" t="s">
        <v>72</v>
      </c>
      <c r="H674" s="46" t="s">
        <v>73</v>
      </c>
      <c r="I674" s="51" t="str">
        <f>"0x"&amp;AE_w_WORK!I33</f>
        <v>0x0000</v>
      </c>
      <c r="J674" s="41">
        <v>40473</v>
      </c>
      <c r="K674" s="42"/>
      <c r="M674" s="179"/>
      <c r="N674" s="179"/>
    </row>
    <row r="675" spans="2:14" hidden="1" outlineLevel="1">
      <c r="B675" s="178">
        <v>669</v>
      </c>
      <c r="C675" s="44"/>
      <c r="D675" s="45"/>
      <c r="E675" s="39" t="s">
        <v>325</v>
      </c>
      <c r="F675" s="180" t="s">
        <v>1099</v>
      </c>
      <c r="G675" s="40" t="s">
        <v>74</v>
      </c>
      <c r="H675" s="46" t="s">
        <v>128</v>
      </c>
      <c r="I675" s="51" t="str">
        <f>"0x"&amp;AE_w_WORK!I34</f>
        <v>0x0000</v>
      </c>
      <c r="J675" s="41">
        <v>40473</v>
      </c>
      <c r="K675" s="42"/>
      <c r="M675" s="179"/>
      <c r="N675" s="179"/>
    </row>
    <row r="676" spans="2:14" hidden="1" outlineLevel="1">
      <c r="B676" s="178">
        <v>670</v>
      </c>
      <c r="C676" s="44"/>
      <c r="D676" s="45"/>
      <c r="E676" s="39" t="s">
        <v>325</v>
      </c>
      <c r="F676" s="180" t="s">
        <v>1100</v>
      </c>
      <c r="G676" s="40" t="s">
        <v>129</v>
      </c>
      <c r="H676" s="46" t="s">
        <v>130</v>
      </c>
      <c r="I676" s="51" t="str">
        <f>"0x"&amp;AE_w_WORK!I35</f>
        <v>0x0000</v>
      </c>
      <c r="J676" s="41">
        <v>40473</v>
      </c>
      <c r="K676" s="42"/>
      <c r="M676" s="179"/>
      <c r="N676" s="179"/>
    </row>
    <row r="677" spans="2:14" hidden="1" outlineLevel="1">
      <c r="B677" s="178">
        <v>671</v>
      </c>
      <c r="C677" s="44"/>
      <c r="D677" s="45"/>
      <c r="E677" s="39" t="s">
        <v>325</v>
      </c>
      <c r="F677" s="180" t="s">
        <v>1101</v>
      </c>
      <c r="G677" s="40" t="s">
        <v>131</v>
      </c>
      <c r="H677" s="46" t="s">
        <v>132</v>
      </c>
      <c r="I677" s="51" t="str">
        <f>"0x"&amp;AE_w_WORK!I36</f>
        <v>0x0000</v>
      </c>
      <c r="J677" s="41">
        <v>40473</v>
      </c>
      <c r="K677" s="42"/>
      <c r="M677" s="179"/>
      <c r="N677" s="179"/>
    </row>
    <row r="678" spans="2:14" hidden="1" outlineLevel="1">
      <c r="B678" s="178">
        <v>672</v>
      </c>
      <c r="C678" s="44"/>
      <c r="D678" s="45"/>
      <c r="E678" s="39" t="s">
        <v>325</v>
      </c>
      <c r="F678" s="180" t="s">
        <v>1102</v>
      </c>
      <c r="G678" s="40" t="s">
        <v>133</v>
      </c>
      <c r="H678" s="46" t="s">
        <v>134</v>
      </c>
      <c r="I678" s="51" t="str">
        <f>"0x"&amp;AE_w_WORK!I37</f>
        <v>0x0000</v>
      </c>
      <c r="J678" s="41">
        <v>40473</v>
      </c>
      <c r="K678" s="42"/>
      <c r="M678" s="179"/>
      <c r="N678" s="179"/>
    </row>
    <row r="679" spans="2:14" hidden="1" outlineLevel="1">
      <c r="B679" s="178">
        <v>673</v>
      </c>
      <c r="C679" s="44"/>
      <c r="D679" s="45"/>
      <c r="E679" s="39" t="s">
        <v>325</v>
      </c>
      <c r="F679" s="180" t="s">
        <v>1103</v>
      </c>
      <c r="G679" s="40" t="s">
        <v>135</v>
      </c>
      <c r="H679" s="46" t="s">
        <v>136</v>
      </c>
      <c r="I679" s="51" t="str">
        <f>"0x"&amp;AE_w_WORK!I38</f>
        <v>0x0000</v>
      </c>
      <c r="J679" s="41">
        <v>40473</v>
      </c>
      <c r="K679" s="42"/>
      <c r="M679" s="179"/>
      <c r="N679" s="179"/>
    </row>
    <row r="680" spans="2:14" hidden="1" outlineLevel="1">
      <c r="B680" s="178">
        <v>674</v>
      </c>
      <c r="C680" s="44"/>
      <c r="D680" s="45"/>
      <c r="E680" s="39" t="s">
        <v>325</v>
      </c>
      <c r="F680" s="180" t="s">
        <v>1104</v>
      </c>
      <c r="G680" s="40" t="s">
        <v>137</v>
      </c>
      <c r="H680" s="46" t="s">
        <v>138</v>
      </c>
      <c r="I680" s="51" t="str">
        <f>"0x"&amp;AE_w_WORK!I39</f>
        <v>0x0000</v>
      </c>
      <c r="J680" s="41">
        <v>40473</v>
      </c>
      <c r="K680" s="42"/>
      <c r="M680" s="179"/>
      <c r="N680" s="179"/>
    </row>
    <row r="681" spans="2:14" hidden="1" outlineLevel="1">
      <c r="B681" s="178">
        <v>675</v>
      </c>
      <c r="C681" s="44"/>
      <c r="D681" s="45"/>
      <c r="E681" s="39" t="s">
        <v>325</v>
      </c>
      <c r="F681" s="180" t="s">
        <v>1105</v>
      </c>
      <c r="G681" s="40" t="s">
        <v>139</v>
      </c>
      <c r="H681" s="46" t="s">
        <v>140</v>
      </c>
      <c r="I681" s="51" t="str">
        <f>"0x"&amp;AE_w_WORK!I40</f>
        <v>0x0000</v>
      </c>
      <c r="J681" s="41">
        <v>40473</v>
      </c>
      <c r="K681" s="42"/>
      <c r="M681" s="179"/>
      <c r="N681" s="179"/>
    </row>
    <row r="682" spans="2:14" hidden="1" outlineLevel="1">
      <c r="B682" s="178">
        <v>676</v>
      </c>
      <c r="C682" s="44"/>
      <c r="D682" s="45"/>
      <c r="E682" s="39" t="s">
        <v>325</v>
      </c>
      <c r="F682" s="180" t="s">
        <v>1106</v>
      </c>
      <c r="G682" s="40" t="s">
        <v>141</v>
      </c>
      <c r="H682" s="46" t="s">
        <v>142</v>
      </c>
      <c r="I682" s="51" t="str">
        <f>"0x"&amp;AE_w_WORK!I41</f>
        <v>0x0000</v>
      </c>
      <c r="J682" s="41">
        <v>40473</v>
      </c>
      <c r="K682" s="42"/>
      <c r="M682" s="179"/>
      <c r="N682" s="179"/>
    </row>
    <row r="683" spans="2:14" hidden="1" outlineLevel="1">
      <c r="B683" s="178">
        <v>677</v>
      </c>
      <c r="C683" s="44"/>
      <c r="D683" s="45"/>
      <c r="E683" s="39" t="s">
        <v>325</v>
      </c>
      <c r="F683" s="180" t="s">
        <v>1107</v>
      </c>
      <c r="G683" s="40" t="s">
        <v>143</v>
      </c>
      <c r="H683" s="46" t="s">
        <v>144</v>
      </c>
      <c r="I683" s="51" t="str">
        <f>"0x"&amp;AE_w_WORK!I42</f>
        <v>0x0000</v>
      </c>
      <c r="J683" s="41">
        <v>40473</v>
      </c>
      <c r="K683" s="42"/>
      <c r="M683" s="179"/>
      <c r="N683" s="179"/>
    </row>
    <row r="684" spans="2:14" hidden="1" outlineLevel="1">
      <c r="B684" s="178">
        <v>678</v>
      </c>
      <c r="C684" s="44"/>
      <c r="D684" s="45"/>
      <c r="E684" s="39" t="s">
        <v>325</v>
      </c>
      <c r="F684" s="180" t="s">
        <v>1108</v>
      </c>
      <c r="G684" s="40" t="s">
        <v>145</v>
      </c>
      <c r="H684" s="46" t="s">
        <v>146</v>
      </c>
      <c r="I684" s="51" t="str">
        <f>"0x"&amp;AE_w_WORK!I43</f>
        <v>0x0000</v>
      </c>
      <c r="J684" s="41">
        <v>40473</v>
      </c>
      <c r="K684" s="42"/>
      <c r="M684" s="179"/>
      <c r="N684" s="179"/>
    </row>
    <row r="685" spans="2:14" hidden="1" outlineLevel="1">
      <c r="B685" s="178">
        <v>679</v>
      </c>
      <c r="C685" s="44"/>
      <c r="D685" s="45"/>
      <c r="E685" s="39" t="s">
        <v>325</v>
      </c>
      <c r="F685" s="180" t="s">
        <v>1109</v>
      </c>
      <c r="G685" s="40" t="s">
        <v>147</v>
      </c>
      <c r="H685" s="46" t="s">
        <v>148</v>
      </c>
      <c r="I685" s="51" t="str">
        <f>"0x"&amp;AE_w_WORK!I44</f>
        <v>0x0000</v>
      </c>
      <c r="J685" s="41">
        <v>40473</v>
      </c>
      <c r="K685" s="42"/>
      <c r="M685" s="179"/>
      <c r="N685" s="179"/>
    </row>
    <row r="686" spans="2:14" hidden="1" outlineLevel="1">
      <c r="B686" s="178">
        <v>680</v>
      </c>
      <c r="C686" s="44"/>
      <c r="D686" s="45"/>
      <c r="E686" s="39" t="s">
        <v>325</v>
      </c>
      <c r="F686" s="180" t="s">
        <v>1110</v>
      </c>
      <c r="G686" s="40" t="s">
        <v>149</v>
      </c>
      <c r="H686" s="46" t="s">
        <v>150</v>
      </c>
      <c r="I686" s="51" t="str">
        <f>"0x"&amp;AE_w_WORK!I45</f>
        <v>0x0000</v>
      </c>
      <c r="J686" s="41">
        <v>40473</v>
      </c>
      <c r="K686" s="42"/>
      <c r="M686" s="179"/>
      <c r="N686" s="179"/>
    </row>
    <row r="687" spans="2:14" hidden="1" outlineLevel="1">
      <c r="B687" s="178">
        <v>681</v>
      </c>
      <c r="C687" s="44"/>
      <c r="D687" s="45"/>
      <c r="E687" s="39" t="s">
        <v>325</v>
      </c>
      <c r="F687" s="180" t="s">
        <v>1111</v>
      </c>
      <c r="G687" s="40" t="s">
        <v>151</v>
      </c>
      <c r="H687" s="46" t="s">
        <v>152</v>
      </c>
      <c r="I687" s="51" t="str">
        <f>"0x"&amp;AE_w_WORK!I46</f>
        <v>0x0000</v>
      </c>
      <c r="J687" s="41">
        <v>40473</v>
      </c>
      <c r="K687" s="42"/>
      <c r="M687" s="179"/>
      <c r="N687" s="179"/>
    </row>
    <row r="688" spans="2:14" hidden="1" outlineLevel="1">
      <c r="B688" s="178">
        <v>682</v>
      </c>
      <c r="C688" s="44"/>
      <c r="D688" s="45"/>
      <c r="E688" s="39" t="s">
        <v>325</v>
      </c>
      <c r="F688" s="180" t="s">
        <v>1112</v>
      </c>
      <c r="G688" s="40" t="s">
        <v>153</v>
      </c>
      <c r="H688" s="46" t="s">
        <v>154</v>
      </c>
      <c r="I688" s="51" t="str">
        <f>"0x"&amp;AE_w_WORK!I47</f>
        <v>0x00DD</v>
      </c>
      <c r="J688" s="41">
        <v>40473</v>
      </c>
      <c r="K688" s="42"/>
      <c r="M688" s="179"/>
      <c r="N688" s="179"/>
    </row>
    <row r="689" spans="2:14" hidden="1" outlineLevel="1">
      <c r="B689" s="178">
        <v>683</v>
      </c>
      <c r="C689" s="44"/>
      <c r="D689" s="45"/>
      <c r="E689" s="39" t="s">
        <v>325</v>
      </c>
      <c r="F689" s="180" t="s">
        <v>1113</v>
      </c>
      <c r="G689" s="40" t="s">
        <v>155</v>
      </c>
      <c r="H689" s="46" t="s">
        <v>156</v>
      </c>
      <c r="I689" s="51" t="str">
        <f>"0x"&amp;AE_w_WORK!I48</f>
        <v>0xDD00</v>
      </c>
      <c r="J689" s="41">
        <v>40473</v>
      </c>
      <c r="K689" s="42"/>
      <c r="M689" s="179"/>
      <c r="N689" s="179"/>
    </row>
    <row r="690" spans="2:14" hidden="1" outlineLevel="1">
      <c r="B690" s="178">
        <v>684</v>
      </c>
      <c r="C690" s="44"/>
      <c r="D690" s="45"/>
      <c r="E690" s="39" t="s">
        <v>325</v>
      </c>
      <c r="F690" s="180" t="s">
        <v>1114</v>
      </c>
      <c r="G690" s="40" t="s">
        <v>157</v>
      </c>
      <c r="H690" s="46" t="s">
        <v>158</v>
      </c>
      <c r="I690" s="51" t="str">
        <f>"0x"&amp;AE_w_WORK!I49</f>
        <v>0x0000</v>
      </c>
      <c r="J690" s="41">
        <v>40473</v>
      </c>
      <c r="K690" s="42"/>
      <c r="M690" s="179"/>
      <c r="N690" s="179"/>
    </row>
    <row r="691" spans="2:14" hidden="1" outlineLevel="1">
      <c r="B691" s="178">
        <v>685</v>
      </c>
      <c r="C691" s="44"/>
      <c r="D691" s="45"/>
      <c r="E691" s="39" t="s">
        <v>325</v>
      </c>
      <c r="F691" s="180" t="s">
        <v>1115</v>
      </c>
      <c r="G691" s="40" t="s">
        <v>159</v>
      </c>
      <c r="H691" s="46" t="s">
        <v>160</v>
      </c>
      <c r="I691" s="51" t="str">
        <f>"0x"&amp;AE_w_WORK!I50</f>
        <v>0x0000</v>
      </c>
      <c r="J691" s="41">
        <v>40473</v>
      </c>
      <c r="K691" s="42"/>
      <c r="M691" s="179"/>
      <c r="N691" s="179"/>
    </row>
    <row r="692" spans="2:14" hidden="1" outlineLevel="1">
      <c r="B692" s="178">
        <v>686</v>
      </c>
      <c r="C692" s="44"/>
      <c r="D692" s="45"/>
      <c r="E692" s="39" t="s">
        <v>325</v>
      </c>
      <c r="F692" s="180" t="s">
        <v>1116</v>
      </c>
      <c r="G692" s="40" t="s">
        <v>161</v>
      </c>
      <c r="H692" s="46" t="s">
        <v>162</v>
      </c>
      <c r="I692" s="51" t="str">
        <f>"0x"&amp;AE_w_WORK!I51</f>
        <v>0x00DD</v>
      </c>
      <c r="J692" s="41">
        <v>40473</v>
      </c>
      <c r="K692" s="42"/>
      <c r="M692" s="179"/>
      <c r="N692" s="179"/>
    </row>
    <row r="693" spans="2:14" hidden="1" outlineLevel="1">
      <c r="B693" s="178">
        <v>687</v>
      </c>
      <c r="C693" s="44"/>
      <c r="D693" s="45"/>
      <c r="E693" s="39" t="s">
        <v>325</v>
      </c>
      <c r="F693" s="180" t="s">
        <v>1117</v>
      </c>
      <c r="G693" s="40" t="s">
        <v>163</v>
      </c>
      <c r="H693" s="46" t="s">
        <v>164</v>
      </c>
      <c r="I693" s="51" t="str">
        <f>"0x"&amp;AE_w_WORK!I52</f>
        <v>0xDD00</v>
      </c>
      <c r="J693" s="41">
        <v>40473</v>
      </c>
      <c r="K693" s="42"/>
      <c r="M693" s="179"/>
      <c r="N693" s="179"/>
    </row>
    <row r="694" spans="2:14" hidden="1" outlineLevel="1">
      <c r="B694" s="178">
        <v>688</v>
      </c>
      <c r="C694" s="44"/>
      <c r="D694" s="45"/>
      <c r="E694" s="39" t="s">
        <v>325</v>
      </c>
      <c r="F694" s="180" t="s">
        <v>1118</v>
      </c>
      <c r="G694" s="40" t="s">
        <v>165</v>
      </c>
      <c r="H694" s="46" t="s">
        <v>166</v>
      </c>
      <c r="I694" s="51" t="str">
        <f>"0x"&amp;AE_w_WORK!I53</f>
        <v>0x0000</v>
      </c>
      <c r="J694" s="41">
        <v>40473</v>
      </c>
      <c r="K694" s="42"/>
      <c r="M694" s="179"/>
      <c r="N694" s="179"/>
    </row>
    <row r="695" spans="2:14" hidden="1" outlineLevel="1">
      <c r="B695" s="178">
        <v>689</v>
      </c>
      <c r="C695" s="44"/>
      <c r="D695" s="45"/>
      <c r="E695" s="39" t="s">
        <v>325</v>
      </c>
      <c r="F695" s="180" t="s">
        <v>1119</v>
      </c>
      <c r="G695" s="40" t="s">
        <v>167</v>
      </c>
      <c r="H695" s="46" t="s">
        <v>168</v>
      </c>
      <c r="I695" s="51" t="str">
        <f>"0x"&amp;AE_w_WORK!I54</f>
        <v>0x0000</v>
      </c>
      <c r="J695" s="41">
        <v>40473</v>
      </c>
      <c r="K695" s="42"/>
      <c r="M695" s="179"/>
      <c r="N695" s="179"/>
    </row>
    <row r="696" spans="2:14" hidden="1" outlineLevel="1">
      <c r="B696" s="178">
        <v>690</v>
      </c>
      <c r="C696" s="44"/>
      <c r="D696" s="45"/>
      <c r="E696" s="39" t="s">
        <v>325</v>
      </c>
      <c r="F696" s="180" t="s">
        <v>1120</v>
      </c>
      <c r="G696" s="40" t="s">
        <v>169</v>
      </c>
      <c r="H696" s="46" t="s">
        <v>170</v>
      </c>
      <c r="I696" s="51" t="str">
        <f>"0x"&amp;AE_w_WORK!I55</f>
        <v>0x0DDF</v>
      </c>
      <c r="J696" s="41">
        <v>40473</v>
      </c>
      <c r="K696" s="42"/>
      <c r="M696" s="179"/>
      <c r="N696" s="179"/>
    </row>
    <row r="697" spans="2:14" hidden="1" outlineLevel="1">
      <c r="B697" s="178">
        <v>691</v>
      </c>
      <c r="C697" s="44"/>
      <c r="D697" s="45"/>
      <c r="E697" s="39" t="s">
        <v>325</v>
      </c>
      <c r="F697" s="180" t="s">
        <v>1121</v>
      </c>
      <c r="G697" s="40" t="s">
        <v>171</v>
      </c>
      <c r="H697" s="46" t="s">
        <v>172</v>
      </c>
      <c r="I697" s="51" t="str">
        <f>"0x"&amp;AE_w_WORK!I56</f>
        <v>0xFDD0</v>
      </c>
      <c r="J697" s="41">
        <v>40473</v>
      </c>
      <c r="K697" s="42"/>
      <c r="M697" s="179"/>
      <c r="N697" s="179"/>
    </row>
    <row r="698" spans="2:14" hidden="1" outlineLevel="1">
      <c r="B698" s="178">
        <v>692</v>
      </c>
      <c r="C698" s="44"/>
      <c r="D698" s="45"/>
      <c r="E698" s="39" t="s">
        <v>325</v>
      </c>
      <c r="F698" s="180" t="s">
        <v>1122</v>
      </c>
      <c r="G698" s="40" t="s">
        <v>173</v>
      </c>
      <c r="H698" s="46" t="s">
        <v>174</v>
      </c>
      <c r="I698" s="51" t="str">
        <f>"0x"&amp;AE_w_WORK!I57</f>
        <v>0x0000</v>
      </c>
      <c r="J698" s="41">
        <v>40473</v>
      </c>
      <c r="K698" s="42"/>
      <c r="M698" s="179"/>
      <c r="N698" s="179"/>
    </row>
    <row r="699" spans="2:14" hidden="1" outlineLevel="1">
      <c r="B699" s="178">
        <v>693</v>
      </c>
      <c r="C699" s="44"/>
      <c r="D699" s="45"/>
      <c r="E699" s="39" t="s">
        <v>325</v>
      </c>
      <c r="F699" s="180" t="s">
        <v>1123</v>
      </c>
      <c r="G699" s="40" t="s">
        <v>175</v>
      </c>
      <c r="H699" s="46" t="s">
        <v>176</v>
      </c>
      <c r="I699" s="51" t="str">
        <f>"0x"&amp;AE_w_WORK!I58</f>
        <v>0x0000</v>
      </c>
      <c r="J699" s="41">
        <v>40473</v>
      </c>
      <c r="K699" s="42"/>
      <c r="M699" s="179"/>
      <c r="N699" s="179"/>
    </row>
    <row r="700" spans="2:14" hidden="1" outlineLevel="1">
      <c r="B700" s="178">
        <v>694</v>
      </c>
      <c r="C700" s="44"/>
      <c r="D700" s="45"/>
      <c r="E700" s="39" t="s">
        <v>325</v>
      </c>
      <c r="F700" s="180" t="s">
        <v>1124</v>
      </c>
      <c r="G700" s="40" t="s">
        <v>177</v>
      </c>
      <c r="H700" s="46" t="s">
        <v>178</v>
      </c>
      <c r="I700" s="51" t="str">
        <f>"0x"&amp;AE_w_WORK!I59</f>
        <v>0x0DDF</v>
      </c>
      <c r="J700" s="41">
        <v>40473</v>
      </c>
      <c r="K700" s="42"/>
      <c r="M700" s="179"/>
      <c r="N700" s="179"/>
    </row>
    <row r="701" spans="2:14" hidden="1" outlineLevel="1">
      <c r="B701" s="178">
        <v>695</v>
      </c>
      <c r="C701" s="44"/>
      <c r="D701" s="45"/>
      <c r="E701" s="39" t="s">
        <v>325</v>
      </c>
      <c r="F701" s="180" t="s">
        <v>1125</v>
      </c>
      <c r="G701" s="40" t="s">
        <v>179</v>
      </c>
      <c r="H701" s="46" t="s">
        <v>180</v>
      </c>
      <c r="I701" s="51" t="str">
        <f>"0x"&amp;AE_w_WORK!I60</f>
        <v>0xFDD0</v>
      </c>
      <c r="J701" s="41">
        <v>40473</v>
      </c>
      <c r="K701" s="42"/>
      <c r="M701" s="179"/>
      <c r="N701" s="179"/>
    </row>
    <row r="702" spans="2:14" hidden="1" outlineLevel="1">
      <c r="B702" s="178">
        <v>696</v>
      </c>
      <c r="C702" s="44"/>
      <c r="D702" s="45"/>
      <c r="E702" s="39" t="s">
        <v>325</v>
      </c>
      <c r="F702" s="180" t="s">
        <v>1126</v>
      </c>
      <c r="G702" s="40" t="s">
        <v>181</v>
      </c>
      <c r="H702" s="46" t="s">
        <v>182</v>
      </c>
      <c r="I702" s="51" t="str">
        <f>"0x"&amp;AE_w_WORK!I61</f>
        <v>0x0000</v>
      </c>
      <c r="J702" s="41">
        <v>40473</v>
      </c>
      <c r="K702" s="42"/>
      <c r="M702" s="179"/>
      <c r="N702" s="179"/>
    </row>
    <row r="703" spans="2:14" hidden="1" outlineLevel="1">
      <c r="B703" s="178">
        <v>697</v>
      </c>
      <c r="C703" s="44"/>
      <c r="D703" s="45"/>
      <c r="E703" s="39" t="s">
        <v>325</v>
      </c>
      <c r="F703" s="180" t="s">
        <v>1127</v>
      </c>
      <c r="G703" s="40" t="s">
        <v>183</v>
      </c>
      <c r="H703" s="46" t="s">
        <v>184</v>
      </c>
      <c r="I703" s="51" t="str">
        <f>"0x"&amp;AE_w_WORK!I62</f>
        <v>0x0000</v>
      </c>
      <c r="J703" s="41">
        <v>40473</v>
      </c>
      <c r="K703" s="42"/>
      <c r="M703" s="179"/>
      <c r="N703" s="179"/>
    </row>
    <row r="704" spans="2:14" hidden="1" outlineLevel="1">
      <c r="B704" s="178">
        <v>698</v>
      </c>
      <c r="C704" s="44"/>
      <c r="D704" s="45"/>
      <c r="E704" s="39" t="s">
        <v>325</v>
      </c>
      <c r="F704" s="180" t="s">
        <v>1128</v>
      </c>
      <c r="G704" s="40" t="s">
        <v>185</v>
      </c>
      <c r="H704" s="46" t="s">
        <v>186</v>
      </c>
      <c r="I704" s="51" t="str">
        <f>"0x"&amp;AE_w_WORK!I63</f>
        <v>0x0DFF</v>
      </c>
      <c r="J704" s="41">
        <v>40473</v>
      </c>
      <c r="K704" s="42"/>
      <c r="M704" s="179"/>
      <c r="N704" s="179"/>
    </row>
    <row r="705" spans="2:14" hidden="1" outlineLevel="1">
      <c r="B705" s="178">
        <v>699</v>
      </c>
      <c r="C705" s="44"/>
      <c r="D705" s="45"/>
      <c r="E705" s="39" t="s">
        <v>325</v>
      </c>
      <c r="F705" s="180" t="s">
        <v>1129</v>
      </c>
      <c r="G705" s="40" t="s">
        <v>187</v>
      </c>
      <c r="H705" s="46" t="s">
        <v>188</v>
      </c>
      <c r="I705" s="51" t="str">
        <f>"0x"&amp;AE_w_WORK!I64</f>
        <v>0xFFD0</v>
      </c>
      <c r="J705" s="41">
        <v>40473</v>
      </c>
      <c r="K705" s="42"/>
      <c r="M705" s="179"/>
      <c r="N705" s="179"/>
    </row>
    <row r="706" spans="2:14" hidden="1" outlineLevel="1">
      <c r="B706" s="178">
        <v>700</v>
      </c>
      <c r="C706" s="44"/>
      <c r="D706" s="45"/>
      <c r="E706" s="39" t="s">
        <v>325</v>
      </c>
      <c r="F706" s="180" t="s">
        <v>1130</v>
      </c>
      <c r="G706" s="40" t="s">
        <v>189</v>
      </c>
      <c r="H706" s="46" t="s">
        <v>190</v>
      </c>
      <c r="I706" s="51" t="str">
        <f>"0x"&amp;AE_w_WORK!I65</f>
        <v>0x0000</v>
      </c>
      <c r="J706" s="41">
        <v>40473</v>
      </c>
      <c r="K706" s="42"/>
      <c r="M706" s="179"/>
      <c r="N706" s="179"/>
    </row>
    <row r="707" spans="2:14" hidden="1" outlineLevel="1">
      <c r="B707" s="178">
        <v>701</v>
      </c>
      <c r="C707" s="44"/>
      <c r="D707" s="45"/>
      <c r="E707" s="39" t="s">
        <v>325</v>
      </c>
      <c r="F707" s="180" t="s">
        <v>1131</v>
      </c>
      <c r="G707" s="40" t="s">
        <v>191</v>
      </c>
      <c r="H707" s="46" t="s">
        <v>192</v>
      </c>
      <c r="I707" s="51" t="str">
        <f>"0x"&amp;AE_w_WORK!I66</f>
        <v>0x0000</v>
      </c>
      <c r="J707" s="41">
        <v>40473</v>
      </c>
      <c r="K707" s="42"/>
      <c r="M707" s="179"/>
      <c r="N707" s="179"/>
    </row>
    <row r="708" spans="2:14" hidden="1" outlineLevel="1">
      <c r="B708" s="178">
        <v>702</v>
      </c>
      <c r="C708" s="44"/>
      <c r="D708" s="45"/>
      <c r="E708" s="39" t="s">
        <v>325</v>
      </c>
      <c r="F708" s="180" t="s">
        <v>1132</v>
      </c>
      <c r="G708" s="40" t="s">
        <v>193</v>
      </c>
      <c r="H708" s="46" t="s">
        <v>194</v>
      </c>
      <c r="I708" s="51" t="str">
        <f>"0x"&amp;AE_w_WORK!I67</f>
        <v>0x0DFF</v>
      </c>
      <c r="J708" s="41">
        <v>40473</v>
      </c>
      <c r="K708" s="42"/>
      <c r="M708" s="179"/>
      <c r="N708" s="179"/>
    </row>
    <row r="709" spans="2:14" hidden="1" outlineLevel="1">
      <c r="B709" s="178">
        <v>703</v>
      </c>
      <c r="C709" s="44"/>
      <c r="D709" s="45"/>
      <c r="E709" s="39" t="s">
        <v>325</v>
      </c>
      <c r="F709" s="180" t="s">
        <v>1133</v>
      </c>
      <c r="G709" s="40" t="s">
        <v>195</v>
      </c>
      <c r="H709" s="46" t="s">
        <v>196</v>
      </c>
      <c r="I709" s="51" t="str">
        <f>"0x"&amp;AE_w_WORK!I68</f>
        <v>0xFFD0</v>
      </c>
      <c r="J709" s="41">
        <v>40473</v>
      </c>
      <c r="K709" s="42"/>
      <c r="M709" s="179"/>
      <c r="N709" s="179"/>
    </row>
    <row r="710" spans="2:14" hidden="1" outlineLevel="1">
      <c r="B710" s="178">
        <v>704</v>
      </c>
      <c r="C710" s="44"/>
      <c r="D710" s="45"/>
      <c r="E710" s="39" t="s">
        <v>325</v>
      </c>
      <c r="F710" s="180" t="s">
        <v>1134</v>
      </c>
      <c r="G710" s="40" t="s">
        <v>197</v>
      </c>
      <c r="H710" s="46" t="s">
        <v>198</v>
      </c>
      <c r="I710" s="51" t="str">
        <f>"0x"&amp;AE_w_WORK!I69</f>
        <v>0x0000</v>
      </c>
      <c r="J710" s="41">
        <v>40473</v>
      </c>
      <c r="K710" s="42"/>
      <c r="M710" s="179"/>
      <c r="N710" s="179"/>
    </row>
    <row r="711" spans="2:14" hidden="1" outlineLevel="1">
      <c r="B711" s="178">
        <v>705</v>
      </c>
      <c r="C711" s="44"/>
      <c r="D711" s="45"/>
      <c r="E711" s="39" t="s">
        <v>325</v>
      </c>
      <c r="F711" s="180" t="s">
        <v>1135</v>
      </c>
      <c r="G711" s="40" t="s">
        <v>199</v>
      </c>
      <c r="H711" s="46" t="s">
        <v>200</v>
      </c>
      <c r="I711" s="51" t="str">
        <f>"0x"&amp;AE_w_WORK!I70</f>
        <v>0x0000</v>
      </c>
      <c r="J711" s="41">
        <v>40473</v>
      </c>
      <c r="K711" s="42"/>
      <c r="M711" s="179"/>
      <c r="N711" s="179"/>
    </row>
    <row r="712" spans="2:14" hidden="1" outlineLevel="1">
      <c r="B712" s="178">
        <v>706</v>
      </c>
      <c r="C712" s="44"/>
      <c r="D712" s="45"/>
      <c r="E712" s="39" t="s">
        <v>325</v>
      </c>
      <c r="F712" s="180" t="s">
        <v>1136</v>
      </c>
      <c r="G712" s="40" t="s">
        <v>201</v>
      </c>
      <c r="H712" s="46" t="s">
        <v>202</v>
      </c>
      <c r="I712" s="51" t="str">
        <f>"0x"&amp;AE_w_WORK!I71</f>
        <v>0x0DFF</v>
      </c>
      <c r="J712" s="41">
        <v>40473</v>
      </c>
      <c r="K712" s="42"/>
      <c r="M712" s="179"/>
      <c r="N712" s="179"/>
    </row>
    <row r="713" spans="2:14" hidden="1" outlineLevel="1">
      <c r="B713" s="178">
        <v>707</v>
      </c>
      <c r="C713" s="44"/>
      <c r="D713" s="45"/>
      <c r="E713" s="39" t="s">
        <v>325</v>
      </c>
      <c r="F713" s="180" t="s">
        <v>1137</v>
      </c>
      <c r="G713" s="40" t="s">
        <v>203</v>
      </c>
      <c r="H713" s="46" t="s">
        <v>204</v>
      </c>
      <c r="I713" s="51" t="str">
        <f>"0x"&amp;AE_w_WORK!I72</f>
        <v>0xFFD0</v>
      </c>
      <c r="J713" s="41">
        <v>40473</v>
      </c>
      <c r="K713" s="42"/>
      <c r="M713" s="179"/>
      <c r="N713" s="179"/>
    </row>
    <row r="714" spans="2:14" hidden="1" outlineLevel="1">
      <c r="B714" s="178">
        <v>708</v>
      </c>
      <c r="C714" s="44"/>
      <c r="D714" s="45"/>
      <c r="E714" s="39" t="s">
        <v>325</v>
      </c>
      <c r="F714" s="180" t="s">
        <v>1138</v>
      </c>
      <c r="G714" s="40" t="s">
        <v>205</v>
      </c>
      <c r="H714" s="46" t="s">
        <v>206</v>
      </c>
      <c r="I714" s="51" t="str">
        <f>"0x"&amp;AE_w_WORK!I73</f>
        <v>0x0000</v>
      </c>
      <c r="J714" s="41">
        <v>40473</v>
      </c>
      <c r="K714" s="42"/>
      <c r="M714" s="179"/>
      <c r="N714" s="179"/>
    </row>
    <row r="715" spans="2:14" hidden="1" outlineLevel="1">
      <c r="B715" s="178">
        <v>709</v>
      </c>
      <c r="C715" s="44"/>
      <c r="D715" s="45"/>
      <c r="E715" s="39" t="s">
        <v>325</v>
      </c>
      <c r="F715" s="180" t="s">
        <v>1139</v>
      </c>
      <c r="G715" s="40" t="s">
        <v>207</v>
      </c>
      <c r="H715" s="46" t="s">
        <v>208</v>
      </c>
      <c r="I715" s="51" t="str">
        <f>"0x"&amp;AE_w_WORK!I74</f>
        <v>0x0000</v>
      </c>
      <c r="J715" s="41">
        <v>40473</v>
      </c>
      <c r="K715" s="42"/>
      <c r="M715" s="179"/>
      <c r="N715" s="179"/>
    </row>
    <row r="716" spans="2:14" hidden="1" outlineLevel="1">
      <c r="B716" s="178">
        <v>710</v>
      </c>
      <c r="C716" s="44"/>
      <c r="D716" s="45"/>
      <c r="E716" s="39" t="s">
        <v>325</v>
      </c>
      <c r="F716" s="180" t="s">
        <v>1140</v>
      </c>
      <c r="G716" s="40" t="s">
        <v>209</v>
      </c>
      <c r="H716" s="46" t="s">
        <v>210</v>
      </c>
      <c r="I716" s="51" t="str">
        <f>"0x"&amp;AE_w_WORK!I75</f>
        <v>0x0DFF</v>
      </c>
      <c r="J716" s="41">
        <v>40473</v>
      </c>
      <c r="K716" s="42"/>
      <c r="M716" s="179"/>
      <c r="N716" s="179"/>
    </row>
    <row r="717" spans="2:14" hidden="1" outlineLevel="1">
      <c r="B717" s="178">
        <v>711</v>
      </c>
      <c r="C717" s="44"/>
      <c r="D717" s="45"/>
      <c r="E717" s="39" t="s">
        <v>325</v>
      </c>
      <c r="F717" s="180" t="s">
        <v>1141</v>
      </c>
      <c r="G717" s="40" t="s">
        <v>211</v>
      </c>
      <c r="H717" s="46" t="s">
        <v>212</v>
      </c>
      <c r="I717" s="51" t="str">
        <f>"0x"&amp;AE_w_WORK!I76</f>
        <v>0xFFD0</v>
      </c>
      <c r="J717" s="41">
        <v>40473</v>
      </c>
      <c r="K717" s="42"/>
      <c r="M717" s="179"/>
      <c r="N717" s="179"/>
    </row>
    <row r="718" spans="2:14" hidden="1" outlineLevel="1">
      <c r="B718" s="178">
        <v>712</v>
      </c>
      <c r="C718" s="44"/>
      <c r="D718" s="45"/>
      <c r="E718" s="39" t="s">
        <v>325</v>
      </c>
      <c r="F718" s="180" t="s">
        <v>1142</v>
      </c>
      <c r="G718" s="40" t="s">
        <v>213</v>
      </c>
      <c r="H718" s="46" t="s">
        <v>214</v>
      </c>
      <c r="I718" s="51" t="str">
        <f>"0x"&amp;AE_w_WORK!I77</f>
        <v>0x0000</v>
      </c>
      <c r="J718" s="41">
        <v>40473</v>
      </c>
      <c r="K718" s="42"/>
      <c r="M718" s="179"/>
      <c r="N718" s="179"/>
    </row>
    <row r="719" spans="2:14" hidden="1" outlineLevel="1">
      <c r="B719" s="178">
        <v>713</v>
      </c>
      <c r="C719" s="44"/>
      <c r="D719" s="45"/>
      <c r="E719" s="39" t="s">
        <v>325</v>
      </c>
      <c r="F719" s="180" t="s">
        <v>1143</v>
      </c>
      <c r="G719" s="40" t="s">
        <v>215</v>
      </c>
      <c r="H719" s="46" t="s">
        <v>216</v>
      </c>
      <c r="I719" s="51" t="str">
        <f>"0x"&amp;AE_w_WORK!I78</f>
        <v>0x0000</v>
      </c>
      <c r="J719" s="41">
        <v>40473</v>
      </c>
      <c r="K719" s="42"/>
      <c r="M719" s="179"/>
      <c r="N719" s="179"/>
    </row>
    <row r="720" spans="2:14" hidden="1" outlineLevel="1">
      <c r="B720" s="178">
        <v>714</v>
      </c>
      <c r="C720" s="44"/>
      <c r="D720" s="45"/>
      <c r="E720" s="39" t="s">
        <v>325</v>
      </c>
      <c r="F720" s="180" t="s">
        <v>1144</v>
      </c>
      <c r="G720" s="40" t="s">
        <v>217</v>
      </c>
      <c r="H720" s="46" t="s">
        <v>218</v>
      </c>
      <c r="I720" s="51" t="str">
        <f>"0x"&amp;AE_w_WORK!I79</f>
        <v>0x0DDF</v>
      </c>
      <c r="J720" s="41">
        <v>40473</v>
      </c>
      <c r="K720" s="42"/>
      <c r="M720" s="179"/>
      <c r="N720" s="179"/>
    </row>
    <row r="721" spans="2:14" hidden="1" outlineLevel="1">
      <c r="B721" s="178">
        <v>715</v>
      </c>
      <c r="C721" s="44"/>
      <c r="D721" s="45"/>
      <c r="E721" s="39" t="s">
        <v>325</v>
      </c>
      <c r="F721" s="180" t="s">
        <v>1145</v>
      </c>
      <c r="G721" s="40" t="s">
        <v>219</v>
      </c>
      <c r="H721" s="46" t="s">
        <v>220</v>
      </c>
      <c r="I721" s="51" t="str">
        <f>"0x"&amp;AE_w_WORK!I80</f>
        <v>0xFDD0</v>
      </c>
      <c r="J721" s="41">
        <v>40473</v>
      </c>
      <c r="K721" s="42"/>
      <c r="M721" s="179"/>
      <c r="N721" s="179"/>
    </row>
    <row r="722" spans="2:14" hidden="1" outlineLevel="1">
      <c r="B722" s="178">
        <v>716</v>
      </c>
      <c r="C722" s="44"/>
      <c r="D722" s="45"/>
      <c r="E722" s="39" t="s">
        <v>325</v>
      </c>
      <c r="F722" s="180" t="s">
        <v>1146</v>
      </c>
      <c r="G722" s="40" t="s">
        <v>221</v>
      </c>
      <c r="H722" s="46" t="s">
        <v>222</v>
      </c>
      <c r="I722" s="51" t="str">
        <f>"0x"&amp;AE_w_WORK!I81</f>
        <v>0x0000</v>
      </c>
      <c r="J722" s="41">
        <v>40473</v>
      </c>
      <c r="K722" s="42"/>
      <c r="M722" s="179"/>
      <c r="N722" s="179"/>
    </row>
    <row r="723" spans="2:14" hidden="1" outlineLevel="1">
      <c r="B723" s="178">
        <v>717</v>
      </c>
      <c r="C723" s="44"/>
      <c r="D723" s="45"/>
      <c r="E723" s="39" t="s">
        <v>325</v>
      </c>
      <c r="F723" s="180" t="s">
        <v>1147</v>
      </c>
      <c r="G723" s="40" t="s">
        <v>223</v>
      </c>
      <c r="H723" s="46" t="s">
        <v>224</v>
      </c>
      <c r="I723" s="51" t="str">
        <f>"0x"&amp;AE_w_WORK!I82</f>
        <v>0x0000</v>
      </c>
      <c r="J723" s="41">
        <v>40473</v>
      </c>
      <c r="K723" s="42"/>
      <c r="M723" s="179"/>
      <c r="N723" s="179"/>
    </row>
    <row r="724" spans="2:14" hidden="1" outlineLevel="1">
      <c r="B724" s="178">
        <v>718</v>
      </c>
      <c r="C724" s="44"/>
      <c r="D724" s="45"/>
      <c r="E724" s="39" t="s">
        <v>325</v>
      </c>
      <c r="F724" s="180" t="s">
        <v>1148</v>
      </c>
      <c r="G724" s="40" t="s">
        <v>225</v>
      </c>
      <c r="H724" s="46" t="s">
        <v>226</v>
      </c>
      <c r="I724" s="51" t="str">
        <f>"0x"&amp;AE_w_WORK!I83</f>
        <v>0x0DDF</v>
      </c>
      <c r="J724" s="41">
        <v>40473</v>
      </c>
      <c r="K724" s="42"/>
      <c r="M724" s="179"/>
      <c r="N724" s="179"/>
    </row>
    <row r="725" spans="2:14" hidden="1" outlineLevel="1">
      <c r="B725" s="178">
        <v>719</v>
      </c>
      <c r="C725" s="44"/>
      <c r="D725" s="45"/>
      <c r="E725" s="39" t="s">
        <v>325</v>
      </c>
      <c r="F725" s="180" t="s">
        <v>1149</v>
      </c>
      <c r="G725" s="40" t="s">
        <v>227</v>
      </c>
      <c r="H725" s="46" t="s">
        <v>228</v>
      </c>
      <c r="I725" s="51" t="str">
        <f>"0x"&amp;AE_w_WORK!I84</f>
        <v>0xFDD0</v>
      </c>
      <c r="J725" s="41">
        <v>40473</v>
      </c>
      <c r="K725" s="42"/>
      <c r="M725" s="179"/>
      <c r="N725" s="179"/>
    </row>
    <row r="726" spans="2:14" hidden="1" outlineLevel="1">
      <c r="B726" s="178">
        <v>720</v>
      </c>
      <c r="C726" s="44"/>
      <c r="D726" s="45"/>
      <c r="E726" s="39" t="s">
        <v>325</v>
      </c>
      <c r="F726" s="180" t="s">
        <v>1150</v>
      </c>
      <c r="G726" s="40" t="s">
        <v>229</v>
      </c>
      <c r="H726" s="46" t="s">
        <v>230</v>
      </c>
      <c r="I726" s="51" t="str">
        <f>"0x"&amp;AE_w_WORK!I85</f>
        <v>0x0000</v>
      </c>
      <c r="J726" s="41">
        <v>40473</v>
      </c>
      <c r="K726" s="42"/>
      <c r="M726" s="179"/>
      <c r="N726" s="179"/>
    </row>
    <row r="727" spans="2:14" hidden="1" outlineLevel="1">
      <c r="B727" s="178">
        <v>721</v>
      </c>
      <c r="C727" s="44"/>
      <c r="D727" s="45"/>
      <c r="E727" s="39" t="s">
        <v>325</v>
      </c>
      <c r="F727" s="180" t="s">
        <v>1151</v>
      </c>
      <c r="G727" s="40" t="s">
        <v>231</v>
      </c>
      <c r="H727" s="46" t="s">
        <v>232</v>
      </c>
      <c r="I727" s="51" t="str">
        <f>"0x"&amp;AE_w_WORK!I86</f>
        <v>0x0000</v>
      </c>
      <c r="J727" s="41">
        <v>40473</v>
      </c>
      <c r="K727" s="42"/>
      <c r="M727" s="179"/>
      <c r="N727" s="179"/>
    </row>
    <row r="728" spans="2:14" hidden="1" outlineLevel="1">
      <c r="B728" s="178">
        <v>722</v>
      </c>
      <c r="C728" s="44"/>
      <c r="D728" s="45"/>
      <c r="E728" s="39" t="s">
        <v>325</v>
      </c>
      <c r="F728" s="180" t="s">
        <v>1152</v>
      </c>
      <c r="G728" s="40" t="s">
        <v>233</v>
      </c>
      <c r="H728" s="46" t="s">
        <v>234</v>
      </c>
      <c r="I728" s="51" t="str">
        <f>"0x"&amp;AE_w_WORK!I87</f>
        <v>0x00DD</v>
      </c>
      <c r="J728" s="41">
        <v>40473</v>
      </c>
      <c r="K728" s="42"/>
      <c r="M728" s="179"/>
      <c r="N728" s="179"/>
    </row>
    <row r="729" spans="2:14" hidden="1" outlineLevel="1">
      <c r="B729" s="178">
        <v>723</v>
      </c>
      <c r="C729" s="44"/>
      <c r="D729" s="45"/>
      <c r="E729" s="39" t="s">
        <v>325</v>
      </c>
      <c r="F729" s="180" t="s">
        <v>1153</v>
      </c>
      <c r="G729" s="40" t="s">
        <v>235</v>
      </c>
      <c r="H729" s="46" t="s">
        <v>236</v>
      </c>
      <c r="I729" s="51" t="str">
        <f>"0x"&amp;AE_w_WORK!I88</f>
        <v>0xDD00</v>
      </c>
      <c r="J729" s="41">
        <v>40473</v>
      </c>
      <c r="K729" s="42"/>
      <c r="M729" s="179"/>
      <c r="N729" s="179"/>
    </row>
    <row r="730" spans="2:14" hidden="1" outlineLevel="1">
      <c r="B730" s="178">
        <v>724</v>
      </c>
      <c r="C730" s="44"/>
      <c r="D730" s="45"/>
      <c r="E730" s="39" t="s">
        <v>325</v>
      </c>
      <c r="F730" s="180" t="s">
        <v>1154</v>
      </c>
      <c r="G730" s="40" t="s">
        <v>237</v>
      </c>
      <c r="H730" s="46" t="s">
        <v>238</v>
      </c>
      <c r="I730" s="51" t="str">
        <f>"0x"&amp;AE_w_WORK!I89</f>
        <v>0x0000</v>
      </c>
      <c r="J730" s="41">
        <v>40473</v>
      </c>
      <c r="K730" s="42"/>
      <c r="M730" s="179"/>
      <c r="N730" s="179"/>
    </row>
    <row r="731" spans="2:14" hidden="1" outlineLevel="1">
      <c r="B731" s="178">
        <v>725</v>
      </c>
      <c r="C731" s="44"/>
      <c r="D731" s="45"/>
      <c r="E731" s="39" t="s">
        <v>325</v>
      </c>
      <c r="F731" s="180" t="s">
        <v>1155</v>
      </c>
      <c r="G731" s="40" t="s">
        <v>239</v>
      </c>
      <c r="H731" s="46" t="s">
        <v>240</v>
      </c>
      <c r="I731" s="51" t="str">
        <f>"0x"&amp;AE_w_WORK!I90</f>
        <v>0x0000</v>
      </c>
      <c r="J731" s="41">
        <v>40473</v>
      </c>
      <c r="K731" s="42"/>
      <c r="M731" s="179"/>
      <c r="N731" s="179"/>
    </row>
    <row r="732" spans="2:14" hidden="1" outlineLevel="1">
      <c r="B732" s="178">
        <v>726</v>
      </c>
      <c r="C732" s="44"/>
      <c r="D732" s="45"/>
      <c r="E732" s="39" t="s">
        <v>325</v>
      </c>
      <c r="F732" s="180" t="s">
        <v>1156</v>
      </c>
      <c r="G732" s="40" t="s">
        <v>241</v>
      </c>
      <c r="H732" s="46" t="s">
        <v>242</v>
      </c>
      <c r="I732" s="51" t="str">
        <f>"0x"&amp;AE_w_WORK!I91</f>
        <v>0x00DD</v>
      </c>
      <c r="J732" s="41">
        <v>40473</v>
      </c>
      <c r="K732" s="42"/>
      <c r="M732" s="179"/>
      <c r="N732" s="179"/>
    </row>
    <row r="733" spans="2:14" hidden="1" outlineLevel="1">
      <c r="B733" s="178">
        <v>727</v>
      </c>
      <c r="C733" s="44"/>
      <c r="D733" s="45"/>
      <c r="E733" s="39" t="s">
        <v>325</v>
      </c>
      <c r="F733" s="180" t="s">
        <v>1157</v>
      </c>
      <c r="G733" s="40" t="s">
        <v>243</v>
      </c>
      <c r="H733" s="46" t="s">
        <v>244</v>
      </c>
      <c r="I733" s="51" t="str">
        <f>"0x"&amp;AE_w_WORK!I92</f>
        <v>0xDD00</v>
      </c>
      <c r="J733" s="41">
        <v>40473</v>
      </c>
      <c r="K733" s="42"/>
      <c r="M733" s="179"/>
      <c r="N733" s="179"/>
    </row>
    <row r="734" spans="2:14" hidden="1" outlineLevel="1">
      <c r="B734" s="178">
        <v>728</v>
      </c>
      <c r="C734" s="44"/>
      <c r="D734" s="45"/>
      <c r="E734" s="39" t="s">
        <v>325</v>
      </c>
      <c r="F734" s="180" t="s">
        <v>1158</v>
      </c>
      <c r="G734" s="40" t="s">
        <v>245</v>
      </c>
      <c r="H734" s="46" t="s">
        <v>246</v>
      </c>
      <c r="I734" s="51" t="str">
        <f>"0x"&amp;AE_w_WORK!I93</f>
        <v>0x0000</v>
      </c>
      <c r="J734" s="41">
        <v>40473</v>
      </c>
      <c r="K734" s="42"/>
      <c r="M734" s="179"/>
      <c r="N734" s="179"/>
    </row>
    <row r="735" spans="2:14" hidden="1" outlineLevel="1">
      <c r="B735" s="178">
        <v>729</v>
      </c>
      <c r="C735" s="44"/>
      <c r="D735" s="45"/>
      <c r="E735" s="39" t="s">
        <v>325</v>
      </c>
      <c r="F735" s="180" t="s">
        <v>1159</v>
      </c>
      <c r="G735" s="40" t="s">
        <v>247</v>
      </c>
      <c r="H735" s="46" t="s">
        <v>248</v>
      </c>
      <c r="I735" s="51" t="str">
        <f>"0x"&amp;AE_w_WORK!I94</f>
        <v>0x0000</v>
      </c>
      <c r="J735" s="41">
        <v>40473</v>
      </c>
      <c r="K735" s="42"/>
      <c r="M735" s="179"/>
      <c r="N735" s="179"/>
    </row>
    <row r="736" spans="2:14" hidden="1" outlineLevel="1">
      <c r="B736" s="178">
        <v>730</v>
      </c>
      <c r="C736" s="44"/>
      <c r="D736" s="45"/>
      <c r="E736" s="39" t="s">
        <v>325</v>
      </c>
      <c r="F736" s="180" t="s">
        <v>1160</v>
      </c>
      <c r="G736" s="40" t="s">
        <v>249</v>
      </c>
      <c r="H736" s="46" t="s">
        <v>250</v>
      </c>
      <c r="I736" s="51" t="str">
        <f>"0x"&amp;AE_w_WORK!I95</f>
        <v>0x0000</v>
      </c>
      <c r="J736" s="41">
        <v>40473</v>
      </c>
      <c r="K736" s="42"/>
      <c r="M736" s="179"/>
      <c r="N736" s="179"/>
    </row>
    <row r="737" spans="2:14" hidden="1" outlineLevel="1">
      <c r="B737" s="178">
        <v>731</v>
      </c>
      <c r="C737" s="44"/>
      <c r="D737" s="45"/>
      <c r="E737" s="39" t="s">
        <v>325</v>
      </c>
      <c r="F737" s="180" t="s">
        <v>1161</v>
      </c>
      <c r="G737" s="40" t="s">
        <v>251</v>
      </c>
      <c r="H737" s="46" t="s">
        <v>252</v>
      </c>
      <c r="I737" s="51" t="str">
        <f>"0x"&amp;AE_w_WORK!I96</f>
        <v>0x0000</v>
      </c>
      <c r="J737" s="41">
        <v>40473</v>
      </c>
      <c r="K737" s="42"/>
      <c r="M737" s="179"/>
      <c r="N737" s="179"/>
    </row>
    <row r="738" spans="2:14" hidden="1" outlineLevel="1">
      <c r="B738" s="178">
        <v>732</v>
      </c>
      <c r="C738" s="44"/>
      <c r="D738" s="45"/>
      <c r="E738" s="39" t="s">
        <v>325</v>
      </c>
      <c r="F738" s="180" t="s">
        <v>1162</v>
      </c>
      <c r="G738" s="40" t="s">
        <v>253</v>
      </c>
      <c r="H738" s="46" t="s">
        <v>254</v>
      </c>
      <c r="I738" s="51" t="str">
        <f>"0x"&amp;AE_w_WORK!I97</f>
        <v>0x0000</v>
      </c>
      <c r="J738" s="41">
        <v>40473</v>
      </c>
      <c r="K738" s="42"/>
      <c r="M738" s="179"/>
      <c r="N738" s="179"/>
    </row>
    <row r="739" spans="2:14" hidden="1" outlineLevel="1">
      <c r="B739" s="178">
        <v>733</v>
      </c>
      <c r="C739" s="44"/>
      <c r="D739" s="45"/>
      <c r="E739" s="39" t="s">
        <v>325</v>
      </c>
      <c r="F739" s="180" t="s">
        <v>1163</v>
      </c>
      <c r="G739" s="40" t="s">
        <v>255</v>
      </c>
      <c r="H739" s="46" t="s">
        <v>256</v>
      </c>
      <c r="I739" s="51" t="str">
        <f>"0x"&amp;AE_w_WORK!I98</f>
        <v>0x0000</v>
      </c>
      <c r="J739" s="41">
        <v>40473</v>
      </c>
      <c r="K739" s="42"/>
      <c r="M739" s="179"/>
      <c r="N739" s="179"/>
    </row>
    <row r="740" spans="2:14" hidden="1" outlineLevel="1">
      <c r="B740" s="178">
        <v>734</v>
      </c>
      <c r="C740" s="44"/>
      <c r="D740" s="45"/>
      <c r="E740" s="39" t="s">
        <v>325</v>
      </c>
      <c r="F740" s="180" t="s">
        <v>1164</v>
      </c>
      <c r="G740" s="40" t="s">
        <v>257</v>
      </c>
      <c r="H740" s="46" t="s">
        <v>258</v>
      </c>
      <c r="I740" s="51" t="str">
        <f>"0x"&amp;AE_w_WORK!I99</f>
        <v>0x0000</v>
      </c>
      <c r="J740" s="41">
        <v>40473</v>
      </c>
      <c r="K740" s="42"/>
      <c r="M740" s="179"/>
      <c r="N740" s="179"/>
    </row>
    <row r="741" spans="2:14" hidden="1" outlineLevel="1">
      <c r="B741" s="178">
        <v>735</v>
      </c>
      <c r="C741" s="44"/>
      <c r="D741" s="45"/>
      <c r="E741" s="39" t="s">
        <v>325</v>
      </c>
      <c r="F741" s="180" t="s">
        <v>1165</v>
      </c>
      <c r="G741" s="40" t="s">
        <v>259</v>
      </c>
      <c r="H741" s="46" t="s">
        <v>260</v>
      </c>
      <c r="I741" s="51" t="str">
        <f>"0x"&amp;AE_w_WORK!I100</f>
        <v>0x0000</v>
      </c>
      <c r="J741" s="41">
        <v>40473</v>
      </c>
      <c r="K741" s="42"/>
      <c r="M741" s="179"/>
      <c r="N741" s="179"/>
    </row>
    <row r="742" spans="2:14" hidden="1" outlineLevel="1">
      <c r="B742" s="178">
        <v>736</v>
      </c>
      <c r="C742" s="44"/>
      <c r="D742" s="45"/>
      <c r="E742" s="39" t="s">
        <v>325</v>
      </c>
      <c r="F742" s="180" t="s">
        <v>1166</v>
      </c>
      <c r="G742" s="40" t="s">
        <v>261</v>
      </c>
      <c r="H742" s="46" t="s">
        <v>262</v>
      </c>
      <c r="I742" s="51" t="str">
        <f>"0x"&amp;AE_w_WORK!I101</f>
        <v>0x0000</v>
      </c>
      <c r="J742" s="41">
        <v>40473</v>
      </c>
      <c r="K742" s="42"/>
      <c r="M742" s="179"/>
      <c r="N742" s="179"/>
    </row>
    <row r="743" spans="2:14" hidden="1" outlineLevel="1">
      <c r="B743" s="178">
        <v>737</v>
      </c>
      <c r="C743" s="44"/>
      <c r="D743" s="45"/>
      <c r="E743" s="39" t="s">
        <v>325</v>
      </c>
      <c r="F743" s="180" t="s">
        <v>1167</v>
      </c>
      <c r="G743" s="40" t="s">
        <v>336</v>
      </c>
      <c r="H743" s="46" t="s">
        <v>81</v>
      </c>
      <c r="I743" s="51" t="str">
        <f>"0x"&amp;AE_w_WORK!I102</f>
        <v>0x0000</v>
      </c>
      <c r="J743" s="41">
        <v>40473</v>
      </c>
      <c r="K743" s="42"/>
      <c r="M743" s="179"/>
      <c r="N743" s="179"/>
    </row>
    <row r="744" spans="2:14" hidden="1" outlineLevel="1">
      <c r="B744" s="178">
        <v>738</v>
      </c>
      <c r="C744" s="44"/>
      <c r="D744" s="45"/>
      <c r="E744" s="39" t="s">
        <v>325</v>
      </c>
      <c r="F744" s="180" t="s">
        <v>1168</v>
      </c>
      <c r="G744" s="40" t="s">
        <v>82</v>
      </c>
      <c r="H744" s="46" t="s">
        <v>83</v>
      </c>
      <c r="I744" s="51" t="str">
        <f>"0x"&amp;AE_w_WORK!I103</f>
        <v>0x0000</v>
      </c>
      <c r="J744" s="41">
        <v>40473</v>
      </c>
      <c r="K744" s="42"/>
      <c r="M744" s="179"/>
      <c r="N744" s="179"/>
    </row>
    <row r="745" spans="2:14" hidden="1" outlineLevel="1">
      <c r="B745" s="178">
        <v>739</v>
      </c>
      <c r="C745" s="44"/>
      <c r="D745" s="45"/>
      <c r="E745" s="39" t="s">
        <v>325</v>
      </c>
      <c r="F745" s="180" t="s">
        <v>1169</v>
      </c>
      <c r="G745" s="40" t="s">
        <v>84</v>
      </c>
      <c r="H745" s="46" t="s">
        <v>85</v>
      </c>
      <c r="I745" s="51" t="str">
        <f>"0x"&amp;AE_w_WORK!I104</f>
        <v>0x0000</v>
      </c>
      <c r="J745" s="41">
        <v>40473</v>
      </c>
      <c r="K745" s="42"/>
      <c r="M745" s="179"/>
      <c r="N745" s="179"/>
    </row>
    <row r="746" spans="2:14" hidden="1" outlineLevel="1">
      <c r="B746" s="178">
        <v>740</v>
      </c>
      <c r="C746" s="44"/>
      <c r="D746" s="45"/>
      <c r="E746" s="39" t="s">
        <v>325</v>
      </c>
      <c r="F746" s="180" t="s">
        <v>1170</v>
      </c>
      <c r="G746" s="40" t="s">
        <v>86</v>
      </c>
      <c r="H746" s="46" t="s">
        <v>87</v>
      </c>
      <c r="I746" s="51" t="str">
        <f>"0x"&amp;AE_w_WORK!I105</f>
        <v>0x0000</v>
      </c>
      <c r="J746" s="41">
        <v>40473</v>
      </c>
      <c r="K746" s="42"/>
      <c r="M746" s="179"/>
      <c r="N746" s="179"/>
    </row>
    <row r="747" spans="2:14" hidden="1" outlineLevel="1">
      <c r="B747" s="178">
        <v>741</v>
      </c>
      <c r="C747" s="44"/>
      <c r="D747" s="45"/>
      <c r="E747" s="39" t="s">
        <v>325</v>
      </c>
      <c r="F747" s="180" t="s">
        <v>1171</v>
      </c>
      <c r="G747" s="40" t="s">
        <v>88</v>
      </c>
      <c r="H747" s="46" t="s">
        <v>89</v>
      </c>
      <c r="I747" s="51" t="str">
        <f>"0x"&amp;AE_w_WORK!I106</f>
        <v>0x0000</v>
      </c>
      <c r="J747" s="41">
        <v>40473</v>
      </c>
      <c r="K747" s="42"/>
      <c r="M747" s="179"/>
      <c r="N747" s="179"/>
    </row>
    <row r="748" spans="2:14" hidden="1" outlineLevel="1">
      <c r="B748" s="178">
        <v>742</v>
      </c>
      <c r="C748" s="44"/>
      <c r="D748" s="45"/>
      <c r="E748" s="39" t="s">
        <v>325</v>
      </c>
      <c r="F748" s="180" t="s">
        <v>1172</v>
      </c>
      <c r="G748" s="40" t="s">
        <v>90</v>
      </c>
      <c r="H748" s="46" t="s">
        <v>91</v>
      </c>
      <c r="I748" s="51" t="str">
        <f>"0x"&amp;AE_w_WORK!I107</f>
        <v>0x0000</v>
      </c>
      <c r="J748" s="41">
        <v>40473</v>
      </c>
      <c r="K748" s="42"/>
      <c r="M748" s="179"/>
      <c r="N748" s="179"/>
    </row>
    <row r="749" spans="2:14" hidden="1" outlineLevel="1">
      <c r="B749" s="178">
        <v>743</v>
      </c>
      <c r="C749" s="44"/>
      <c r="D749" s="45"/>
      <c r="E749" s="39" t="s">
        <v>325</v>
      </c>
      <c r="F749" s="180" t="s">
        <v>1173</v>
      </c>
      <c r="G749" s="40" t="s">
        <v>92</v>
      </c>
      <c r="H749" s="46" t="s">
        <v>93</v>
      </c>
      <c r="I749" s="51" t="str">
        <f>"0x"&amp;AE_w_WORK!I108</f>
        <v>0x0000</v>
      </c>
      <c r="J749" s="41">
        <v>40473</v>
      </c>
      <c r="K749" s="42"/>
      <c r="M749" s="179"/>
      <c r="N749" s="179"/>
    </row>
    <row r="750" spans="2:14" hidden="1" outlineLevel="1">
      <c r="B750" s="178">
        <v>744</v>
      </c>
      <c r="C750" s="44"/>
      <c r="D750" s="45"/>
      <c r="E750" s="39" t="s">
        <v>325</v>
      </c>
      <c r="F750" s="180" t="s">
        <v>1174</v>
      </c>
      <c r="G750" s="40" t="s">
        <v>94</v>
      </c>
      <c r="H750" s="46" t="s">
        <v>95</v>
      </c>
      <c r="I750" s="51" t="str">
        <f>"0x"&amp;AE_w_WORK!I109</f>
        <v>0x0000</v>
      </c>
      <c r="J750" s="41">
        <v>40473</v>
      </c>
      <c r="K750" s="42"/>
      <c r="M750" s="179"/>
      <c r="N750" s="179"/>
    </row>
    <row r="751" spans="2:14" hidden="1" outlineLevel="1">
      <c r="B751" s="178">
        <v>745</v>
      </c>
      <c r="C751" s="44"/>
      <c r="D751" s="45"/>
      <c r="E751" s="39" t="s">
        <v>325</v>
      </c>
      <c r="F751" s="180" t="s">
        <v>1175</v>
      </c>
      <c r="G751" s="40" t="s">
        <v>96</v>
      </c>
      <c r="H751" s="46" t="s">
        <v>97</v>
      </c>
      <c r="I751" s="51" t="str">
        <f>"0x"&amp;AE_w_WORK!I110</f>
        <v>0x0000</v>
      </c>
      <c r="J751" s="41">
        <v>40473</v>
      </c>
      <c r="K751" s="42"/>
      <c r="M751" s="179"/>
      <c r="N751" s="179"/>
    </row>
    <row r="752" spans="2:14" hidden="1" outlineLevel="1">
      <c r="B752" s="178">
        <v>746</v>
      </c>
      <c r="C752" s="44"/>
      <c r="D752" s="45"/>
      <c r="E752" s="39" t="s">
        <v>325</v>
      </c>
      <c r="F752" s="180" t="s">
        <v>1176</v>
      </c>
      <c r="G752" s="40" t="s">
        <v>98</v>
      </c>
      <c r="H752" s="46" t="s">
        <v>99</v>
      </c>
      <c r="I752" s="51" t="str">
        <f>"0x"&amp;AE_w_WORK!I111</f>
        <v>0x0000</v>
      </c>
      <c r="J752" s="41">
        <v>40473</v>
      </c>
      <c r="K752" s="42"/>
      <c r="M752" s="179"/>
      <c r="N752" s="179"/>
    </row>
    <row r="753" spans="2:14" hidden="1" outlineLevel="1">
      <c r="B753" s="178">
        <v>747</v>
      </c>
      <c r="C753" s="44"/>
      <c r="D753" s="45"/>
      <c r="E753" s="39" t="s">
        <v>325</v>
      </c>
      <c r="F753" s="180" t="s">
        <v>1177</v>
      </c>
      <c r="G753" s="40" t="s">
        <v>100</v>
      </c>
      <c r="H753" s="46" t="s">
        <v>101</v>
      </c>
      <c r="I753" s="51" t="str">
        <f>"0x"&amp;AE_w_WORK!I112</f>
        <v>0x0000</v>
      </c>
      <c r="J753" s="41">
        <v>40473</v>
      </c>
      <c r="K753" s="42"/>
      <c r="M753" s="179"/>
      <c r="N753" s="179"/>
    </row>
    <row r="754" spans="2:14" hidden="1" outlineLevel="1">
      <c r="B754" s="178">
        <v>748</v>
      </c>
      <c r="C754" s="44"/>
      <c r="D754" s="45"/>
      <c r="E754" s="39" t="s">
        <v>325</v>
      </c>
      <c r="F754" s="180" t="s">
        <v>1178</v>
      </c>
      <c r="G754" s="40" t="s">
        <v>102</v>
      </c>
      <c r="H754" s="46" t="s">
        <v>103</v>
      </c>
      <c r="I754" s="51" t="str">
        <f>"0x"&amp;AE_w_WORK!I113</f>
        <v>0x0000</v>
      </c>
      <c r="J754" s="41">
        <v>40473</v>
      </c>
      <c r="K754" s="42"/>
      <c r="M754" s="179"/>
      <c r="N754" s="179"/>
    </row>
    <row r="755" spans="2:14" hidden="1" outlineLevel="1">
      <c r="B755" s="178">
        <v>749</v>
      </c>
      <c r="C755" s="44"/>
      <c r="D755" s="45"/>
      <c r="E755" s="39" t="s">
        <v>325</v>
      </c>
      <c r="F755" s="180" t="s">
        <v>1179</v>
      </c>
      <c r="G755" s="40" t="s">
        <v>104</v>
      </c>
      <c r="H755" s="46" t="s">
        <v>105</v>
      </c>
      <c r="I755" s="51" t="str">
        <f>"0x"&amp;AE_w_WORK!I114</f>
        <v>0x0000</v>
      </c>
      <c r="J755" s="41">
        <v>40473</v>
      </c>
      <c r="K755" s="42"/>
      <c r="M755" s="179"/>
      <c r="N755" s="179"/>
    </row>
    <row r="756" spans="2:14" hidden="1" outlineLevel="1">
      <c r="B756" s="178">
        <v>750</v>
      </c>
      <c r="C756" s="44"/>
      <c r="D756" s="45"/>
      <c r="E756" s="39" t="s">
        <v>325</v>
      </c>
      <c r="F756" s="180" t="s">
        <v>1180</v>
      </c>
      <c r="G756" s="40" t="s">
        <v>106</v>
      </c>
      <c r="H756" s="46" t="s">
        <v>107</v>
      </c>
      <c r="I756" s="51" t="str">
        <f>"0x"&amp;AE_w_WORK!I115</f>
        <v>0x0000</v>
      </c>
      <c r="J756" s="41">
        <v>40473</v>
      </c>
      <c r="K756" s="42"/>
      <c r="M756" s="179"/>
      <c r="N756" s="179"/>
    </row>
    <row r="757" spans="2:14" hidden="1" outlineLevel="1">
      <c r="B757" s="178">
        <v>751</v>
      </c>
      <c r="C757" s="44"/>
      <c r="D757" s="45"/>
      <c r="E757" s="39" t="s">
        <v>325</v>
      </c>
      <c r="F757" s="180" t="s">
        <v>1181</v>
      </c>
      <c r="G757" s="40" t="s">
        <v>108</v>
      </c>
      <c r="H757" s="46" t="s">
        <v>109</v>
      </c>
      <c r="I757" s="51" t="str">
        <f>"0x"&amp;AE_w_WORK!I116</f>
        <v>0x0000</v>
      </c>
      <c r="J757" s="41">
        <v>40473</v>
      </c>
      <c r="K757" s="42"/>
      <c r="M757" s="179"/>
      <c r="N757" s="179"/>
    </row>
    <row r="758" spans="2:14" hidden="1" outlineLevel="1">
      <c r="B758" s="178">
        <v>752</v>
      </c>
      <c r="C758" s="44"/>
      <c r="D758" s="45"/>
      <c r="E758" s="39" t="s">
        <v>325</v>
      </c>
      <c r="F758" s="180" t="s">
        <v>1182</v>
      </c>
      <c r="G758" s="40" t="s">
        <v>110</v>
      </c>
      <c r="H758" s="46" t="s">
        <v>111</v>
      </c>
      <c r="I758" s="51" t="str">
        <f>"0x"&amp;AE_w_WORK!I117</f>
        <v>0x0000</v>
      </c>
      <c r="J758" s="41">
        <v>40473</v>
      </c>
      <c r="K758" s="42"/>
      <c r="M758" s="179"/>
      <c r="N758" s="179"/>
    </row>
    <row r="759" spans="2:14" hidden="1" outlineLevel="1">
      <c r="B759" s="178">
        <v>753</v>
      </c>
      <c r="C759" s="44"/>
      <c r="D759" s="45"/>
      <c r="E759" s="39" t="s">
        <v>325</v>
      </c>
      <c r="F759" s="180" t="s">
        <v>1183</v>
      </c>
      <c r="G759" s="40" t="s">
        <v>112</v>
      </c>
      <c r="H759" s="46" t="s">
        <v>113</v>
      </c>
      <c r="I759" s="51" t="str">
        <f>"0x"&amp;AE_w_WORK!I118</f>
        <v>0x0000</v>
      </c>
      <c r="J759" s="41">
        <v>40473</v>
      </c>
      <c r="K759" s="42"/>
      <c r="M759" s="179"/>
      <c r="N759" s="179"/>
    </row>
    <row r="760" spans="2:14" hidden="1" outlineLevel="1">
      <c r="B760" s="178">
        <v>754</v>
      </c>
      <c r="C760" s="44"/>
      <c r="D760" s="45"/>
      <c r="E760" s="39" t="s">
        <v>325</v>
      </c>
      <c r="F760" s="180" t="s">
        <v>1184</v>
      </c>
      <c r="G760" s="40" t="s">
        <v>114</v>
      </c>
      <c r="H760" s="46" t="s">
        <v>115</v>
      </c>
      <c r="I760" s="51" t="str">
        <f>"0x"&amp;AE_w_WORK!I119</f>
        <v>0x0000</v>
      </c>
      <c r="J760" s="41">
        <v>40473</v>
      </c>
      <c r="K760" s="42"/>
      <c r="M760" s="179"/>
      <c r="N760" s="179"/>
    </row>
    <row r="761" spans="2:14" hidden="1" outlineLevel="1">
      <c r="B761" s="178">
        <v>755</v>
      </c>
      <c r="C761" s="44"/>
      <c r="D761" s="45"/>
      <c r="E761" s="39" t="s">
        <v>325</v>
      </c>
      <c r="F761" s="180" t="s">
        <v>1185</v>
      </c>
      <c r="G761" s="40" t="s">
        <v>116</v>
      </c>
      <c r="H761" s="46" t="s">
        <v>117</v>
      </c>
      <c r="I761" s="51" t="str">
        <f>"0x"&amp;AE_w_WORK!I120</f>
        <v>0x0000</v>
      </c>
      <c r="J761" s="41">
        <v>40473</v>
      </c>
      <c r="K761" s="42"/>
      <c r="M761" s="179"/>
      <c r="N761" s="179"/>
    </row>
    <row r="762" spans="2:14" hidden="1" outlineLevel="1">
      <c r="B762" s="178">
        <v>756</v>
      </c>
      <c r="C762" s="44"/>
      <c r="D762" s="45"/>
      <c r="E762" s="39" t="s">
        <v>325</v>
      </c>
      <c r="F762" s="180" t="s">
        <v>1186</v>
      </c>
      <c r="G762" s="40" t="s">
        <v>118</v>
      </c>
      <c r="H762" s="46" t="s">
        <v>119</v>
      </c>
      <c r="I762" s="51" t="str">
        <f>"0x"&amp;AE_w_WORK!I121</f>
        <v>0x0000</v>
      </c>
      <c r="J762" s="41">
        <v>40473</v>
      </c>
      <c r="K762" s="42"/>
      <c r="M762" s="179"/>
      <c r="N762" s="179"/>
    </row>
    <row r="763" spans="2:14" hidden="1" outlineLevel="1">
      <c r="B763" s="178">
        <v>757</v>
      </c>
      <c r="C763" s="44"/>
      <c r="D763" s="45"/>
      <c r="E763" s="39" t="s">
        <v>325</v>
      </c>
      <c r="F763" s="180" t="s">
        <v>1187</v>
      </c>
      <c r="G763" s="40" t="s">
        <v>120</v>
      </c>
      <c r="H763" s="46" t="s">
        <v>264</v>
      </c>
      <c r="I763" s="51" t="str">
        <f>"0x"&amp;AE_w_WORK!I122</f>
        <v>0x0000</v>
      </c>
      <c r="J763" s="41">
        <v>40473</v>
      </c>
      <c r="K763" s="42"/>
      <c r="M763" s="179"/>
      <c r="N763" s="179"/>
    </row>
    <row r="764" spans="2:14" hidden="1" outlineLevel="1">
      <c r="B764" s="178">
        <v>758</v>
      </c>
      <c r="C764" s="44"/>
      <c r="D764" s="45"/>
      <c r="E764" s="39" t="s">
        <v>325</v>
      </c>
      <c r="F764" s="180" t="s">
        <v>1188</v>
      </c>
      <c r="G764" s="40" t="s">
        <v>0</v>
      </c>
      <c r="H764" s="46" t="s">
        <v>1</v>
      </c>
      <c r="I764" s="51" t="str">
        <f>"0x"&amp;AE_w_WORK!I123</f>
        <v>0x0000</v>
      </c>
      <c r="J764" s="41">
        <v>40473</v>
      </c>
      <c r="K764" s="42"/>
      <c r="M764" s="179"/>
      <c r="N764" s="179"/>
    </row>
    <row r="765" spans="2:14" hidden="1" outlineLevel="1">
      <c r="B765" s="178">
        <v>759</v>
      </c>
      <c r="C765" s="44"/>
      <c r="D765" s="45"/>
      <c r="E765" s="39" t="s">
        <v>325</v>
      </c>
      <c r="F765" s="180" t="s">
        <v>1189</v>
      </c>
      <c r="G765" s="40" t="s">
        <v>2</v>
      </c>
      <c r="H765" s="46" t="s">
        <v>3</v>
      </c>
      <c r="I765" s="51" t="str">
        <f>"0x"&amp;AE_w_WORK!I124</f>
        <v>0x0000</v>
      </c>
      <c r="J765" s="41">
        <v>40473</v>
      </c>
      <c r="K765" s="42"/>
      <c r="M765" s="179"/>
      <c r="N765" s="179"/>
    </row>
    <row r="766" spans="2:14" hidden="1" outlineLevel="1">
      <c r="B766" s="178">
        <v>760</v>
      </c>
      <c r="C766" s="44"/>
      <c r="D766" s="45"/>
      <c r="E766" s="39" t="s">
        <v>325</v>
      </c>
      <c r="F766" s="180" t="s">
        <v>1190</v>
      </c>
      <c r="G766" s="40" t="s">
        <v>4</v>
      </c>
      <c r="H766" s="46" t="s">
        <v>5</v>
      </c>
      <c r="I766" s="51" t="str">
        <f>"0x"&amp;AE_w_WORK!I125</f>
        <v>0x0000</v>
      </c>
      <c r="J766" s="41">
        <v>40473</v>
      </c>
      <c r="K766" s="42"/>
      <c r="M766" s="179"/>
      <c r="N766" s="179"/>
    </row>
    <row r="767" spans="2:14" hidden="1" outlineLevel="1">
      <c r="B767" s="178">
        <v>761</v>
      </c>
      <c r="C767" s="44"/>
      <c r="D767" s="45"/>
      <c r="E767" s="39" t="s">
        <v>325</v>
      </c>
      <c r="F767" s="180" t="s">
        <v>1191</v>
      </c>
      <c r="G767" s="40" t="s">
        <v>6</v>
      </c>
      <c r="H767" s="46" t="s">
        <v>7</v>
      </c>
      <c r="I767" s="51" t="str">
        <f>"0x"&amp;AE_w_WORK!I126</f>
        <v>0x0000</v>
      </c>
      <c r="J767" s="41">
        <v>40473</v>
      </c>
      <c r="K767" s="42"/>
      <c r="M767" s="179"/>
      <c r="N767" s="179"/>
    </row>
    <row r="768" spans="2:14" hidden="1" outlineLevel="1">
      <c r="B768" s="178">
        <v>762</v>
      </c>
      <c r="C768" s="44"/>
      <c r="D768" s="45"/>
      <c r="E768" s="39" t="s">
        <v>325</v>
      </c>
      <c r="F768" s="180" t="s">
        <v>1192</v>
      </c>
      <c r="G768" s="40" t="s">
        <v>8</v>
      </c>
      <c r="H768" s="46" t="s">
        <v>9</v>
      </c>
      <c r="I768" s="51" t="str">
        <f>"0x"&amp;AE_w_WORK!I127</f>
        <v>0x0000</v>
      </c>
      <c r="J768" s="41">
        <v>40473</v>
      </c>
      <c r="K768" s="42"/>
      <c r="M768" s="179"/>
      <c r="N768" s="179"/>
    </row>
    <row r="769" spans="2:14" hidden="1" outlineLevel="1">
      <c r="B769" s="178">
        <v>763</v>
      </c>
      <c r="C769" s="44"/>
      <c r="D769" s="45"/>
      <c r="E769" s="39" t="s">
        <v>325</v>
      </c>
      <c r="F769" s="180" t="s">
        <v>1193</v>
      </c>
      <c r="G769" s="40" t="s">
        <v>10</v>
      </c>
      <c r="H769" s="46" t="s">
        <v>11</v>
      </c>
      <c r="I769" s="51" t="str">
        <f>"0x"&amp;AE_w_WORK!I128</f>
        <v>0x0000</v>
      </c>
      <c r="J769" s="41">
        <v>40473</v>
      </c>
      <c r="K769" s="42"/>
      <c r="M769" s="179"/>
      <c r="N769" s="179"/>
    </row>
    <row r="770" spans="2:14" hidden="1" outlineLevel="1">
      <c r="B770" s="178">
        <v>764</v>
      </c>
      <c r="C770" s="44"/>
      <c r="D770" s="45"/>
      <c r="E770" s="39" t="s">
        <v>325</v>
      </c>
      <c r="F770" s="180" t="s">
        <v>1194</v>
      </c>
      <c r="G770" s="40" t="s">
        <v>12</v>
      </c>
      <c r="H770" s="46" t="s">
        <v>13</v>
      </c>
      <c r="I770" s="51" t="str">
        <f>"0x"&amp;AE_w_WORK!I129</f>
        <v>0x0000</v>
      </c>
      <c r="J770" s="41">
        <v>40473</v>
      </c>
      <c r="K770" s="42"/>
      <c r="M770" s="179"/>
      <c r="N770" s="179"/>
    </row>
    <row r="771" spans="2:14" hidden="1" outlineLevel="1">
      <c r="B771" s="178">
        <v>765</v>
      </c>
      <c r="C771" s="44"/>
      <c r="D771" s="45"/>
      <c r="E771" s="39" t="s">
        <v>325</v>
      </c>
      <c r="F771" s="180" t="s">
        <v>1195</v>
      </c>
      <c r="G771" s="40" t="s">
        <v>14</v>
      </c>
      <c r="H771" s="46" t="s">
        <v>15</v>
      </c>
      <c r="I771" s="51" t="str">
        <f>"0x"&amp;AE_w_WORK!I130</f>
        <v>0x0000</v>
      </c>
      <c r="J771" s="41">
        <v>40473</v>
      </c>
      <c r="K771" s="42"/>
      <c r="M771" s="179"/>
      <c r="N771" s="179"/>
    </row>
    <row r="772" spans="2:14" hidden="1" outlineLevel="1">
      <c r="B772" s="178">
        <v>766</v>
      </c>
      <c r="C772" s="44"/>
      <c r="D772" s="45"/>
      <c r="E772" s="39" t="s">
        <v>325</v>
      </c>
      <c r="F772" s="180" t="s">
        <v>1196</v>
      </c>
      <c r="G772" s="40" t="s">
        <v>16</v>
      </c>
      <c r="H772" s="46" t="s">
        <v>17</v>
      </c>
      <c r="I772" s="51" t="str">
        <f>"0x"&amp;AE_w_WORK!I131</f>
        <v>0x0000</v>
      </c>
      <c r="J772" s="41">
        <v>40473</v>
      </c>
      <c r="K772" s="42"/>
      <c r="M772" s="179"/>
      <c r="N772" s="179"/>
    </row>
    <row r="773" spans="2:14" hidden="1" outlineLevel="1">
      <c r="B773" s="178">
        <v>767</v>
      </c>
      <c r="C773" s="44"/>
      <c r="D773" s="45"/>
      <c r="E773" s="39" t="s">
        <v>325</v>
      </c>
      <c r="F773" s="180" t="s">
        <v>1197</v>
      </c>
      <c r="G773" s="40" t="s">
        <v>18</v>
      </c>
      <c r="H773" s="46" t="s">
        <v>19</v>
      </c>
      <c r="I773" s="51" t="str">
        <f>"0x"&amp;AE_w_WORK!I132</f>
        <v>0x0000</v>
      </c>
      <c r="J773" s="41">
        <v>40473</v>
      </c>
      <c r="K773" s="42"/>
      <c r="M773" s="179"/>
      <c r="N773" s="179"/>
    </row>
    <row r="774" spans="2:14" hidden="1" outlineLevel="1">
      <c r="B774" s="178">
        <v>768</v>
      </c>
      <c r="C774" s="44"/>
      <c r="D774" s="45"/>
      <c r="E774" s="39" t="s">
        <v>325</v>
      </c>
      <c r="F774" s="180" t="s">
        <v>1198</v>
      </c>
      <c r="G774" s="40" t="s">
        <v>330</v>
      </c>
      <c r="H774" s="46" t="s">
        <v>21</v>
      </c>
      <c r="I774" s="51" t="str">
        <f>"0x"&amp;AE_w_WORK!I133</f>
        <v>0x0000</v>
      </c>
      <c r="J774" s="41">
        <v>40473</v>
      </c>
      <c r="K774" s="42"/>
      <c r="M774" s="179"/>
      <c r="N774" s="179"/>
    </row>
    <row r="775" spans="2:14" collapsed="1">
      <c r="B775" s="178">
        <v>769</v>
      </c>
      <c r="C775" s="44"/>
      <c r="D775" s="45"/>
      <c r="E775" s="39" t="s">
        <v>325</v>
      </c>
      <c r="F775" s="180" t="s">
        <v>1199</v>
      </c>
      <c r="G775" s="40" t="s">
        <v>79</v>
      </c>
      <c r="H775" s="46" t="s">
        <v>80</v>
      </c>
      <c r="I775" s="51" t="str">
        <f>"0x"&amp;AE_w_WORK!J6</f>
        <v>0x0000</v>
      </c>
      <c r="J775" s="41">
        <v>40473</v>
      </c>
      <c r="K775" s="42" t="s">
        <v>428</v>
      </c>
      <c r="M775" s="179"/>
      <c r="N775" s="179"/>
    </row>
    <row r="776" spans="2:14" hidden="1" outlineLevel="1">
      <c r="B776" s="178">
        <v>770</v>
      </c>
      <c r="C776" s="44"/>
      <c r="D776" s="45"/>
      <c r="E776" s="39" t="s">
        <v>325</v>
      </c>
      <c r="F776" s="180" t="s">
        <v>1200</v>
      </c>
      <c r="G776" s="40" t="s">
        <v>77</v>
      </c>
      <c r="H776" s="46" t="s">
        <v>78</v>
      </c>
      <c r="I776" s="51" t="str">
        <f>"0x"&amp;AE_w_WORK!J7</f>
        <v>0x0000</v>
      </c>
      <c r="J776" s="41">
        <v>40473</v>
      </c>
      <c r="K776" s="42"/>
      <c r="M776" s="179"/>
      <c r="N776" s="179"/>
    </row>
    <row r="777" spans="2:14" hidden="1" outlineLevel="1">
      <c r="B777" s="178">
        <v>771</v>
      </c>
      <c r="C777" s="44"/>
      <c r="D777" s="45"/>
      <c r="E777" s="39" t="s">
        <v>325</v>
      </c>
      <c r="F777" s="180" t="s">
        <v>1201</v>
      </c>
      <c r="G777" s="40" t="s">
        <v>22</v>
      </c>
      <c r="H777" s="46" t="s">
        <v>23</v>
      </c>
      <c r="I777" s="51" t="str">
        <f>"0x"&amp;AE_w_WORK!J8</f>
        <v>0x0000</v>
      </c>
      <c r="J777" s="41">
        <v>40473</v>
      </c>
      <c r="K777" s="42"/>
      <c r="M777" s="179"/>
      <c r="N777" s="179"/>
    </row>
    <row r="778" spans="2:14" hidden="1" outlineLevel="1">
      <c r="B778" s="178">
        <v>772</v>
      </c>
      <c r="C778" s="44"/>
      <c r="D778" s="45"/>
      <c r="E778" s="39" t="s">
        <v>325</v>
      </c>
      <c r="F778" s="180" t="s">
        <v>1202</v>
      </c>
      <c r="G778" s="40" t="s">
        <v>24</v>
      </c>
      <c r="H778" s="46" t="s">
        <v>25</v>
      </c>
      <c r="I778" s="51" t="str">
        <f>"0x"&amp;AE_w_WORK!J9</f>
        <v>0x0000</v>
      </c>
      <c r="J778" s="41">
        <v>40473</v>
      </c>
      <c r="K778" s="42"/>
      <c r="M778" s="179"/>
      <c r="N778" s="179"/>
    </row>
    <row r="779" spans="2:14" hidden="1" outlineLevel="1">
      <c r="B779" s="178">
        <v>773</v>
      </c>
      <c r="C779" s="44"/>
      <c r="D779" s="45"/>
      <c r="E779" s="39" t="s">
        <v>325</v>
      </c>
      <c r="F779" s="180" t="s">
        <v>1203</v>
      </c>
      <c r="G779" s="40" t="s">
        <v>26</v>
      </c>
      <c r="H779" s="46" t="s">
        <v>27</v>
      </c>
      <c r="I779" s="51" t="str">
        <f>"0x"&amp;AE_w_WORK!J10</f>
        <v>0x0000</v>
      </c>
      <c r="J779" s="41">
        <v>40473</v>
      </c>
      <c r="K779" s="42"/>
      <c r="M779" s="179"/>
      <c r="N779" s="179"/>
    </row>
    <row r="780" spans="2:14" hidden="1" outlineLevel="1">
      <c r="B780" s="178">
        <v>774</v>
      </c>
      <c r="C780" s="44"/>
      <c r="D780" s="45"/>
      <c r="E780" s="39" t="s">
        <v>325</v>
      </c>
      <c r="F780" s="180" t="s">
        <v>1204</v>
      </c>
      <c r="G780" s="40" t="s">
        <v>28</v>
      </c>
      <c r="H780" s="46" t="s">
        <v>29</v>
      </c>
      <c r="I780" s="51" t="str">
        <f>"0x"&amp;AE_w_WORK!J11</f>
        <v>0x0000</v>
      </c>
      <c r="J780" s="41">
        <v>40473</v>
      </c>
      <c r="K780" s="42"/>
      <c r="M780" s="179"/>
      <c r="N780" s="179"/>
    </row>
    <row r="781" spans="2:14" hidden="1" outlineLevel="1">
      <c r="B781" s="178">
        <v>775</v>
      </c>
      <c r="C781" s="44"/>
      <c r="D781" s="45"/>
      <c r="E781" s="39" t="s">
        <v>325</v>
      </c>
      <c r="F781" s="180" t="s">
        <v>1205</v>
      </c>
      <c r="G781" s="40" t="s">
        <v>30</v>
      </c>
      <c r="H781" s="46" t="s">
        <v>31</v>
      </c>
      <c r="I781" s="51" t="str">
        <f>"0x"&amp;AE_w_WORK!J12</f>
        <v>0x0000</v>
      </c>
      <c r="J781" s="41">
        <v>40473</v>
      </c>
      <c r="K781" s="42"/>
      <c r="M781" s="179"/>
      <c r="N781" s="179"/>
    </row>
    <row r="782" spans="2:14" hidden="1" outlineLevel="1">
      <c r="B782" s="178">
        <v>776</v>
      </c>
      <c r="C782" s="44"/>
      <c r="D782" s="45"/>
      <c r="E782" s="39" t="s">
        <v>325</v>
      </c>
      <c r="F782" s="180" t="s">
        <v>1206</v>
      </c>
      <c r="G782" s="40" t="s">
        <v>32</v>
      </c>
      <c r="H782" s="46" t="s">
        <v>33</v>
      </c>
      <c r="I782" s="51" t="str">
        <f>"0x"&amp;AE_w_WORK!J13</f>
        <v>0x0000</v>
      </c>
      <c r="J782" s="41">
        <v>40473</v>
      </c>
      <c r="K782" s="42"/>
      <c r="M782" s="179"/>
      <c r="N782" s="179"/>
    </row>
    <row r="783" spans="2:14" hidden="1" outlineLevel="1">
      <c r="B783" s="178">
        <v>777</v>
      </c>
      <c r="C783" s="44"/>
      <c r="D783" s="45"/>
      <c r="E783" s="39" t="s">
        <v>325</v>
      </c>
      <c r="F783" s="180" t="s">
        <v>1207</v>
      </c>
      <c r="G783" s="40" t="s">
        <v>34</v>
      </c>
      <c r="H783" s="46" t="s">
        <v>35</v>
      </c>
      <c r="I783" s="51" t="str">
        <f>"0x"&amp;AE_w_WORK!J14</f>
        <v>0x0000</v>
      </c>
      <c r="J783" s="41">
        <v>40473</v>
      </c>
      <c r="K783" s="42"/>
      <c r="M783" s="179"/>
      <c r="N783" s="179"/>
    </row>
    <row r="784" spans="2:14" hidden="1" outlineLevel="1">
      <c r="B784" s="178">
        <v>778</v>
      </c>
      <c r="C784" s="44"/>
      <c r="D784" s="45"/>
      <c r="E784" s="39" t="s">
        <v>325</v>
      </c>
      <c r="F784" s="180" t="s">
        <v>1208</v>
      </c>
      <c r="G784" s="40" t="s">
        <v>36</v>
      </c>
      <c r="H784" s="46" t="s">
        <v>37</v>
      </c>
      <c r="I784" s="51" t="str">
        <f>"0x"&amp;AE_w_WORK!J15</f>
        <v>0x0000</v>
      </c>
      <c r="J784" s="41">
        <v>40473</v>
      </c>
      <c r="K784" s="42"/>
      <c r="M784" s="179"/>
      <c r="N784" s="179"/>
    </row>
    <row r="785" spans="2:14" hidden="1" outlineLevel="1">
      <c r="B785" s="178">
        <v>779</v>
      </c>
      <c r="C785" s="44"/>
      <c r="D785" s="45"/>
      <c r="E785" s="39" t="s">
        <v>325</v>
      </c>
      <c r="F785" s="180" t="s">
        <v>1209</v>
      </c>
      <c r="G785" s="40" t="s">
        <v>38</v>
      </c>
      <c r="H785" s="46" t="s">
        <v>39</v>
      </c>
      <c r="I785" s="51" t="str">
        <f>"0x"&amp;AE_w_WORK!J16</f>
        <v>0x0000</v>
      </c>
      <c r="J785" s="41">
        <v>40473</v>
      </c>
      <c r="K785" s="42"/>
      <c r="M785" s="179"/>
      <c r="N785" s="179"/>
    </row>
    <row r="786" spans="2:14" hidden="1" outlineLevel="1">
      <c r="B786" s="178">
        <v>780</v>
      </c>
      <c r="C786" s="44"/>
      <c r="D786" s="45"/>
      <c r="E786" s="39" t="s">
        <v>325</v>
      </c>
      <c r="F786" s="180" t="s">
        <v>1210</v>
      </c>
      <c r="G786" s="40" t="s">
        <v>40</v>
      </c>
      <c r="H786" s="46" t="s">
        <v>41</v>
      </c>
      <c r="I786" s="51" t="str">
        <f>"0x"&amp;AE_w_WORK!J17</f>
        <v>0x0000</v>
      </c>
      <c r="J786" s="41">
        <v>40473</v>
      </c>
      <c r="K786" s="42"/>
      <c r="M786" s="179"/>
      <c r="N786" s="179"/>
    </row>
    <row r="787" spans="2:14" hidden="1" outlineLevel="1">
      <c r="B787" s="178">
        <v>781</v>
      </c>
      <c r="C787" s="44"/>
      <c r="D787" s="45"/>
      <c r="E787" s="39" t="s">
        <v>325</v>
      </c>
      <c r="F787" s="180" t="s">
        <v>1211</v>
      </c>
      <c r="G787" s="40" t="s">
        <v>42</v>
      </c>
      <c r="H787" s="46" t="s">
        <v>43</v>
      </c>
      <c r="I787" s="51" t="str">
        <f>"0x"&amp;AE_w_WORK!J18</f>
        <v>0x0000</v>
      </c>
      <c r="J787" s="41">
        <v>40473</v>
      </c>
      <c r="K787" s="42"/>
      <c r="M787" s="179"/>
      <c r="N787" s="179"/>
    </row>
    <row r="788" spans="2:14" hidden="1" outlineLevel="1">
      <c r="B788" s="178">
        <v>782</v>
      </c>
      <c r="C788" s="44"/>
      <c r="D788" s="45"/>
      <c r="E788" s="39" t="s">
        <v>325</v>
      </c>
      <c r="F788" s="180" t="s">
        <v>1212</v>
      </c>
      <c r="G788" s="40" t="s">
        <v>44</v>
      </c>
      <c r="H788" s="46" t="s">
        <v>45</v>
      </c>
      <c r="I788" s="51" t="str">
        <f>"0x"&amp;AE_w_WORK!J19</f>
        <v>0x0000</v>
      </c>
      <c r="J788" s="41">
        <v>40473</v>
      </c>
      <c r="K788" s="42"/>
      <c r="M788" s="179"/>
      <c r="N788" s="179"/>
    </row>
    <row r="789" spans="2:14" hidden="1" outlineLevel="1">
      <c r="B789" s="178">
        <v>783</v>
      </c>
      <c r="C789" s="44"/>
      <c r="D789" s="45"/>
      <c r="E789" s="39" t="s">
        <v>325</v>
      </c>
      <c r="F789" s="180" t="s">
        <v>1213</v>
      </c>
      <c r="G789" s="40" t="s">
        <v>46</v>
      </c>
      <c r="H789" s="46" t="s">
        <v>47</v>
      </c>
      <c r="I789" s="51" t="str">
        <f>"0x"&amp;AE_w_WORK!J20</f>
        <v>0x0000</v>
      </c>
      <c r="J789" s="41">
        <v>40473</v>
      </c>
      <c r="K789" s="42"/>
      <c r="M789" s="179"/>
      <c r="N789" s="179"/>
    </row>
    <row r="790" spans="2:14" hidden="1" outlineLevel="1">
      <c r="B790" s="178">
        <v>784</v>
      </c>
      <c r="C790" s="44"/>
      <c r="D790" s="45"/>
      <c r="E790" s="39" t="s">
        <v>325</v>
      </c>
      <c r="F790" s="180" t="s">
        <v>1214</v>
      </c>
      <c r="G790" s="40" t="s">
        <v>48</v>
      </c>
      <c r="H790" s="46" t="s">
        <v>49</v>
      </c>
      <c r="I790" s="51" t="str">
        <f>"0x"&amp;AE_w_WORK!J21</f>
        <v>0x0000</v>
      </c>
      <c r="J790" s="41">
        <v>40473</v>
      </c>
      <c r="K790" s="42"/>
      <c r="M790" s="179"/>
      <c r="N790" s="179"/>
    </row>
    <row r="791" spans="2:14" hidden="1" outlineLevel="1">
      <c r="B791" s="178">
        <v>785</v>
      </c>
      <c r="C791" s="44"/>
      <c r="D791" s="45"/>
      <c r="E791" s="39" t="s">
        <v>325</v>
      </c>
      <c r="F791" s="180" t="s">
        <v>1215</v>
      </c>
      <c r="G791" s="40" t="s">
        <v>50</v>
      </c>
      <c r="H791" s="46" t="s">
        <v>51</v>
      </c>
      <c r="I791" s="51" t="str">
        <f>"0x"&amp;AE_w_WORK!J22</f>
        <v>0x0000</v>
      </c>
      <c r="J791" s="41">
        <v>40473</v>
      </c>
      <c r="K791" s="42"/>
      <c r="M791" s="179"/>
      <c r="N791" s="179"/>
    </row>
    <row r="792" spans="2:14" hidden="1" outlineLevel="1">
      <c r="B792" s="178">
        <v>786</v>
      </c>
      <c r="C792" s="44"/>
      <c r="D792" s="45"/>
      <c r="E792" s="39" t="s">
        <v>325</v>
      </c>
      <c r="F792" s="180" t="s">
        <v>1216</v>
      </c>
      <c r="G792" s="40" t="s">
        <v>52</v>
      </c>
      <c r="H792" s="46" t="s">
        <v>53</v>
      </c>
      <c r="I792" s="51" t="str">
        <f>"0x"&amp;AE_w_WORK!J23</f>
        <v>0x0000</v>
      </c>
      <c r="J792" s="41">
        <v>40473</v>
      </c>
      <c r="K792" s="42"/>
      <c r="M792" s="179"/>
      <c r="N792" s="179"/>
    </row>
    <row r="793" spans="2:14" hidden="1" outlineLevel="1">
      <c r="B793" s="178">
        <v>787</v>
      </c>
      <c r="C793" s="44"/>
      <c r="D793" s="45"/>
      <c r="E793" s="39" t="s">
        <v>325</v>
      </c>
      <c r="F793" s="180" t="s">
        <v>1217</v>
      </c>
      <c r="G793" s="40" t="s">
        <v>54</v>
      </c>
      <c r="H793" s="46" t="s">
        <v>55</v>
      </c>
      <c r="I793" s="51" t="str">
        <f>"0x"&amp;AE_w_WORK!J24</f>
        <v>0x0000</v>
      </c>
      <c r="J793" s="41">
        <v>40473</v>
      </c>
      <c r="K793" s="42"/>
      <c r="M793" s="179"/>
      <c r="N793" s="179"/>
    </row>
    <row r="794" spans="2:14" hidden="1" outlineLevel="1">
      <c r="B794" s="178">
        <v>788</v>
      </c>
      <c r="C794" s="44"/>
      <c r="D794" s="45"/>
      <c r="E794" s="39" t="s">
        <v>325</v>
      </c>
      <c r="F794" s="180" t="s">
        <v>1218</v>
      </c>
      <c r="G794" s="40" t="s">
        <v>56</v>
      </c>
      <c r="H794" s="46" t="s">
        <v>57</v>
      </c>
      <c r="I794" s="51" t="str">
        <f>"0x"&amp;AE_w_WORK!J25</f>
        <v>0x0000</v>
      </c>
      <c r="J794" s="41">
        <v>40473</v>
      </c>
      <c r="K794" s="42"/>
      <c r="M794" s="179"/>
      <c r="N794" s="179"/>
    </row>
    <row r="795" spans="2:14" hidden="1" outlineLevel="1">
      <c r="B795" s="178">
        <v>789</v>
      </c>
      <c r="C795" s="44"/>
      <c r="D795" s="45"/>
      <c r="E795" s="39" t="s">
        <v>325</v>
      </c>
      <c r="F795" s="180" t="s">
        <v>1219</v>
      </c>
      <c r="G795" s="40" t="s">
        <v>58</v>
      </c>
      <c r="H795" s="46" t="s">
        <v>59</v>
      </c>
      <c r="I795" s="51" t="str">
        <f>"0x"&amp;AE_w_WORK!J26</f>
        <v>0x0000</v>
      </c>
      <c r="J795" s="41">
        <v>40473</v>
      </c>
      <c r="K795" s="42"/>
      <c r="M795" s="179"/>
      <c r="N795" s="179"/>
    </row>
    <row r="796" spans="2:14" hidden="1" outlineLevel="1">
      <c r="B796" s="178">
        <v>790</v>
      </c>
      <c r="C796" s="44"/>
      <c r="D796" s="45"/>
      <c r="E796" s="39" t="s">
        <v>325</v>
      </c>
      <c r="F796" s="180" t="s">
        <v>1220</v>
      </c>
      <c r="G796" s="40" t="s">
        <v>60</v>
      </c>
      <c r="H796" s="46" t="s">
        <v>61</v>
      </c>
      <c r="I796" s="51" t="str">
        <f>"0x"&amp;AE_w_WORK!J27</f>
        <v>0x0000</v>
      </c>
      <c r="J796" s="41">
        <v>40473</v>
      </c>
      <c r="K796" s="42"/>
      <c r="M796" s="179"/>
      <c r="N796" s="179"/>
    </row>
    <row r="797" spans="2:14" hidden="1" outlineLevel="1">
      <c r="B797" s="178">
        <v>791</v>
      </c>
      <c r="C797" s="44"/>
      <c r="D797" s="45"/>
      <c r="E797" s="39" t="s">
        <v>325</v>
      </c>
      <c r="F797" s="180" t="s">
        <v>1221</v>
      </c>
      <c r="G797" s="40" t="s">
        <v>62</v>
      </c>
      <c r="H797" s="46" t="s">
        <v>63</v>
      </c>
      <c r="I797" s="51" t="str">
        <f>"0x"&amp;AE_w_WORK!J28</f>
        <v>0x0000</v>
      </c>
      <c r="J797" s="41">
        <v>40473</v>
      </c>
      <c r="K797" s="42"/>
      <c r="M797" s="179"/>
      <c r="N797" s="179"/>
    </row>
    <row r="798" spans="2:14" hidden="1" outlineLevel="1">
      <c r="B798" s="178">
        <v>792</v>
      </c>
      <c r="C798" s="44"/>
      <c r="D798" s="45"/>
      <c r="E798" s="39" t="s">
        <v>325</v>
      </c>
      <c r="F798" s="180" t="s">
        <v>1222</v>
      </c>
      <c r="G798" s="40" t="s">
        <v>64</v>
      </c>
      <c r="H798" s="46" t="s">
        <v>65</v>
      </c>
      <c r="I798" s="51" t="str">
        <f>"0x"&amp;AE_w_WORK!J29</f>
        <v>0x0000</v>
      </c>
      <c r="J798" s="41">
        <v>40473</v>
      </c>
      <c r="K798" s="42"/>
      <c r="M798" s="179"/>
      <c r="N798" s="179"/>
    </row>
    <row r="799" spans="2:14" hidden="1" outlineLevel="1">
      <c r="B799" s="178">
        <v>793</v>
      </c>
      <c r="C799" s="44"/>
      <c r="D799" s="45"/>
      <c r="E799" s="39" t="s">
        <v>325</v>
      </c>
      <c r="F799" s="180" t="s">
        <v>1223</v>
      </c>
      <c r="G799" s="40" t="s">
        <v>66</v>
      </c>
      <c r="H799" s="46" t="s">
        <v>67</v>
      </c>
      <c r="I799" s="51" t="str">
        <f>"0x"&amp;AE_w_WORK!J30</f>
        <v>0x0000</v>
      </c>
      <c r="J799" s="41">
        <v>40473</v>
      </c>
      <c r="K799" s="42"/>
      <c r="M799" s="179"/>
      <c r="N799" s="179"/>
    </row>
    <row r="800" spans="2:14" hidden="1" outlineLevel="1">
      <c r="B800" s="178">
        <v>794</v>
      </c>
      <c r="C800" s="44"/>
      <c r="D800" s="45"/>
      <c r="E800" s="39" t="s">
        <v>325</v>
      </c>
      <c r="F800" s="180" t="s">
        <v>1224</v>
      </c>
      <c r="G800" s="40" t="s">
        <v>68</v>
      </c>
      <c r="H800" s="46" t="s">
        <v>69</v>
      </c>
      <c r="I800" s="51" t="str">
        <f>"0x"&amp;AE_w_WORK!J31</f>
        <v>0x0007</v>
      </c>
      <c r="J800" s="41">
        <v>40473</v>
      </c>
      <c r="K800" s="42"/>
      <c r="M800" s="179"/>
      <c r="N800" s="179"/>
    </row>
    <row r="801" spans="2:14" hidden="1" outlineLevel="1">
      <c r="B801" s="178">
        <v>795</v>
      </c>
      <c r="C801" s="44"/>
      <c r="D801" s="45"/>
      <c r="E801" s="39" t="s">
        <v>325</v>
      </c>
      <c r="F801" s="180" t="s">
        <v>1225</v>
      </c>
      <c r="G801" s="40" t="s">
        <v>70</v>
      </c>
      <c r="H801" s="46" t="s">
        <v>71</v>
      </c>
      <c r="I801" s="51" t="str">
        <f>"0x"&amp;AE_w_WORK!J32</f>
        <v>0x7000</v>
      </c>
      <c r="J801" s="41">
        <v>40473</v>
      </c>
      <c r="K801" s="42"/>
      <c r="M801" s="179"/>
      <c r="N801" s="179"/>
    </row>
    <row r="802" spans="2:14" hidden="1" outlineLevel="1">
      <c r="B802" s="178">
        <v>796</v>
      </c>
      <c r="C802" s="44"/>
      <c r="D802" s="45"/>
      <c r="E802" s="39" t="s">
        <v>325</v>
      </c>
      <c r="F802" s="180" t="s">
        <v>1226</v>
      </c>
      <c r="G802" s="40" t="s">
        <v>72</v>
      </c>
      <c r="H802" s="46" t="s">
        <v>73</v>
      </c>
      <c r="I802" s="51" t="str">
        <f>"0x"&amp;AE_w_WORK!J33</f>
        <v>0x0000</v>
      </c>
      <c r="J802" s="41">
        <v>40473</v>
      </c>
      <c r="K802" s="42"/>
      <c r="M802" s="179"/>
      <c r="N802" s="179"/>
    </row>
    <row r="803" spans="2:14" hidden="1" outlineLevel="1">
      <c r="B803" s="178">
        <v>797</v>
      </c>
      <c r="C803" s="44"/>
      <c r="D803" s="45"/>
      <c r="E803" s="39" t="s">
        <v>325</v>
      </c>
      <c r="F803" s="180" t="s">
        <v>1227</v>
      </c>
      <c r="G803" s="40" t="s">
        <v>74</v>
      </c>
      <c r="H803" s="46" t="s">
        <v>128</v>
      </c>
      <c r="I803" s="51" t="str">
        <f>"0x"&amp;AE_w_WORK!J34</f>
        <v>0x0000</v>
      </c>
      <c r="J803" s="41">
        <v>40473</v>
      </c>
      <c r="K803" s="42"/>
      <c r="M803" s="179"/>
      <c r="N803" s="179"/>
    </row>
    <row r="804" spans="2:14" hidden="1" outlineLevel="1">
      <c r="B804" s="178">
        <v>798</v>
      </c>
      <c r="C804" s="44"/>
      <c r="D804" s="45"/>
      <c r="E804" s="39" t="s">
        <v>325</v>
      </c>
      <c r="F804" s="180" t="s">
        <v>1228</v>
      </c>
      <c r="G804" s="40" t="s">
        <v>129</v>
      </c>
      <c r="H804" s="46" t="s">
        <v>130</v>
      </c>
      <c r="I804" s="51" t="str">
        <f>"0x"&amp;AE_w_WORK!J35</f>
        <v>0x0007</v>
      </c>
      <c r="J804" s="41">
        <v>40473</v>
      </c>
      <c r="K804" s="42"/>
      <c r="M804" s="179"/>
      <c r="N804" s="179"/>
    </row>
    <row r="805" spans="2:14" hidden="1" outlineLevel="1">
      <c r="B805" s="178">
        <v>799</v>
      </c>
      <c r="C805" s="44"/>
      <c r="D805" s="45"/>
      <c r="E805" s="39" t="s">
        <v>325</v>
      </c>
      <c r="F805" s="180" t="s">
        <v>1229</v>
      </c>
      <c r="G805" s="40" t="s">
        <v>131</v>
      </c>
      <c r="H805" s="46" t="s">
        <v>132</v>
      </c>
      <c r="I805" s="51" t="str">
        <f>"0x"&amp;AE_w_WORK!J36</f>
        <v>0x7000</v>
      </c>
      <c r="J805" s="41">
        <v>40473</v>
      </c>
      <c r="K805" s="42"/>
      <c r="M805" s="179"/>
      <c r="N805" s="179"/>
    </row>
    <row r="806" spans="2:14" hidden="1" outlineLevel="1">
      <c r="B806" s="178">
        <v>800</v>
      </c>
      <c r="C806" s="44"/>
      <c r="D806" s="45"/>
      <c r="E806" s="39" t="s">
        <v>325</v>
      </c>
      <c r="F806" s="180" t="s">
        <v>1230</v>
      </c>
      <c r="G806" s="40" t="s">
        <v>133</v>
      </c>
      <c r="H806" s="46" t="s">
        <v>134</v>
      </c>
      <c r="I806" s="51" t="str">
        <f>"0x"&amp;AE_w_WORK!J37</f>
        <v>0x0000</v>
      </c>
      <c r="J806" s="41">
        <v>40473</v>
      </c>
      <c r="K806" s="42"/>
      <c r="M806" s="179"/>
      <c r="N806" s="179"/>
    </row>
    <row r="807" spans="2:14" hidden="1" outlineLevel="1">
      <c r="B807" s="178">
        <v>801</v>
      </c>
      <c r="C807" s="44"/>
      <c r="D807" s="45"/>
      <c r="E807" s="39" t="s">
        <v>325</v>
      </c>
      <c r="F807" s="180" t="s">
        <v>1231</v>
      </c>
      <c r="G807" s="40" t="s">
        <v>135</v>
      </c>
      <c r="H807" s="46" t="s">
        <v>136</v>
      </c>
      <c r="I807" s="51" t="str">
        <f>"0x"&amp;AE_w_WORK!J38</f>
        <v>0x0000</v>
      </c>
      <c r="J807" s="41">
        <v>40473</v>
      </c>
      <c r="K807" s="42"/>
      <c r="M807" s="179"/>
      <c r="N807" s="179"/>
    </row>
    <row r="808" spans="2:14" hidden="1" outlineLevel="1">
      <c r="B808" s="178">
        <v>802</v>
      </c>
      <c r="C808" s="44"/>
      <c r="D808" s="45"/>
      <c r="E808" s="39" t="s">
        <v>325</v>
      </c>
      <c r="F808" s="180" t="s">
        <v>1232</v>
      </c>
      <c r="G808" s="40" t="s">
        <v>137</v>
      </c>
      <c r="H808" s="46" t="s">
        <v>138</v>
      </c>
      <c r="I808" s="51" t="str">
        <f>"0x"&amp;AE_w_WORK!J39</f>
        <v>0x0777</v>
      </c>
      <c r="J808" s="41">
        <v>40473</v>
      </c>
      <c r="K808" s="42"/>
      <c r="M808" s="179"/>
      <c r="N808" s="179"/>
    </row>
    <row r="809" spans="2:14" hidden="1" outlineLevel="1">
      <c r="B809" s="178">
        <v>803</v>
      </c>
      <c r="C809" s="44"/>
      <c r="D809" s="45"/>
      <c r="E809" s="39" t="s">
        <v>325</v>
      </c>
      <c r="F809" s="180" t="s">
        <v>1233</v>
      </c>
      <c r="G809" s="40" t="s">
        <v>139</v>
      </c>
      <c r="H809" s="46" t="s">
        <v>140</v>
      </c>
      <c r="I809" s="51" t="str">
        <f>"0x"&amp;AE_w_WORK!J40</f>
        <v>0x7770</v>
      </c>
      <c r="J809" s="41">
        <v>40473</v>
      </c>
      <c r="K809" s="42"/>
      <c r="M809" s="179"/>
      <c r="N809" s="179"/>
    </row>
    <row r="810" spans="2:14" hidden="1" outlineLevel="1">
      <c r="B810" s="178">
        <v>804</v>
      </c>
      <c r="C810" s="44"/>
      <c r="D810" s="45"/>
      <c r="E810" s="39" t="s">
        <v>325</v>
      </c>
      <c r="F810" s="180" t="s">
        <v>1234</v>
      </c>
      <c r="G810" s="40" t="s">
        <v>141</v>
      </c>
      <c r="H810" s="46" t="s">
        <v>142</v>
      </c>
      <c r="I810" s="51" t="str">
        <f>"0x"&amp;AE_w_WORK!J41</f>
        <v>0x0000</v>
      </c>
      <c r="J810" s="41">
        <v>40473</v>
      </c>
      <c r="K810" s="42"/>
      <c r="M810" s="179"/>
      <c r="N810" s="179"/>
    </row>
    <row r="811" spans="2:14" hidden="1" outlineLevel="1">
      <c r="B811" s="178">
        <v>805</v>
      </c>
      <c r="C811" s="44"/>
      <c r="D811" s="45"/>
      <c r="E811" s="39" t="s">
        <v>325</v>
      </c>
      <c r="F811" s="180" t="s">
        <v>1235</v>
      </c>
      <c r="G811" s="40" t="s">
        <v>143</v>
      </c>
      <c r="H811" s="46" t="s">
        <v>144</v>
      </c>
      <c r="I811" s="51" t="str">
        <f>"0x"&amp;AE_w_WORK!J42</f>
        <v>0x0000</v>
      </c>
      <c r="J811" s="41">
        <v>40473</v>
      </c>
      <c r="K811" s="42"/>
      <c r="M811" s="179"/>
      <c r="N811" s="179"/>
    </row>
    <row r="812" spans="2:14" hidden="1" outlineLevel="1">
      <c r="B812" s="178">
        <v>806</v>
      </c>
      <c r="C812" s="44"/>
      <c r="D812" s="45"/>
      <c r="E812" s="39" t="s">
        <v>325</v>
      </c>
      <c r="F812" s="180" t="s">
        <v>1236</v>
      </c>
      <c r="G812" s="40" t="s">
        <v>145</v>
      </c>
      <c r="H812" s="46" t="s">
        <v>146</v>
      </c>
      <c r="I812" s="51" t="str">
        <f>"0x"&amp;AE_w_WORK!J43</f>
        <v>0x0777</v>
      </c>
      <c r="J812" s="41">
        <v>40473</v>
      </c>
      <c r="K812" s="42"/>
      <c r="M812" s="179"/>
      <c r="N812" s="179"/>
    </row>
    <row r="813" spans="2:14" hidden="1" outlineLevel="1">
      <c r="B813" s="178">
        <v>807</v>
      </c>
      <c r="C813" s="44"/>
      <c r="D813" s="45"/>
      <c r="E813" s="39" t="s">
        <v>325</v>
      </c>
      <c r="F813" s="180" t="s">
        <v>1237</v>
      </c>
      <c r="G813" s="40" t="s">
        <v>147</v>
      </c>
      <c r="H813" s="46" t="s">
        <v>148</v>
      </c>
      <c r="I813" s="51" t="str">
        <f>"0x"&amp;AE_w_WORK!J44</f>
        <v>0x7770</v>
      </c>
      <c r="J813" s="41">
        <v>40473</v>
      </c>
      <c r="K813" s="42"/>
      <c r="M813" s="179"/>
      <c r="N813" s="179"/>
    </row>
    <row r="814" spans="2:14" hidden="1" outlineLevel="1">
      <c r="B814" s="178">
        <v>808</v>
      </c>
      <c r="C814" s="44"/>
      <c r="D814" s="45"/>
      <c r="E814" s="39" t="s">
        <v>325</v>
      </c>
      <c r="F814" s="180" t="s">
        <v>1238</v>
      </c>
      <c r="G814" s="40" t="s">
        <v>149</v>
      </c>
      <c r="H814" s="46" t="s">
        <v>150</v>
      </c>
      <c r="I814" s="51" t="str">
        <f>"0x"&amp;AE_w_WORK!J45</f>
        <v>0x0000</v>
      </c>
      <c r="J814" s="41">
        <v>40473</v>
      </c>
      <c r="K814" s="42"/>
      <c r="M814" s="179"/>
      <c r="N814" s="179"/>
    </row>
    <row r="815" spans="2:14" hidden="1" outlineLevel="1">
      <c r="B815" s="178">
        <v>809</v>
      </c>
      <c r="C815" s="44"/>
      <c r="D815" s="45"/>
      <c r="E815" s="39" t="s">
        <v>325</v>
      </c>
      <c r="F815" s="180" t="s">
        <v>1239</v>
      </c>
      <c r="G815" s="40" t="s">
        <v>151</v>
      </c>
      <c r="H815" s="46" t="s">
        <v>152</v>
      </c>
      <c r="I815" s="51" t="str">
        <f>"0x"&amp;AE_w_WORK!J46</f>
        <v>0x0000</v>
      </c>
      <c r="J815" s="41">
        <v>40473</v>
      </c>
      <c r="K815" s="42"/>
      <c r="M815" s="179"/>
      <c r="N815" s="179"/>
    </row>
    <row r="816" spans="2:14" hidden="1" outlineLevel="1">
      <c r="B816" s="178">
        <v>810</v>
      </c>
      <c r="C816" s="44"/>
      <c r="D816" s="45"/>
      <c r="E816" s="39" t="s">
        <v>325</v>
      </c>
      <c r="F816" s="180" t="s">
        <v>1240</v>
      </c>
      <c r="G816" s="40" t="s">
        <v>153</v>
      </c>
      <c r="H816" s="46" t="s">
        <v>154</v>
      </c>
      <c r="I816" s="51" t="str">
        <f>"0x"&amp;AE_w_WORK!J47</f>
        <v>0x77BB</v>
      </c>
      <c r="J816" s="41">
        <v>40473</v>
      </c>
      <c r="K816" s="42"/>
      <c r="M816" s="179"/>
      <c r="N816" s="179"/>
    </row>
    <row r="817" spans="2:14" hidden="1" outlineLevel="1">
      <c r="B817" s="178">
        <v>811</v>
      </c>
      <c r="C817" s="44"/>
      <c r="D817" s="45"/>
      <c r="E817" s="39" t="s">
        <v>325</v>
      </c>
      <c r="F817" s="180" t="s">
        <v>1241</v>
      </c>
      <c r="G817" s="40" t="s">
        <v>155</v>
      </c>
      <c r="H817" s="46" t="s">
        <v>156</v>
      </c>
      <c r="I817" s="51" t="str">
        <f>"0x"&amp;AE_w_WORK!J48</f>
        <v>0xBB77</v>
      </c>
      <c r="J817" s="41">
        <v>40473</v>
      </c>
      <c r="K817" s="42"/>
      <c r="M817" s="179"/>
      <c r="N817" s="179"/>
    </row>
    <row r="818" spans="2:14" hidden="1" outlineLevel="1">
      <c r="B818" s="178">
        <v>812</v>
      </c>
      <c r="C818" s="44"/>
      <c r="D818" s="45"/>
      <c r="E818" s="39" t="s">
        <v>325</v>
      </c>
      <c r="F818" s="180" t="s">
        <v>1242</v>
      </c>
      <c r="G818" s="40" t="s">
        <v>157</v>
      </c>
      <c r="H818" s="46" t="s">
        <v>158</v>
      </c>
      <c r="I818" s="51" t="str">
        <f>"0x"&amp;AE_w_WORK!J49</f>
        <v>0x0000</v>
      </c>
      <c r="J818" s="41">
        <v>40473</v>
      </c>
      <c r="K818" s="42"/>
      <c r="M818" s="179"/>
      <c r="N818" s="179"/>
    </row>
    <row r="819" spans="2:14" hidden="1" outlineLevel="1">
      <c r="B819" s="178">
        <v>813</v>
      </c>
      <c r="C819" s="44"/>
      <c r="D819" s="45"/>
      <c r="E819" s="39" t="s">
        <v>325</v>
      </c>
      <c r="F819" s="180" t="s">
        <v>1243</v>
      </c>
      <c r="G819" s="40" t="s">
        <v>159</v>
      </c>
      <c r="H819" s="46" t="s">
        <v>160</v>
      </c>
      <c r="I819" s="51" t="str">
        <f>"0x"&amp;AE_w_WORK!J50</f>
        <v>0x0000</v>
      </c>
      <c r="J819" s="41">
        <v>40473</v>
      </c>
      <c r="K819" s="42"/>
      <c r="M819" s="179"/>
      <c r="N819" s="179"/>
    </row>
    <row r="820" spans="2:14" hidden="1" outlineLevel="1">
      <c r="B820" s="178">
        <v>814</v>
      </c>
      <c r="C820" s="44"/>
      <c r="D820" s="45"/>
      <c r="E820" s="39" t="s">
        <v>325</v>
      </c>
      <c r="F820" s="180" t="s">
        <v>1244</v>
      </c>
      <c r="G820" s="40" t="s">
        <v>161</v>
      </c>
      <c r="H820" s="46" t="s">
        <v>162</v>
      </c>
      <c r="I820" s="51" t="str">
        <f>"0x"&amp;AE_w_WORK!J51</f>
        <v>0x77BB</v>
      </c>
      <c r="J820" s="41">
        <v>40473</v>
      </c>
      <c r="K820" s="42"/>
      <c r="M820" s="179"/>
      <c r="N820" s="179"/>
    </row>
    <row r="821" spans="2:14" hidden="1" outlineLevel="1">
      <c r="B821" s="178">
        <v>815</v>
      </c>
      <c r="C821" s="44"/>
      <c r="D821" s="45"/>
      <c r="E821" s="39" t="s">
        <v>325</v>
      </c>
      <c r="F821" s="180" t="s">
        <v>1245</v>
      </c>
      <c r="G821" s="40" t="s">
        <v>163</v>
      </c>
      <c r="H821" s="46" t="s">
        <v>164</v>
      </c>
      <c r="I821" s="51" t="str">
        <f>"0x"&amp;AE_w_WORK!J52</f>
        <v>0xBB77</v>
      </c>
      <c r="J821" s="41">
        <v>40473</v>
      </c>
      <c r="K821" s="42"/>
      <c r="M821" s="179"/>
      <c r="N821" s="179"/>
    </row>
    <row r="822" spans="2:14" hidden="1" outlineLevel="1">
      <c r="B822" s="178">
        <v>816</v>
      </c>
      <c r="C822" s="44"/>
      <c r="D822" s="45"/>
      <c r="E822" s="39" t="s">
        <v>325</v>
      </c>
      <c r="F822" s="180" t="s">
        <v>1246</v>
      </c>
      <c r="G822" s="40" t="s">
        <v>165</v>
      </c>
      <c r="H822" s="46" t="s">
        <v>166</v>
      </c>
      <c r="I822" s="51" t="str">
        <f>"0x"&amp;AE_w_WORK!J53</f>
        <v>0x0000</v>
      </c>
      <c r="J822" s="41">
        <v>40473</v>
      </c>
      <c r="K822" s="42"/>
      <c r="M822" s="179"/>
      <c r="N822" s="179"/>
    </row>
    <row r="823" spans="2:14" hidden="1" outlineLevel="1">
      <c r="B823" s="178">
        <v>817</v>
      </c>
      <c r="C823" s="44"/>
      <c r="D823" s="45"/>
      <c r="E823" s="39" t="s">
        <v>325</v>
      </c>
      <c r="F823" s="180" t="s">
        <v>1247</v>
      </c>
      <c r="G823" s="40" t="s">
        <v>167</v>
      </c>
      <c r="H823" s="46" t="s">
        <v>168</v>
      </c>
      <c r="I823" s="51" t="str">
        <f>"0x"&amp;AE_w_WORK!J54</f>
        <v>0x0000</v>
      </c>
      <c r="J823" s="41">
        <v>40473</v>
      </c>
      <c r="K823" s="42"/>
      <c r="M823" s="179"/>
      <c r="N823" s="179"/>
    </row>
    <row r="824" spans="2:14" hidden="1" outlineLevel="1">
      <c r="B824" s="178">
        <v>818</v>
      </c>
      <c r="C824" s="44"/>
      <c r="D824" s="45"/>
      <c r="E824" s="39" t="s">
        <v>325</v>
      </c>
      <c r="F824" s="180" t="s">
        <v>1248</v>
      </c>
      <c r="G824" s="40" t="s">
        <v>169</v>
      </c>
      <c r="H824" s="46" t="s">
        <v>170</v>
      </c>
      <c r="I824" s="51" t="str">
        <f>"0x"&amp;AE_w_WORK!J55</f>
        <v>0x7BDD</v>
      </c>
      <c r="J824" s="41">
        <v>40473</v>
      </c>
      <c r="K824" s="42"/>
      <c r="M824" s="179"/>
      <c r="N824" s="179"/>
    </row>
    <row r="825" spans="2:14" hidden="1" outlineLevel="1">
      <c r="B825" s="178">
        <v>819</v>
      </c>
      <c r="C825" s="44"/>
      <c r="D825" s="45"/>
      <c r="E825" s="39" t="s">
        <v>325</v>
      </c>
      <c r="F825" s="180" t="s">
        <v>1249</v>
      </c>
      <c r="G825" s="40" t="s">
        <v>171</v>
      </c>
      <c r="H825" s="46" t="s">
        <v>172</v>
      </c>
      <c r="I825" s="51" t="str">
        <f>"0x"&amp;AE_w_WORK!J56</f>
        <v>0xDDB7</v>
      </c>
      <c r="J825" s="41">
        <v>40473</v>
      </c>
      <c r="K825" s="42"/>
      <c r="M825" s="179"/>
      <c r="N825" s="179"/>
    </row>
    <row r="826" spans="2:14" hidden="1" outlineLevel="1">
      <c r="B826" s="178">
        <v>820</v>
      </c>
      <c r="C826" s="44"/>
      <c r="D826" s="45"/>
      <c r="E826" s="39" t="s">
        <v>325</v>
      </c>
      <c r="F826" s="180" t="s">
        <v>1250</v>
      </c>
      <c r="G826" s="40" t="s">
        <v>173</v>
      </c>
      <c r="H826" s="46" t="s">
        <v>174</v>
      </c>
      <c r="I826" s="51" t="str">
        <f>"0x"&amp;AE_w_WORK!J57</f>
        <v>0x0000</v>
      </c>
      <c r="J826" s="41">
        <v>40473</v>
      </c>
      <c r="K826" s="42"/>
      <c r="M826" s="179"/>
      <c r="N826" s="179"/>
    </row>
    <row r="827" spans="2:14" hidden="1" outlineLevel="1">
      <c r="B827" s="178">
        <v>821</v>
      </c>
      <c r="C827" s="44"/>
      <c r="D827" s="45"/>
      <c r="E827" s="39" t="s">
        <v>325</v>
      </c>
      <c r="F827" s="180" t="s">
        <v>1251</v>
      </c>
      <c r="G827" s="40" t="s">
        <v>175</v>
      </c>
      <c r="H827" s="46" t="s">
        <v>176</v>
      </c>
      <c r="I827" s="51" t="str">
        <f>"0x"&amp;AE_w_WORK!J58</f>
        <v>0x0000</v>
      </c>
      <c r="J827" s="41">
        <v>40473</v>
      </c>
      <c r="K827" s="42"/>
      <c r="M827" s="179"/>
      <c r="N827" s="179"/>
    </row>
    <row r="828" spans="2:14" hidden="1" outlineLevel="1">
      <c r="B828" s="178">
        <v>822</v>
      </c>
      <c r="C828" s="44"/>
      <c r="D828" s="45"/>
      <c r="E828" s="39" t="s">
        <v>325</v>
      </c>
      <c r="F828" s="180" t="s">
        <v>1252</v>
      </c>
      <c r="G828" s="40" t="s">
        <v>177</v>
      </c>
      <c r="H828" s="46" t="s">
        <v>178</v>
      </c>
      <c r="I828" s="51" t="str">
        <f>"0x"&amp;AE_w_WORK!J59</f>
        <v>0x7BDD</v>
      </c>
      <c r="J828" s="41">
        <v>40473</v>
      </c>
      <c r="K828" s="42"/>
      <c r="M828" s="179"/>
      <c r="N828" s="179"/>
    </row>
    <row r="829" spans="2:14" hidden="1" outlineLevel="1">
      <c r="B829" s="178">
        <v>823</v>
      </c>
      <c r="C829" s="44"/>
      <c r="D829" s="45"/>
      <c r="E829" s="39" t="s">
        <v>325</v>
      </c>
      <c r="F829" s="180" t="s">
        <v>1253</v>
      </c>
      <c r="G829" s="40" t="s">
        <v>179</v>
      </c>
      <c r="H829" s="46" t="s">
        <v>180</v>
      </c>
      <c r="I829" s="51" t="str">
        <f>"0x"&amp;AE_w_WORK!J60</f>
        <v>0xDDB7</v>
      </c>
      <c r="J829" s="41">
        <v>40473</v>
      </c>
      <c r="K829" s="42"/>
      <c r="M829" s="179"/>
      <c r="N829" s="179"/>
    </row>
    <row r="830" spans="2:14" hidden="1" outlineLevel="1">
      <c r="B830" s="178">
        <v>824</v>
      </c>
      <c r="C830" s="44"/>
      <c r="D830" s="45"/>
      <c r="E830" s="39" t="s">
        <v>325</v>
      </c>
      <c r="F830" s="180" t="s">
        <v>1254</v>
      </c>
      <c r="G830" s="40" t="s">
        <v>181</v>
      </c>
      <c r="H830" s="46" t="s">
        <v>182</v>
      </c>
      <c r="I830" s="51" t="str">
        <f>"0x"&amp;AE_w_WORK!J61</f>
        <v>0x0000</v>
      </c>
      <c r="J830" s="41">
        <v>40473</v>
      </c>
      <c r="K830" s="42"/>
      <c r="M830" s="179"/>
      <c r="N830" s="179"/>
    </row>
    <row r="831" spans="2:14" hidden="1" outlineLevel="1">
      <c r="B831" s="178">
        <v>825</v>
      </c>
      <c r="C831" s="44"/>
      <c r="D831" s="45"/>
      <c r="E831" s="39" t="s">
        <v>325</v>
      </c>
      <c r="F831" s="180" t="s">
        <v>1255</v>
      </c>
      <c r="G831" s="40" t="s">
        <v>183</v>
      </c>
      <c r="H831" s="46" t="s">
        <v>184</v>
      </c>
      <c r="I831" s="51" t="str">
        <f>"0x"&amp;AE_w_WORK!J62</f>
        <v>0x0007</v>
      </c>
      <c r="J831" s="41">
        <v>40473</v>
      </c>
      <c r="K831" s="42"/>
      <c r="M831" s="179"/>
      <c r="N831" s="179"/>
    </row>
    <row r="832" spans="2:14" hidden="1" outlineLevel="1">
      <c r="B832" s="178">
        <v>826</v>
      </c>
      <c r="C832" s="44"/>
      <c r="D832" s="45"/>
      <c r="E832" s="39" t="s">
        <v>325</v>
      </c>
      <c r="F832" s="180" t="s">
        <v>1256</v>
      </c>
      <c r="G832" s="40" t="s">
        <v>185</v>
      </c>
      <c r="H832" s="46" t="s">
        <v>186</v>
      </c>
      <c r="I832" s="51" t="str">
        <f>"0x"&amp;AE_w_WORK!J63</f>
        <v>0x7BDF</v>
      </c>
      <c r="J832" s="41">
        <v>40473</v>
      </c>
      <c r="K832" s="42"/>
      <c r="M832" s="179"/>
      <c r="N832" s="179"/>
    </row>
    <row r="833" spans="2:14" hidden="1" outlineLevel="1">
      <c r="B833" s="178">
        <v>827</v>
      </c>
      <c r="C833" s="44"/>
      <c r="D833" s="45"/>
      <c r="E833" s="39" t="s">
        <v>325</v>
      </c>
      <c r="F833" s="180" t="s">
        <v>1257</v>
      </c>
      <c r="G833" s="40" t="s">
        <v>187</v>
      </c>
      <c r="H833" s="46" t="s">
        <v>188</v>
      </c>
      <c r="I833" s="51" t="str">
        <f>"0x"&amp;AE_w_WORK!J64</f>
        <v>0xFDB7</v>
      </c>
      <c r="J833" s="41">
        <v>40473</v>
      </c>
      <c r="K833" s="42"/>
      <c r="M833" s="179"/>
      <c r="N833" s="179"/>
    </row>
    <row r="834" spans="2:14" hidden="1" outlineLevel="1">
      <c r="B834" s="178">
        <v>828</v>
      </c>
      <c r="C834" s="44"/>
      <c r="D834" s="45"/>
      <c r="E834" s="39" t="s">
        <v>325</v>
      </c>
      <c r="F834" s="180" t="s">
        <v>1258</v>
      </c>
      <c r="G834" s="40" t="s">
        <v>189</v>
      </c>
      <c r="H834" s="46" t="s">
        <v>190</v>
      </c>
      <c r="I834" s="51" t="str">
        <f>"0x"&amp;AE_w_WORK!J65</f>
        <v>0x7000</v>
      </c>
      <c r="J834" s="41">
        <v>40473</v>
      </c>
      <c r="K834" s="42"/>
      <c r="M834" s="179"/>
      <c r="N834" s="179"/>
    </row>
    <row r="835" spans="2:14" hidden="1" outlineLevel="1">
      <c r="B835" s="178">
        <v>829</v>
      </c>
      <c r="C835" s="44"/>
      <c r="D835" s="45"/>
      <c r="E835" s="39" t="s">
        <v>325</v>
      </c>
      <c r="F835" s="180" t="s">
        <v>1259</v>
      </c>
      <c r="G835" s="40" t="s">
        <v>191</v>
      </c>
      <c r="H835" s="46" t="s">
        <v>192</v>
      </c>
      <c r="I835" s="51" t="str">
        <f>"0x"&amp;AE_w_WORK!J66</f>
        <v>0x0007</v>
      </c>
      <c r="J835" s="41">
        <v>40473</v>
      </c>
      <c r="K835" s="42"/>
      <c r="M835" s="179"/>
      <c r="N835" s="179"/>
    </row>
    <row r="836" spans="2:14" hidden="1" outlineLevel="1">
      <c r="B836" s="178">
        <v>830</v>
      </c>
      <c r="C836" s="44"/>
      <c r="D836" s="45"/>
      <c r="E836" s="39" t="s">
        <v>325</v>
      </c>
      <c r="F836" s="180" t="s">
        <v>1260</v>
      </c>
      <c r="G836" s="40" t="s">
        <v>193</v>
      </c>
      <c r="H836" s="46" t="s">
        <v>194</v>
      </c>
      <c r="I836" s="51" t="str">
        <f>"0x"&amp;AE_w_WORK!J67</f>
        <v>0x7BDF</v>
      </c>
      <c r="J836" s="41">
        <v>40473</v>
      </c>
      <c r="K836" s="42"/>
      <c r="M836" s="179"/>
      <c r="N836" s="179"/>
    </row>
    <row r="837" spans="2:14" hidden="1" outlineLevel="1">
      <c r="B837" s="178">
        <v>831</v>
      </c>
      <c r="C837" s="44"/>
      <c r="D837" s="45"/>
      <c r="E837" s="39" t="s">
        <v>325</v>
      </c>
      <c r="F837" s="180" t="s">
        <v>1261</v>
      </c>
      <c r="G837" s="40" t="s">
        <v>195</v>
      </c>
      <c r="H837" s="46" t="s">
        <v>196</v>
      </c>
      <c r="I837" s="51" t="str">
        <f>"0x"&amp;AE_w_WORK!J68</f>
        <v>0xFDB7</v>
      </c>
      <c r="J837" s="41">
        <v>40473</v>
      </c>
      <c r="K837" s="42"/>
      <c r="M837" s="179"/>
      <c r="N837" s="179"/>
    </row>
    <row r="838" spans="2:14" hidden="1" outlineLevel="1">
      <c r="B838" s="178">
        <v>832</v>
      </c>
      <c r="C838" s="44"/>
      <c r="D838" s="45"/>
      <c r="E838" s="39" t="s">
        <v>325</v>
      </c>
      <c r="F838" s="180" t="s">
        <v>1262</v>
      </c>
      <c r="G838" s="40" t="s">
        <v>197</v>
      </c>
      <c r="H838" s="46" t="s">
        <v>198</v>
      </c>
      <c r="I838" s="51" t="str">
        <f>"0x"&amp;AE_w_WORK!J69</f>
        <v>0x7000</v>
      </c>
      <c r="J838" s="41">
        <v>40473</v>
      </c>
      <c r="K838" s="42"/>
      <c r="M838" s="179"/>
      <c r="N838" s="179"/>
    </row>
    <row r="839" spans="2:14" hidden="1" outlineLevel="1">
      <c r="B839" s="178">
        <v>833</v>
      </c>
      <c r="C839" s="44"/>
      <c r="D839" s="45"/>
      <c r="E839" s="39" t="s">
        <v>325</v>
      </c>
      <c r="F839" s="180" t="s">
        <v>1263</v>
      </c>
      <c r="G839" s="40" t="s">
        <v>199</v>
      </c>
      <c r="H839" s="46" t="s">
        <v>200</v>
      </c>
      <c r="I839" s="51" t="str">
        <f>"0x"&amp;AE_w_WORK!J70</f>
        <v>0x0007</v>
      </c>
      <c r="J839" s="41">
        <v>40473</v>
      </c>
      <c r="K839" s="42"/>
      <c r="M839" s="179"/>
      <c r="N839" s="179"/>
    </row>
    <row r="840" spans="2:14" hidden="1" outlineLevel="1">
      <c r="B840" s="178">
        <v>834</v>
      </c>
      <c r="C840" s="44"/>
      <c r="D840" s="45"/>
      <c r="E840" s="39" t="s">
        <v>325</v>
      </c>
      <c r="F840" s="180" t="s">
        <v>1264</v>
      </c>
      <c r="G840" s="40" t="s">
        <v>201</v>
      </c>
      <c r="H840" s="46" t="s">
        <v>202</v>
      </c>
      <c r="I840" s="51" t="str">
        <f>"0x"&amp;AE_w_WORK!J71</f>
        <v>0x7BDF</v>
      </c>
      <c r="J840" s="41">
        <v>40473</v>
      </c>
      <c r="K840" s="42"/>
      <c r="M840" s="179"/>
      <c r="N840" s="179"/>
    </row>
    <row r="841" spans="2:14" hidden="1" outlineLevel="1">
      <c r="B841" s="178">
        <v>835</v>
      </c>
      <c r="C841" s="44"/>
      <c r="D841" s="45"/>
      <c r="E841" s="39" t="s">
        <v>325</v>
      </c>
      <c r="F841" s="180" t="s">
        <v>1265</v>
      </c>
      <c r="G841" s="40" t="s">
        <v>203</v>
      </c>
      <c r="H841" s="46" t="s">
        <v>204</v>
      </c>
      <c r="I841" s="51" t="str">
        <f>"0x"&amp;AE_w_WORK!J72</f>
        <v>0xFDB7</v>
      </c>
      <c r="J841" s="41">
        <v>40473</v>
      </c>
      <c r="K841" s="42"/>
      <c r="M841" s="179"/>
      <c r="N841" s="179"/>
    </row>
    <row r="842" spans="2:14" hidden="1" outlineLevel="1">
      <c r="B842" s="178">
        <v>836</v>
      </c>
      <c r="C842" s="44"/>
      <c r="D842" s="45"/>
      <c r="E842" s="39" t="s">
        <v>325</v>
      </c>
      <c r="F842" s="180" t="s">
        <v>1266</v>
      </c>
      <c r="G842" s="40" t="s">
        <v>205</v>
      </c>
      <c r="H842" s="46" t="s">
        <v>206</v>
      </c>
      <c r="I842" s="51" t="str">
        <f>"0x"&amp;AE_w_WORK!J73</f>
        <v>0x7000</v>
      </c>
      <c r="J842" s="41">
        <v>40473</v>
      </c>
      <c r="K842" s="42"/>
      <c r="M842" s="179"/>
      <c r="N842" s="179"/>
    </row>
    <row r="843" spans="2:14" hidden="1" outlineLevel="1">
      <c r="B843" s="178">
        <v>837</v>
      </c>
      <c r="C843" s="44"/>
      <c r="D843" s="45"/>
      <c r="E843" s="39" t="s">
        <v>325</v>
      </c>
      <c r="F843" s="180" t="s">
        <v>1267</v>
      </c>
      <c r="G843" s="40" t="s">
        <v>207</v>
      </c>
      <c r="H843" s="46" t="s">
        <v>208</v>
      </c>
      <c r="I843" s="51" t="str">
        <f>"0x"&amp;AE_w_WORK!J74</f>
        <v>0x0007</v>
      </c>
      <c r="J843" s="41">
        <v>40473</v>
      </c>
      <c r="K843" s="42"/>
      <c r="M843" s="179"/>
      <c r="N843" s="179"/>
    </row>
    <row r="844" spans="2:14" hidden="1" outlineLevel="1">
      <c r="B844" s="178">
        <v>838</v>
      </c>
      <c r="C844" s="44"/>
      <c r="D844" s="45"/>
      <c r="E844" s="39" t="s">
        <v>325</v>
      </c>
      <c r="F844" s="180" t="s">
        <v>1268</v>
      </c>
      <c r="G844" s="40" t="s">
        <v>209</v>
      </c>
      <c r="H844" s="46" t="s">
        <v>210</v>
      </c>
      <c r="I844" s="51" t="str">
        <f>"0x"&amp;AE_w_WORK!J75</f>
        <v>0x7BDF</v>
      </c>
      <c r="J844" s="41">
        <v>40473</v>
      </c>
      <c r="K844" s="42"/>
      <c r="M844" s="179"/>
      <c r="N844" s="179"/>
    </row>
    <row r="845" spans="2:14" hidden="1" outlineLevel="1">
      <c r="B845" s="178">
        <v>839</v>
      </c>
      <c r="C845" s="44"/>
      <c r="D845" s="45"/>
      <c r="E845" s="39" t="s">
        <v>325</v>
      </c>
      <c r="F845" s="180" t="s">
        <v>1269</v>
      </c>
      <c r="G845" s="40" t="s">
        <v>211</v>
      </c>
      <c r="H845" s="46" t="s">
        <v>212</v>
      </c>
      <c r="I845" s="51" t="str">
        <f>"0x"&amp;AE_w_WORK!J76</f>
        <v>0xFDB7</v>
      </c>
      <c r="J845" s="41">
        <v>40473</v>
      </c>
      <c r="K845" s="42"/>
      <c r="M845" s="179"/>
      <c r="N845" s="179"/>
    </row>
    <row r="846" spans="2:14" hidden="1" outlineLevel="1">
      <c r="B846" s="178">
        <v>840</v>
      </c>
      <c r="C846" s="44"/>
      <c r="D846" s="45"/>
      <c r="E846" s="39" t="s">
        <v>325</v>
      </c>
      <c r="F846" s="180" t="s">
        <v>1270</v>
      </c>
      <c r="G846" s="40" t="s">
        <v>213</v>
      </c>
      <c r="H846" s="46" t="s">
        <v>214</v>
      </c>
      <c r="I846" s="51" t="str">
        <f>"0x"&amp;AE_w_WORK!J77</f>
        <v>0x7000</v>
      </c>
      <c r="J846" s="41">
        <v>40473</v>
      </c>
      <c r="K846" s="42"/>
      <c r="M846" s="179"/>
      <c r="N846" s="179"/>
    </row>
    <row r="847" spans="2:14" hidden="1" outlineLevel="1">
      <c r="B847" s="178">
        <v>841</v>
      </c>
      <c r="C847" s="44"/>
      <c r="D847" s="45"/>
      <c r="E847" s="39" t="s">
        <v>325</v>
      </c>
      <c r="F847" s="180" t="s">
        <v>1271</v>
      </c>
      <c r="G847" s="40" t="s">
        <v>215</v>
      </c>
      <c r="H847" s="46" t="s">
        <v>216</v>
      </c>
      <c r="I847" s="51" t="str">
        <f>"0x"&amp;AE_w_WORK!J78</f>
        <v>0x0000</v>
      </c>
      <c r="J847" s="41">
        <v>40473</v>
      </c>
      <c r="K847" s="42"/>
      <c r="M847" s="179"/>
      <c r="N847" s="179"/>
    </row>
    <row r="848" spans="2:14" hidden="1" outlineLevel="1">
      <c r="B848" s="178">
        <v>842</v>
      </c>
      <c r="C848" s="44"/>
      <c r="D848" s="45"/>
      <c r="E848" s="39" t="s">
        <v>325</v>
      </c>
      <c r="F848" s="180" t="s">
        <v>1272</v>
      </c>
      <c r="G848" s="40" t="s">
        <v>217</v>
      </c>
      <c r="H848" s="46" t="s">
        <v>218</v>
      </c>
      <c r="I848" s="51" t="str">
        <f>"0x"&amp;AE_w_WORK!J79</f>
        <v>0x7BDD</v>
      </c>
      <c r="J848" s="41">
        <v>40473</v>
      </c>
      <c r="K848" s="42"/>
      <c r="M848" s="179"/>
      <c r="N848" s="179"/>
    </row>
    <row r="849" spans="2:14" hidden="1" outlineLevel="1">
      <c r="B849" s="178">
        <v>843</v>
      </c>
      <c r="C849" s="44"/>
      <c r="D849" s="45"/>
      <c r="E849" s="39" t="s">
        <v>325</v>
      </c>
      <c r="F849" s="180" t="s">
        <v>1273</v>
      </c>
      <c r="G849" s="40" t="s">
        <v>219</v>
      </c>
      <c r="H849" s="46" t="s">
        <v>220</v>
      </c>
      <c r="I849" s="51" t="str">
        <f>"0x"&amp;AE_w_WORK!J80</f>
        <v>0xDDB7</v>
      </c>
      <c r="J849" s="41">
        <v>40473</v>
      </c>
      <c r="K849" s="42"/>
      <c r="M849" s="179"/>
      <c r="N849" s="179"/>
    </row>
    <row r="850" spans="2:14" hidden="1" outlineLevel="1">
      <c r="B850" s="178">
        <v>844</v>
      </c>
      <c r="C850" s="44"/>
      <c r="D850" s="45"/>
      <c r="E850" s="39" t="s">
        <v>325</v>
      </c>
      <c r="F850" s="180" t="s">
        <v>1274</v>
      </c>
      <c r="G850" s="40" t="s">
        <v>221</v>
      </c>
      <c r="H850" s="46" t="s">
        <v>222</v>
      </c>
      <c r="I850" s="51" t="str">
        <f>"0x"&amp;AE_w_WORK!J81</f>
        <v>0x0000</v>
      </c>
      <c r="J850" s="41">
        <v>40473</v>
      </c>
      <c r="K850" s="42"/>
      <c r="M850" s="179"/>
      <c r="N850" s="179"/>
    </row>
    <row r="851" spans="2:14" hidden="1" outlineLevel="1">
      <c r="B851" s="178">
        <v>845</v>
      </c>
      <c r="C851" s="44"/>
      <c r="D851" s="45"/>
      <c r="E851" s="39" t="s">
        <v>325</v>
      </c>
      <c r="F851" s="180" t="s">
        <v>1275</v>
      </c>
      <c r="G851" s="40" t="s">
        <v>223</v>
      </c>
      <c r="H851" s="46" t="s">
        <v>224</v>
      </c>
      <c r="I851" s="51" t="str">
        <f>"0x"&amp;AE_w_WORK!J82</f>
        <v>0x0000</v>
      </c>
      <c r="J851" s="41">
        <v>40473</v>
      </c>
      <c r="K851" s="42"/>
      <c r="M851" s="179"/>
      <c r="N851" s="179"/>
    </row>
    <row r="852" spans="2:14" hidden="1" outlineLevel="1">
      <c r="B852" s="178">
        <v>846</v>
      </c>
      <c r="C852" s="44"/>
      <c r="D852" s="45"/>
      <c r="E852" s="39" t="s">
        <v>325</v>
      </c>
      <c r="F852" s="180" t="s">
        <v>1276</v>
      </c>
      <c r="G852" s="40" t="s">
        <v>225</v>
      </c>
      <c r="H852" s="46" t="s">
        <v>226</v>
      </c>
      <c r="I852" s="51" t="str">
        <f>"0x"&amp;AE_w_WORK!J83</f>
        <v>0x7BDD</v>
      </c>
      <c r="J852" s="41">
        <v>40473</v>
      </c>
      <c r="K852" s="42"/>
      <c r="M852" s="179"/>
      <c r="N852" s="179"/>
    </row>
    <row r="853" spans="2:14" hidden="1" outlineLevel="1">
      <c r="B853" s="178">
        <v>847</v>
      </c>
      <c r="C853" s="44"/>
      <c r="D853" s="45"/>
      <c r="E853" s="39" t="s">
        <v>325</v>
      </c>
      <c r="F853" s="180" t="s">
        <v>1277</v>
      </c>
      <c r="G853" s="40" t="s">
        <v>227</v>
      </c>
      <c r="H853" s="46" t="s">
        <v>228</v>
      </c>
      <c r="I853" s="51" t="str">
        <f>"0x"&amp;AE_w_WORK!J84</f>
        <v>0xDDB7</v>
      </c>
      <c r="J853" s="41">
        <v>40473</v>
      </c>
      <c r="K853" s="42"/>
      <c r="M853" s="179"/>
      <c r="N853" s="179"/>
    </row>
    <row r="854" spans="2:14" hidden="1" outlineLevel="1">
      <c r="B854" s="178">
        <v>848</v>
      </c>
      <c r="C854" s="44"/>
      <c r="D854" s="45"/>
      <c r="E854" s="39" t="s">
        <v>325</v>
      </c>
      <c r="F854" s="180" t="s">
        <v>1278</v>
      </c>
      <c r="G854" s="40" t="s">
        <v>229</v>
      </c>
      <c r="H854" s="46" t="s">
        <v>230</v>
      </c>
      <c r="I854" s="51" t="str">
        <f>"0x"&amp;AE_w_WORK!J85</f>
        <v>0x0000</v>
      </c>
      <c r="J854" s="41">
        <v>40473</v>
      </c>
      <c r="K854" s="42"/>
      <c r="M854" s="179"/>
      <c r="N854" s="179"/>
    </row>
    <row r="855" spans="2:14" hidden="1" outlineLevel="1">
      <c r="B855" s="178">
        <v>849</v>
      </c>
      <c r="C855" s="44"/>
      <c r="D855" s="45"/>
      <c r="E855" s="39" t="s">
        <v>325</v>
      </c>
      <c r="F855" s="180" t="s">
        <v>1279</v>
      </c>
      <c r="G855" s="40" t="s">
        <v>231</v>
      </c>
      <c r="H855" s="46" t="s">
        <v>232</v>
      </c>
      <c r="I855" s="51" t="str">
        <f>"0x"&amp;AE_w_WORK!J86</f>
        <v>0x0000</v>
      </c>
      <c r="J855" s="41">
        <v>40473</v>
      </c>
      <c r="K855" s="42"/>
      <c r="M855" s="179"/>
      <c r="N855" s="179"/>
    </row>
    <row r="856" spans="2:14" hidden="1" outlineLevel="1">
      <c r="B856" s="178">
        <v>850</v>
      </c>
      <c r="C856" s="44"/>
      <c r="D856" s="45"/>
      <c r="E856" s="39" t="s">
        <v>325</v>
      </c>
      <c r="F856" s="180" t="s">
        <v>1280</v>
      </c>
      <c r="G856" s="40" t="s">
        <v>233</v>
      </c>
      <c r="H856" s="46" t="s">
        <v>234</v>
      </c>
      <c r="I856" s="51" t="str">
        <f>"0x"&amp;AE_w_WORK!J87</f>
        <v>0x77BB</v>
      </c>
      <c r="J856" s="41">
        <v>40473</v>
      </c>
      <c r="K856" s="42"/>
      <c r="M856" s="179"/>
      <c r="N856" s="179"/>
    </row>
    <row r="857" spans="2:14" hidden="1" outlineLevel="1">
      <c r="B857" s="178">
        <v>851</v>
      </c>
      <c r="C857" s="44"/>
      <c r="D857" s="45"/>
      <c r="E857" s="39" t="s">
        <v>325</v>
      </c>
      <c r="F857" s="180" t="s">
        <v>1281</v>
      </c>
      <c r="G857" s="40" t="s">
        <v>235</v>
      </c>
      <c r="H857" s="46" t="s">
        <v>236</v>
      </c>
      <c r="I857" s="51" t="str">
        <f>"0x"&amp;AE_w_WORK!J88</f>
        <v>0xBB77</v>
      </c>
      <c r="J857" s="41">
        <v>40473</v>
      </c>
      <c r="K857" s="42"/>
      <c r="M857" s="179"/>
      <c r="N857" s="179"/>
    </row>
    <row r="858" spans="2:14" hidden="1" outlineLevel="1">
      <c r="B858" s="178">
        <v>852</v>
      </c>
      <c r="C858" s="44"/>
      <c r="D858" s="45"/>
      <c r="E858" s="39" t="s">
        <v>325</v>
      </c>
      <c r="F858" s="180" t="s">
        <v>1282</v>
      </c>
      <c r="G858" s="40" t="s">
        <v>237</v>
      </c>
      <c r="H858" s="46" t="s">
        <v>238</v>
      </c>
      <c r="I858" s="51" t="str">
        <f>"0x"&amp;AE_w_WORK!J89</f>
        <v>0x0000</v>
      </c>
      <c r="J858" s="41">
        <v>40473</v>
      </c>
      <c r="K858" s="42"/>
      <c r="M858" s="179"/>
      <c r="N858" s="179"/>
    </row>
    <row r="859" spans="2:14" hidden="1" outlineLevel="1">
      <c r="B859" s="178">
        <v>853</v>
      </c>
      <c r="C859" s="44"/>
      <c r="D859" s="45"/>
      <c r="E859" s="39" t="s">
        <v>325</v>
      </c>
      <c r="F859" s="180" t="s">
        <v>1283</v>
      </c>
      <c r="G859" s="40" t="s">
        <v>239</v>
      </c>
      <c r="H859" s="46" t="s">
        <v>240</v>
      </c>
      <c r="I859" s="51" t="str">
        <f>"0x"&amp;AE_w_WORK!J90</f>
        <v>0x0000</v>
      </c>
      <c r="J859" s="41">
        <v>40473</v>
      </c>
      <c r="K859" s="42"/>
      <c r="M859" s="179"/>
      <c r="N859" s="179"/>
    </row>
    <row r="860" spans="2:14" hidden="1" outlineLevel="1">
      <c r="B860" s="178">
        <v>854</v>
      </c>
      <c r="C860" s="44"/>
      <c r="D860" s="45"/>
      <c r="E860" s="39" t="s">
        <v>325</v>
      </c>
      <c r="F860" s="180" t="s">
        <v>1284</v>
      </c>
      <c r="G860" s="40" t="s">
        <v>241</v>
      </c>
      <c r="H860" s="46" t="s">
        <v>242</v>
      </c>
      <c r="I860" s="51" t="str">
        <f>"0x"&amp;AE_w_WORK!J91</f>
        <v>0x77BB</v>
      </c>
      <c r="J860" s="41">
        <v>40473</v>
      </c>
      <c r="K860" s="42"/>
      <c r="M860" s="179"/>
      <c r="N860" s="179"/>
    </row>
    <row r="861" spans="2:14" hidden="1" outlineLevel="1">
      <c r="B861" s="178">
        <v>855</v>
      </c>
      <c r="C861" s="44"/>
      <c r="D861" s="45"/>
      <c r="E861" s="39" t="s">
        <v>325</v>
      </c>
      <c r="F861" s="180" t="s">
        <v>1285</v>
      </c>
      <c r="G861" s="40" t="s">
        <v>243</v>
      </c>
      <c r="H861" s="46" t="s">
        <v>244</v>
      </c>
      <c r="I861" s="51" t="str">
        <f>"0x"&amp;AE_w_WORK!J92</f>
        <v>0xBB77</v>
      </c>
      <c r="J861" s="41">
        <v>40473</v>
      </c>
      <c r="K861" s="42"/>
      <c r="M861" s="179"/>
      <c r="N861" s="179"/>
    </row>
    <row r="862" spans="2:14" hidden="1" outlineLevel="1">
      <c r="B862" s="178">
        <v>856</v>
      </c>
      <c r="C862" s="44"/>
      <c r="D862" s="45"/>
      <c r="E862" s="39" t="s">
        <v>325</v>
      </c>
      <c r="F862" s="180" t="s">
        <v>1286</v>
      </c>
      <c r="G862" s="40" t="s">
        <v>245</v>
      </c>
      <c r="H862" s="46" t="s">
        <v>246</v>
      </c>
      <c r="I862" s="51" t="str">
        <f>"0x"&amp;AE_w_WORK!J93</f>
        <v>0x0000</v>
      </c>
      <c r="J862" s="41">
        <v>40473</v>
      </c>
      <c r="K862" s="42"/>
      <c r="M862" s="179"/>
      <c r="N862" s="179"/>
    </row>
    <row r="863" spans="2:14" hidden="1" outlineLevel="1">
      <c r="B863" s="178">
        <v>857</v>
      </c>
      <c r="C863" s="44"/>
      <c r="D863" s="45"/>
      <c r="E863" s="39" t="s">
        <v>325</v>
      </c>
      <c r="F863" s="180" t="s">
        <v>1287</v>
      </c>
      <c r="G863" s="40" t="s">
        <v>247</v>
      </c>
      <c r="H863" s="46" t="s">
        <v>248</v>
      </c>
      <c r="I863" s="51" t="str">
        <f>"0x"&amp;AE_w_WORK!J94</f>
        <v>0x0000</v>
      </c>
      <c r="J863" s="41">
        <v>40473</v>
      </c>
      <c r="K863" s="42"/>
      <c r="M863" s="179"/>
      <c r="N863" s="179"/>
    </row>
    <row r="864" spans="2:14" hidden="1" outlineLevel="1">
      <c r="B864" s="178">
        <v>858</v>
      </c>
      <c r="C864" s="44"/>
      <c r="D864" s="45"/>
      <c r="E864" s="39" t="s">
        <v>325</v>
      </c>
      <c r="F864" s="180" t="s">
        <v>1288</v>
      </c>
      <c r="G864" s="40" t="s">
        <v>249</v>
      </c>
      <c r="H864" s="46" t="s">
        <v>250</v>
      </c>
      <c r="I864" s="51" t="str">
        <f>"0x"&amp;AE_w_WORK!J95</f>
        <v>0x0777</v>
      </c>
      <c r="J864" s="41">
        <v>40473</v>
      </c>
      <c r="K864" s="42"/>
      <c r="M864" s="179"/>
      <c r="N864" s="179"/>
    </row>
    <row r="865" spans="2:14" hidden="1" outlineLevel="1">
      <c r="B865" s="178">
        <v>859</v>
      </c>
      <c r="C865" s="44"/>
      <c r="D865" s="45"/>
      <c r="E865" s="39" t="s">
        <v>325</v>
      </c>
      <c r="F865" s="180" t="s">
        <v>1289</v>
      </c>
      <c r="G865" s="40" t="s">
        <v>251</v>
      </c>
      <c r="H865" s="46" t="s">
        <v>252</v>
      </c>
      <c r="I865" s="51" t="str">
        <f>"0x"&amp;AE_w_WORK!J96</f>
        <v>0x7770</v>
      </c>
      <c r="J865" s="41">
        <v>40473</v>
      </c>
      <c r="K865" s="42"/>
      <c r="M865" s="179"/>
      <c r="N865" s="179"/>
    </row>
    <row r="866" spans="2:14" hidden="1" outlineLevel="1">
      <c r="B866" s="178">
        <v>860</v>
      </c>
      <c r="C866" s="44"/>
      <c r="D866" s="45"/>
      <c r="E866" s="39" t="s">
        <v>325</v>
      </c>
      <c r="F866" s="180" t="s">
        <v>1290</v>
      </c>
      <c r="G866" s="40" t="s">
        <v>253</v>
      </c>
      <c r="H866" s="46" t="s">
        <v>254</v>
      </c>
      <c r="I866" s="51" t="str">
        <f>"0x"&amp;AE_w_WORK!J97</f>
        <v>0x0000</v>
      </c>
      <c r="J866" s="41">
        <v>40473</v>
      </c>
      <c r="K866" s="42"/>
      <c r="M866" s="179"/>
      <c r="N866" s="179"/>
    </row>
    <row r="867" spans="2:14" hidden="1" outlineLevel="1">
      <c r="B867" s="178">
        <v>861</v>
      </c>
      <c r="C867" s="44"/>
      <c r="D867" s="45"/>
      <c r="E867" s="39" t="s">
        <v>325</v>
      </c>
      <c r="F867" s="180" t="s">
        <v>1291</v>
      </c>
      <c r="G867" s="40" t="s">
        <v>255</v>
      </c>
      <c r="H867" s="46" t="s">
        <v>256</v>
      </c>
      <c r="I867" s="51" t="str">
        <f>"0x"&amp;AE_w_WORK!J98</f>
        <v>0x0000</v>
      </c>
      <c r="J867" s="41">
        <v>40473</v>
      </c>
      <c r="K867" s="42"/>
      <c r="M867" s="179"/>
      <c r="N867" s="179"/>
    </row>
    <row r="868" spans="2:14" hidden="1" outlineLevel="1">
      <c r="B868" s="178">
        <v>862</v>
      </c>
      <c r="C868" s="44"/>
      <c r="D868" s="45"/>
      <c r="E868" s="39" t="s">
        <v>325</v>
      </c>
      <c r="F868" s="180" t="s">
        <v>1292</v>
      </c>
      <c r="G868" s="40" t="s">
        <v>257</v>
      </c>
      <c r="H868" s="46" t="s">
        <v>258</v>
      </c>
      <c r="I868" s="51" t="str">
        <f>"0x"&amp;AE_w_WORK!J99</f>
        <v>0x0777</v>
      </c>
      <c r="J868" s="41">
        <v>40473</v>
      </c>
      <c r="K868" s="42"/>
      <c r="M868" s="179"/>
      <c r="N868" s="179"/>
    </row>
    <row r="869" spans="2:14" hidden="1" outlineLevel="1">
      <c r="B869" s="178">
        <v>863</v>
      </c>
      <c r="C869" s="44"/>
      <c r="D869" s="45"/>
      <c r="E869" s="39" t="s">
        <v>325</v>
      </c>
      <c r="F869" s="180" t="s">
        <v>1293</v>
      </c>
      <c r="G869" s="40" t="s">
        <v>259</v>
      </c>
      <c r="H869" s="46" t="s">
        <v>260</v>
      </c>
      <c r="I869" s="51" t="str">
        <f>"0x"&amp;AE_w_WORK!J100</f>
        <v>0x7770</v>
      </c>
      <c r="J869" s="41">
        <v>40473</v>
      </c>
      <c r="K869" s="42"/>
      <c r="M869" s="179"/>
      <c r="N869" s="179"/>
    </row>
    <row r="870" spans="2:14" hidden="1" outlineLevel="1">
      <c r="B870" s="178">
        <v>864</v>
      </c>
      <c r="C870" s="44"/>
      <c r="D870" s="45"/>
      <c r="E870" s="39" t="s">
        <v>325</v>
      </c>
      <c r="F870" s="180" t="s">
        <v>1294</v>
      </c>
      <c r="G870" s="40" t="s">
        <v>261</v>
      </c>
      <c r="H870" s="46" t="s">
        <v>262</v>
      </c>
      <c r="I870" s="51" t="str">
        <f>"0x"&amp;AE_w_WORK!J101</f>
        <v>0x0000</v>
      </c>
      <c r="J870" s="41">
        <v>40473</v>
      </c>
      <c r="K870" s="42"/>
      <c r="M870" s="179"/>
      <c r="N870" s="179"/>
    </row>
    <row r="871" spans="2:14" hidden="1" outlineLevel="1">
      <c r="B871" s="178">
        <v>865</v>
      </c>
      <c r="C871" s="44"/>
      <c r="D871" s="45"/>
      <c r="E871" s="39" t="s">
        <v>325</v>
      </c>
      <c r="F871" s="180" t="s">
        <v>1295</v>
      </c>
      <c r="G871" s="40" t="s">
        <v>263</v>
      </c>
      <c r="H871" s="46" t="s">
        <v>81</v>
      </c>
      <c r="I871" s="51" t="str">
        <f>"0x"&amp;AE_w_WORK!J102</f>
        <v>0x0000</v>
      </c>
      <c r="J871" s="41">
        <v>40473</v>
      </c>
      <c r="K871" s="42"/>
      <c r="M871" s="179"/>
      <c r="N871" s="179"/>
    </row>
    <row r="872" spans="2:14" hidden="1" outlineLevel="1">
      <c r="B872" s="178">
        <v>866</v>
      </c>
      <c r="C872" s="44"/>
      <c r="D872" s="45"/>
      <c r="E872" s="39" t="s">
        <v>325</v>
      </c>
      <c r="F872" s="180" t="s">
        <v>1296</v>
      </c>
      <c r="G872" s="40" t="s">
        <v>82</v>
      </c>
      <c r="H872" s="46" t="s">
        <v>83</v>
      </c>
      <c r="I872" s="51" t="str">
        <f>"0x"&amp;AE_w_WORK!J103</f>
        <v>0x0007</v>
      </c>
      <c r="J872" s="41">
        <v>40473</v>
      </c>
      <c r="K872" s="42"/>
      <c r="M872" s="179"/>
      <c r="N872" s="179"/>
    </row>
    <row r="873" spans="2:14" hidden="1" outlineLevel="1">
      <c r="B873" s="178">
        <v>867</v>
      </c>
      <c r="C873" s="44"/>
      <c r="D873" s="45"/>
      <c r="E873" s="39" t="s">
        <v>325</v>
      </c>
      <c r="F873" s="180" t="s">
        <v>1297</v>
      </c>
      <c r="G873" s="40" t="s">
        <v>84</v>
      </c>
      <c r="H873" s="46" t="s">
        <v>85</v>
      </c>
      <c r="I873" s="51" t="str">
        <f>"0x"&amp;AE_w_WORK!J104</f>
        <v>0x7000</v>
      </c>
      <c r="J873" s="41">
        <v>40473</v>
      </c>
      <c r="K873" s="42"/>
      <c r="M873" s="179"/>
      <c r="N873" s="179"/>
    </row>
    <row r="874" spans="2:14" hidden="1" outlineLevel="1">
      <c r="B874" s="178">
        <v>868</v>
      </c>
      <c r="C874" s="44"/>
      <c r="D874" s="45"/>
      <c r="E874" s="39" t="s">
        <v>325</v>
      </c>
      <c r="F874" s="180" t="s">
        <v>1298</v>
      </c>
      <c r="G874" s="40" t="s">
        <v>86</v>
      </c>
      <c r="H874" s="46" t="s">
        <v>87</v>
      </c>
      <c r="I874" s="51" t="str">
        <f>"0x"&amp;AE_w_WORK!J105</f>
        <v>0x0000</v>
      </c>
      <c r="J874" s="41">
        <v>40473</v>
      </c>
      <c r="K874" s="42"/>
      <c r="M874" s="179"/>
      <c r="N874" s="179"/>
    </row>
    <row r="875" spans="2:14" hidden="1" outlineLevel="1">
      <c r="B875" s="178">
        <v>869</v>
      </c>
      <c r="C875" s="44"/>
      <c r="D875" s="45"/>
      <c r="E875" s="39" t="s">
        <v>325</v>
      </c>
      <c r="F875" s="180" t="s">
        <v>1299</v>
      </c>
      <c r="G875" s="40" t="s">
        <v>88</v>
      </c>
      <c r="H875" s="46" t="s">
        <v>89</v>
      </c>
      <c r="I875" s="51" t="str">
        <f>"0x"&amp;AE_w_WORK!J106</f>
        <v>0x0000</v>
      </c>
      <c r="J875" s="41">
        <v>40473</v>
      </c>
      <c r="K875" s="42"/>
      <c r="M875" s="179"/>
      <c r="N875" s="179"/>
    </row>
    <row r="876" spans="2:14" hidden="1" outlineLevel="1">
      <c r="B876" s="178">
        <v>870</v>
      </c>
      <c r="C876" s="44"/>
      <c r="D876" s="45"/>
      <c r="E876" s="39" t="s">
        <v>325</v>
      </c>
      <c r="F876" s="180" t="s">
        <v>1300</v>
      </c>
      <c r="G876" s="40" t="s">
        <v>90</v>
      </c>
      <c r="H876" s="46" t="s">
        <v>91</v>
      </c>
      <c r="I876" s="51" t="str">
        <f>"0x"&amp;AE_w_WORK!J107</f>
        <v>0x0007</v>
      </c>
      <c r="J876" s="41">
        <v>40473</v>
      </c>
      <c r="K876" s="42"/>
      <c r="M876" s="179"/>
      <c r="N876" s="179"/>
    </row>
    <row r="877" spans="2:14" hidden="1" outlineLevel="1">
      <c r="B877" s="178">
        <v>871</v>
      </c>
      <c r="C877" s="44"/>
      <c r="D877" s="45"/>
      <c r="E877" s="39" t="s">
        <v>325</v>
      </c>
      <c r="F877" s="180" t="s">
        <v>1301</v>
      </c>
      <c r="G877" s="40" t="s">
        <v>92</v>
      </c>
      <c r="H877" s="46" t="s">
        <v>93</v>
      </c>
      <c r="I877" s="51" t="str">
        <f>"0x"&amp;AE_w_WORK!J108</f>
        <v>0x7000</v>
      </c>
      <c r="J877" s="41">
        <v>40473</v>
      </c>
      <c r="K877" s="42"/>
      <c r="M877" s="179"/>
      <c r="N877" s="179"/>
    </row>
    <row r="878" spans="2:14" hidden="1" outlineLevel="1">
      <c r="B878" s="178">
        <v>872</v>
      </c>
      <c r="C878" s="44"/>
      <c r="D878" s="45"/>
      <c r="E878" s="39" t="s">
        <v>325</v>
      </c>
      <c r="F878" s="180" t="s">
        <v>1302</v>
      </c>
      <c r="G878" s="40" t="s">
        <v>94</v>
      </c>
      <c r="H878" s="46" t="s">
        <v>95</v>
      </c>
      <c r="I878" s="51" t="str">
        <f>"0x"&amp;AE_w_WORK!J109</f>
        <v>0x0000</v>
      </c>
      <c r="J878" s="41">
        <v>40473</v>
      </c>
      <c r="K878" s="42"/>
      <c r="M878" s="179"/>
      <c r="N878" s="179"/>
    </row>
    <row r="879" spans="2:14" hidden="1" outlineLevel="1">
      <c r="B879" s="178">
        <v>873</v>
      </c>
      <c r="C879" s="44"/>
      <c r="D879" s="45"/>
      <c r="E879" s="39" t="s">
        <v>325</v>
      </c>
      <c r="F879" s="180" t="s">
        <v>1303</v>
      </c>
      <c r="G879" s="40" t="s">
        <v>96</v>
      </c>
      <c r="H879" s="46" t="s">
        <v>97</v>
      </c>
      <c r="I879" s="51" t="str">
        <f>"0x"&amp;AE_w_WORK!J110</f>
        <v>0x0000</v>
      </c>
      <c r="J879" s="41">
        <v>40473</v>
      </c>
      <c r="K879" s="42"/>
      <c r="M879" s="179"/>
      <c r="N879" s="179"/>
    </row>
    <row r="880" spans="2:14" hidden="1" outlineLevel="1">
      <c r="B880" s="178">
        <v>874</v>
      </c>
      <c r="C880" s="44"/>
      <c r="D880" s="45"/>
      <c r="E880" s="39" t="s">
        <v>325</v>
      </c>
      <c r="F880" s="180" t="s">
        <v>1304</v>
      </c>
      <c r="G880" s="40" t="s">
        <v>98</v>
      </c>
      <c r="H880" s="46" t="s">
        <v>99</v>
      </c>
      <c r="I880" s="51" t="str">
        <f>"0x"&amp;AE_w_WORK!J111</f>
        <v>0x0000</v>
      </c>
      <c r="J880" s="41">
        <v>40473</v>
      </c>
      <c r="K880" s="42"/>
      <c r="M880" s="179"/>
      <c r="N880" s="179"/>
    </row>
    <row r="881" spans="2:14" hidden="1" outlineLevel="1">
      <c r="B881" s="178">
        <v>875</v>
      </c>
      <c r="C881" s="44"/>
      <c r="D881" s="45"/>
      <c r="E881" s="39" t="s">
        <v>325</v>
      </c>
      <c r="F881" s="180" t="s">
        <v>1305</v>
      </c>
      <c r="G881" s="40" t="s">
        <v>100</v>
      </c>
      <c r="H881" s="46" t="s">
        <v>101</v>
      </c>
      <c r="I881" s="51" t="str">
        <f>"0x"&amp;AE_w_WORK!J112</f>
        <v>0x0000</v>
      </c>
      <c r="J881" s="41">
        <v>40473</v>
      </c>
      <c r="K881" s="42"/>
      <c r="M881" s="179"/>
      <c r="N881" s="179"/>
    </row>
    <row r="882" spans="2:14" hidden="1" outlineLevel="1">
      <c r="B882" s="178">
        <v>876</v>
      </c>
      <c r="C882" s="44"/>
      <c r="D882" s="45"/>
      <c r="E882" s="39" t="s">
        <v>325</v>
      </c>
      <c r="F882" s="180" t="s">
        <v>1306</v>
      </c>
      <c r="G882" s="40" t="s">
        <v>102</v>
      </c>
      <c r="H882" s="46" t="s">
        <v>103</v>
      </c>
      <c r="I882" s="51" t="str">
        <f>"0x"&amp;AE_w_WORK!J113</f>
        <v>0x0000</v>
      </c>
      <c r="J882" s="41">
        <v>40473</v>
      </c>
      <c r="K882" s="42"/>
      <c r="M882" s="179"/>
      <c r="N882" s="179"/>
    </row>
    <row r="883" spans="2:14" hidden="1" outlineLevel="1">
      <c r="B883" s="178">
        <v>877</v>
      </c>
      <c r="C883" s="44"/>
      <c r="D883" s="45"/>
      <c r="E883" s="39" t="s">
        <v>325</v>
      </c>
      <c r="F883" s="180" t="s">
        <v>1307</v>
      </c>
      <c r="G883" s="40" t="s">
        <v>104</v>
      </c>
      <c r="H883" s="46" t="s">
        <v>105</v>
      </c>
      <c r="I883" s="51" t="str">
        <f>"0x"&amp;AE_w_WORK!J114</f>
        <v>0x0000</v>
      </c>
      <c r="J883" s="41">
        <v>40473</v>
      </c>
      <c r="K883" s="42"/>
      <c r="M883" s="179"/>
      <c r="N883" s="179"/>
    </row>
    <row r="884" spans="2:14" hidden="1" outlineLevel="1">
      <c r="B884" s="178">
        <v>878</v>
      </c>
      <c r="C884" s="44"/>
      <c r="D884" s="45"/>
      <c r="E884" s="39" t="s">
        <v>325</v>
      </c>
      <c r="F884" s="180" t="s">
        <v>1308</v>
      </c>
      <c r="G884" s="40" t="s">
        <v>106</v>
      </c>
      <c r="H884" s="46" t="s">
        <v>107</v>
      </c>
      <c r="I884" s="51" t="str">
        <f>"0x"&amp;AE_w_WORK!J115</f>
        <v>0x0000</v>
      </c>
      <c r="J884" s="41">
        <v>40473</v>
      </c>
      <c r="K884" s="42"/>
      <c r="M884" s="179"/>
      <c r="N884" s="179"/>
    </row>
    <row r="885" spans="2:14" hidden="1" outlineLevel="1">
      <c r="B885" s="178">
        <v>879</v>
      </c>
      <c r="C885" s="44"/>
      <c r="D885" s="45"/>
      <c r="E885" s="39" t="s">
        <v>325</v>
      </c>
      <c r="F885" s="180" t="s">
        <v>1309</v>
      </c>
      <c r="G885" s="40" t="s">
        <v>108</v>
      </c>
      <c r="H885" s="46" t="s">
        <v>109</v>
      </c>
      <c r="I885" s="51" t="str">
        <f>"0x"&amp;AE_w_WORK!J116</f>
        <v>0x0000</v>
      </c>
      <c r="J885" s="41">
        <v>40473</v>
      </c>
      <c r="K885" s="42"/>
      <c r="M885" s="179"/>
      <c r="N885" s="179"/>
    </row>
    <row r="886" spans="2:14" hidden="1" outlineLevel="1">
      <c r="B886" s="178">
        <v>880</v>
      </c>
      <c r="C886" s="44"/>
      <c r="D886" s="45"/>
      <c r="E886" s="39" t="s">
        <v>325</v>
      </c>
      <c r="F886" s="180" t="s">
        <v>1310</v>
      </c>
      <c r="G886" s="40" t="s">
        <v>110</v>
      </c>
      <c r="H886" s="46" t="s">
        <v>111</v>
      </c>
      <c r="I886" s="51" t="str">
        <f>"0x"&amp;AE_w_WORK!J117</f>
        <v>0x0000</v>
      </c>
      <c r="J886" s="41">
        <v>40473</v>
      </c>
      <c r="K886" s="42"/>
      <c r="M886" s="179"/>
      <c r="N886" s="179"/>
    </row>
    <row r="887" spans="2:14" hidden="1" outlineLevel="1">
      <c r="B887" s="178">
        <v>881</v>
      </c>
      <c r="C887" s="44"/>
      <c r="D887" s="45"/>
      <c r="E887" s="39" t="s">
        <v>325</v>
      </c>
      <c r="F887" s="180" t="s">
        <v>1311</v>
      </c>
      <c r="G887" s="40" t="s">
        <v>112</v>
      </c>
      <c r="H887" s="46" t="s">
        <v>113</v>
      </c>
      <c r="I887" s="51" t="str">
        <f>"0x"&amp;AE_w_WORK!J118</f>
        <v>0x0000</v>
      </c>
      <c r="J887" s="41">
        <v>40473</v>
      </c>
      <c r="K887" s="42"/>
      <c r="M887" s="179"/>
      <c r="N887" s="179"/>
    </row>
    <row r="888" spans="2:14" hidden="1" outlineLevel="1">
      <c r="B888" s="178">
        <v>882</v>
      </c>
      <c r="C888" s="44"/>
      <c r="D888" s="45"/>
      <c r="E888" s="39" t="s">
        <v>325</v>
      </c>
      <c r="F888" s="180" t="s">
        <v>1312</v>
      </c>
      <c r="G888" s="40" t="s">
        <v>114</v>
      </c>
      <c r="H888" s="46" t="s">
        <v>115</v>
      </c>
      <c r="I888" s="51" t="str">
        <f>"0x"&amp;AE_w_WORK!J119</f>
        <v>0x0000</v>
      </c>
      <c r="J888" s="41">
        <v>40473</v>
      </c>
      <c r="K888" s="42"/>
      <c r="M888" s="179"/>
      <c r="N888" s="179"/>
    </row>
    <row r="889" spans="2:14" hidden="1" outlineLevel="1">
      <c r="B889" s="178">
        <v>883</v>
      </c>
      <c r="C889" s="44"/>
      <c r="D889" s="45"/>
      <c r="E889" s="39" t="s">
        <v>325</v>
      </c>
      <c r="F889" s="180" t="s">
        <v>1313</v>
      </c>
      <c r="G889" s="40" t="s">
        <v>116</v>
      </c>
      <c r="H889" s="46" t="s">
        <v>117</v>
      </c>
      <c r="I889" s="51" t="str">
        <f>"0x"&amp;AE_w_WORK!J120</f>
        <v>0x0000</v>
      </c>
      <c r="J889" s="41">
        <v>40473</v>
      </c>
      <c r="K889" s="42"/>
      <c r="M889" s="179"/>
      <c r="N889" s="179"/>
    </row>
    <row r="890" spans="2:14" hidden="1" outlineLevel="1">
      <c r="B890" s="178">
        <v>884</v>
      </c>
      <c r="C890" s="44"/>
      <c r="D890" s="45"/>
      <c r="E890" s="39" t="s">
        <v>325</v>
      </c>
      <c r="F890" s="180" t="s">
        <v>1314</v>
      </c>
      <c r="G890" s="40" t="s">
        <v>118</v>
      </c>
      <c r="H890" s="46" t="s">
        <v>119</v>
      </c>
      <c r="I890" s="51" t="str">
        <f>"0x"&amp;AE_w_WORK!J121</f>
        <v>0x0000</v>
      </c>
      <c r="J890" s="41">
        <v>40473</v>
      </c>
      <c r="K890" s="42"/>
      <c r="M890" s="179"/>
      <c r="N890" s="179"/>
    </row>
    <row r="891" spans="2:14" hidden="1" outlineLevel="1">
      <c r="B891" s="178">
        <v>885</v>
      </c>
      <c r="C891" s="44"/>
      <c r="D891" s="45"/>
      <c r="E891" s="39" t="s">
        <v>325</v>
      </c>
      <c r="F891" s="180" t="s">
        <v>1315</v>
      </c>
      <c r="G891" s="40" t="s">
        <v>120</v>
      </c>
      <c r="H891" s="46" t="s">
        <v>264</v>
      </c>
      <c r="I891" s="51" t="str">
        <f>"0x"&amp;AE_w_WORK!J122</f>
        <v>0x0000</v>
      </c>
      <c r="J891" s="41">
        <v>40473</v>
      </c>
      <c r="K891" s="42"/>
      <c r="M891" s="179"/>
      <c r="N891" s="179"/>
    </row>
    <row r="892" spans="2:14" hidden="1" outlineLevel="1">
      <c r="B892" s="178">
        <v>886</v>
      </c>
      <c r="C892" s="44"/>
      <c r="D892" s="45"/>
      <c r="E892" s="39" t="s">
        <v>325</v>
      </c>
      <c r="F892" s="180" t="s">
        <v>1316</v>
      </c>
      <c r="G892" s="40" t="s">
        <v>0</v>
      </c>
      <c r="H892" s="46" t="s">
        <v>1</v>
      </c>
      <c r="I892" s="51" t="str">
        <f>"0x"&amp;AE_w_WORK!J123</f>
        <v>0x0000</v>
      </c>
      <c r="J892" s="41">
        <v>40473</v>
      </c>
      <c r="K892" s="42"/>
      <c r="M892" s="179"/>
      <c r="N892" s="179"/>
    </row>
    <row r="893" spans="2:14" hidden="1" outlineLevel="1">
      <c r="B893" s="178">
        <v>887</v>
      </c>
      <c r="C893" s="44"/>
      <c r="D893" s="45"/>
      <c r="E893" s="39" t="s">
        <v>325</v>
      </c>
      <c r="F893" s="180" t="s">
        <v>1317</v>
      </c>
      <c r="G893" s="40" t="s">
        <v>2</v>
      </c>
      <c r="H893" s="46" t="s">
        <v>3</v>
      </c>
      <c r="I893" s="51" t="str">
        <f>"0x"&amp;AE_w_WORK!J124</f>
        <v>0x0000</v>
      </c>
      <c r="J893" s="41">
        <v>40473</v>
      </c>
      <c r="K893" s="42"/>
      <c r="M893" s="179"/>
      <c r="N893" s="179"/>
    </row>
    <row r="894" spans="2:14" hidden="1" outlineLevel="1">
      <c r="B894" s="178">
        <v>888</v>
      </c>
      <c r="C894" s="44"/>
      <c r="D894" s="45"/>
      <c r="E894" s="39" t="s">
        <v>325</v>
      </c>
      <c r="F894" s="180" t="s">
        <v>1318</v>
      </c>
      <c r="G894" s="40" t="s">
        <v>4</v>
      </c>
      <c r="H894" s="46" t="s">
        <v>5</v>
      </c>
      <c r="I894" s="51" t="str">
        <f>"0x"&amp;AE_w_WORK!J125</f>
        <v>0x0000</v>
      </c>
      <c r="J894" s="41">
        <v>40473</v>
      </c>
      <c r="K894" s="42"/>
      <c r="M894" s="179"/>
      <c r="N894" s="179"/>
    </row>
    <row r="895" spans="2:14" hidden="1" outlineLevel="1">
      <c r="B895" s="178">
        <v>889</v>
      </c>
      <c r="C895" s="44"/>
      <c r="D895" s="45"/>
      <c r="E895" s="39" t="s">
        <v>325</v>
      </c>
      <c r="F895" s="180" t="s">
        <v>1319</v>
      </c>
      <c r="G895" s="40" t="s">
        <v>6</v>
      </c>
      <c r="H895" s="46" t="s">
        <v>7</v>
      </c>
      <c r="I895" s="51" t="str">
        <f>"0x"&amp;AE_w_WORK!J126</f>
        <v>0x0000</v>
      </c>
      <c r="J895" s="41">
        <v>40473</v>
      </c>
      <c r="K895" s="42"/>
      <c r="M895" s="179"/>
      <c r="N895" s="179"/>
    </row>
    <row r="896" spans="2:14" hidden="1" outlineLevel="1">
      <c r="B896" s="178">
        <v>890</v>
      </c>
      <c r="C896" s="44"/>
      <c r="D896" s="45"/>
      <c r="E896" s="39" t="s">
        <v>325</v>
      </c>
      <c r="F896" s="180" t="s">
        <v>1320</v>
      </c>
      <c r="G896" s="40" t="s">
        <v>8</v>
      </c>
      <c r="H896" s="46" t="s">
        <v>9</v>
      </c>
      <c r="I896" s="51" t="str">
        <f>"0x"&amp;AE_w_WORK!J127</f>
        <v>0x0000</v>
      </c>
      <c r="J896" s="41">
        <v>40473</v>
      </c>
      <c r="K896" s="42"/>
      <c r="M896" s="179"/>
      <c r="N896" s="179"/>
    </row>
    <row r="897" spans="2:14" hidden="1" outlineLevel="1">
      <c r="B897" s="178">
        <v>891</v>
      </c>
      <c r="C897" s="44"/>
      <c r="D897" s="45"/>
      <c r="E897" s="39" t="s">
        <v>325</v>
      </c>
      <c r="F897" s="180" t="s">
        <v>1321</v>
      </c>
      <c r="G897" s="40" t="s">
        <v>10</v>
      </c>
      <c r="H897" s="46" t="s">
        <v>11</v>
      </c>
      <c r="I897" s="51" t="str">
        <f>"0x"&amp;AE_w_WORK!J128</f>
        <v>0x0000</v>
      </c>
      <c r="J897" s="41">
        <v>40473</v>
      </c>
      <c r="K897" s="42"/>
      <c r="M897" s="179"/>
      <c r="N897" s="179"/>
    </row>
    <row r="898" spans="2:14" hidden="1" outlineLevel="1">
      <c r="B898" s="178">
        <v>892</v>
      </c>
      <c r="C898" s="44"/>
      <c r="D898" s="45"/>
      <c r="E898" s="39" t="s">
        <v>325</v>
      </c>
      <c r="F898" s="180" t="s">
        <v>1322</v>
      </c>
      <c r="G898" s="40" t="s">
        <v>12</v>
      </c>
      <c r="H898" s="46" t="s">
        <v>13</v>
      </c>
      <c r="I898" s="51" t="str">
        <f>"0x"&amp;AE_w_WORK!J129</f>
        <v>0x0000</v>
      </c>
      <c r="J898" s="41">
        <v>40473</v>
      </c>
      <c r="K898" s="42"/>
      <c r="M898" s="179"/>
      <c r="N898" s="179"/>
    </row>
    <row r="899" spans="2:14" hidden="1" outlineLevel="1">
      <c r="B899" s="178">
        <v>893</v>
      </c>
      <c r="C899" s="44"/>
      <c r="D899" s="45"/>
      <c r="E899" s="39" t="s">
        <v>325</v>
      </c>
      <c r="F899" s="180" t="s">
        <v>1323</v>
      </c>
      <c r="G899" s="40" t="s">
        <v>14</v>
      </c>
      <c r="H899" s="46" t="s">
        <v>15</v>
      </c>
      <c r="I899" s="51" t="str">
        <f>"0x"&amp;AE_w_WORK!J130</f>
        <v>0x0000</v>
      </c>
      <c r="J899" s="41">
        <v>40473</v>
      </c>
      <c r="K899" s="42"/>
      <c r="M899" s="179"/>
      <c r="N899" s="179"/>
    </row>
    <row r="900" spans="2:14" hidden="1" outlineLevel="1">
      <c r="B900" s="178">
        <v>894</v>
      </c>
      <c r="C900" s="44"/>
      <c r="D900" s="45"/>
      <c r="E900" s="39" t="s">
        <v>325</v>
      </c>
      <c r="F900" s="180" t="s">
        <v>1324</v>
      </c>
      <c r="G900" s="40" t="s">
        <v>16</v>
      </c>
      <c r="H900" s="46" t="s">
        <v>17</v>
      </c>
      <c r="I900" s="51" t="str">
        <f>"0x"&amp;AE_w_WORK!J131</f>
        <v>0x0000</v>
      </c>
      <c r="J900" s="41">
        <v>40473</v>
      </c>
      <c r="K900" s="42"/>
      <c r="M900" s="179"/>
      <c r="N900" s="179"/>
    </row>
    <row r="901" spans="2:14" hidden="1" outlineLevel="1">
      <c r="B901" s="178">
        <v>895</v>
      </c>
      <c r="C901" s="44"/>
      <c r="D901" s="45"/>
      <c r="E901" s="39" t="s">
        <v>325</v>
      </c>
      <c r="F901" s="180" t="s">
        <v>1325</v>
      </c>
      <c r="G901" s="40" t="s">
        <v>18</v>
      </c>
      <c r="H901" s="46" t="s">
        <v>19</v>
      </c>
      <c r="I901" s="51" t="str">
        <f>"0x"&amp;AE_w_WORK!J132</f>
        <v>0x0000</v>
      </c>
      <c r="J901" s="41">
        <v>40473</v>
      </c>
      <c r="K901" s="42"/>
      <c r="M901" s="179"/>
      <c r="N901" s="179"/>
    </row>
    <row r="902" spans="2:14" hidden="1" outlineLevel="1">
      <c r="B902" s="178">
        <v>896</v>
      </c>
      <c r="C902" s="44"/>
      <c r="D902" s="45"/>
      <c r="E902" s="39" t="s">
        <v>325</v>
      </c>
      <c r="F902" s="180" t="s">
        <v>1326</v>
      </c>
      <c r="G902" s="40" t="s">
        <v>20</v>
      </c>
      <c r="H902" s="46" t="s">
        <v>21</v>
      </c>
      <c r="I902" s="51" t="str">
        <f>"0x"&amp;AE_w_WORK!J133</f>
        <v>0x0000</v>
      </c>
      <c r="J902" s="41">
        <v>40473</v>
      </c>
      <c r="K902" s="42"/>
      <c r="M902" s="179"/>
      <c r="N902" s="179"/>
    </row>
    <row r="903" spans="2:14" collapsed="1">
      <c r="B903" s="178">
        <v>897</v>
      </c>
      <c r="C903" s="44"/>
      <c r="D903" s="45"/>
      <c r="E903" s="39" t="s">
        <v>325</v>
      </c>
      <c r="F903" s="180" t="s">
        <v>1327</v>
      </c>
      <c r="G903" s="40" t="s">
        <v>79</v>
      </c>
      <c r="H903" s="46" t="s">
        <v>80</v>
      </c>
      <c r="I903" s="51" t="str">
        <f>"0x"&amp;AE_w_WORK!K6</f>
        <v>0x0000</v>
      </c>
      <c r="J903" s="41">
        <v>40473</v>
      </c>
      <c r="K903" s="42" t="s">
        <v>423</v>
      </c>
      <c r="M903" s="179"/>
      <c r="N903" s="179"/>
    </row>
    <row r="904" spans="2:14" hidden="1" outlineLevel="1">
      <c r="B904" s="178">
        <v>898</v>
      </c>
      <c r="C904" s="44"/>
      <c r="D904" s="45"/>
      <c r="E904" s="39" t="s">
        <v>325</v>
      </c>
      <c r="F904" s="180" t="s">
        <v>1328</v>
      </c>
      <c r="G904" s="40" t="s">
        <v>77</v>
      </c>
      <c r="H904" s="46" t="s">
        <v>78</v>
      </c>
      <c r="I904" s="51" t="str">
        <f>"0x"&amp;AE_w_WORK!K7</f>
        <v>0x0000</v>
      </c>
      <c r="J904" s="41">
        <v>40473</v>
      </c>
      <c r="K904" s="42"/>
      <c r="M904" s="179"/>
      <c r="N904" s="179"/>
    </row>
    <row r="905" spans="2:14" hidden="1" outlineLevel="1">
      <c r="B905" s="178">
        <v>899</v>
      </c>
      <c r="C905" s="44"/>
      <c r="D905" s="45"/>
      <c r="E905" s="39" t="s">
        <v>325</v>
      </c>
      <c r="F905" s="180" t="s">
        <v>1329</v>
      </c>
      <c r="G905" s="40" t="s">
        <v>22</v>
      </c>
      <c r="H905" s="46" t="s">
        <v>23</v>
      </c>
      <c r="I905" s="51" t="str">
        <f>"0x"&amp;AE_w_WORK!K8</f>
        <v>0x0000</v>
      </c>
      <c r="J905" s="41">
        <v>40473</v>
      </c>
      <c r="K905" s="42"/>
      <c r="M905" s="179"/>
      <c r="N905" s="179"/>
    </row>
    <row r="906" spans="2:14" hidden="1" outlineLevel="1">
      <c r="B906" s="178">
        <v>900</v>
      </c>
      <c r="C906" s="44"/>
      <c r="D906" s="45"/>
      <c r="E906" s="39" t="s">
        <v>325</v>
      </c>
      <c r="F906" s="180" t="s">
        <v>1330</v>
      </c>
      <c r="G906" s="40" t="s">
        <v>24</v>
      </c>
      <c r="H906" s="46" t="s">
        <v>25</v>
      </c>
      <c r="I906" s="51" t="str">
        <f>"0x"&amp;AE_w_WORK!K9</f>
        <v>0x0000</v>
      </c>
      <c r="J906" s="41">
        <v>40473</v>
      </c>
      <c r="K906" s="42"/>
      <c r="M906" s="179"/>
      <c r="N906" s="179"/>
    </row>
    <row r="907" spans="2:14" hidden="1" outlineLevel="1">
      <c r="B907" s="178">
        <v>901</v>
      </c>
      <c r="C907" s="44"/>
      <c r="D907" s="45"/>
      <c r="E907" s="39" t="s">
        <v>325</v>
      </c>
      <c r="F907" s="180" t="s">
        <v>1331</v>
      </c>
      <c r="G907" s="40" t="s">
        <v>26</v>
      </c>
      <c r="H907" s="46" t="s">
        <v>27</v>
      </c>
      <c r="I907" s="51" t="str">
        <f>"0x"&amp;AE_w_WORK!K10</f>
        <v>0x0000</v>
      </c>
      <c r="J907" s="41">
        <v>40473</v>
      </c>
      <c r="K907" s="42"/>
      <c r="M907" s="179"/>
      <c r="N907" s="179"/>
    </row>
    <row r="908" spans="2:14" hidden="1" outlineLevel="1">
      <c r="B908" s="178">
        <v>902</v>
      </c>
      <c r="C908" s="44"/>
      <c r="D908" s="45"/>
      <c r="E908" s="39" t="s">
        <v>325</v>
      </c>
      <c r="F908" s="180" t="s">
        <v>1332</v>
      </c>
      <c r="G908" s="40" t="s">
        <v>28</v>
      </c>
      <c r="H908" s="46" t="s">
        <v>29</v>
      </c>
      <c r="I908" s="51" t="str">
        <f>"0x"&amp;AE_w_WORK!K11</f>
        <v>0x0000</v>
      </c>
      <c r="J908" s="41">
        <v>40473</v>
      </c>
      <c r="K908" s="42"/>
      <c r="M908" s="179"/>
      <c r="N908" s="179"/>
    </row>
    <row r="909" spans="2:14" hidden="1" outlineLevel="1">
      <c r="B909" s="178">
        <v>903</v>
      </c>
      <c r="C909" s="44"/>
      <c r="D909" s="45"/>
      <c r="E909" s="39" t="s">
        <v>325</v>
      </c>
      <c r="F909" s="180" t="s">
        <v>1333</v>
      </c>
      <c r="G909" s="40" t="s">
        <v>30</v>
      </c>
      <c r="H909" s="46" t="s">
        <v>31</v>
      </c>
      <c r="I909" s="51" t="str">
        <f>"0x"&amp;AE_w_WORK!K12</f>
        <v>0x0000</v>
      </c>
      <c r="J909" s="41">
        <v>40473</v>
      </c>
      <c r="K909" s="42"/>
      <c r="M909" s="179"/>
      <c r="N909" s="179"/>
    </row>
    <row r="910" spans="2:14" hidden="1" outlineLevel="1">
      <c r="B910" s="178">
        <v>904</v>
      </c>
      <c r="C910" s="44"/>
      <c r="D910" s="45"/>
      <c r="E910" s="39" t="s">
        <v>325</v>
      </c>
      <c r="F910" s="180" t="s">
        <v>1334</v>
      </c>
      <c r="G910" s="40" t="s">
        <v>32</v>
      </c>
      <c r="H910" s="46" t="s">
        <v>33</v>
      </c>
      <c r="I910" s="51" t="str">
        <f>"0x"&amp;AE_w_WORK!K13</f>
        <v>0x0000</v>
      </c>
      <c r="J910" s="41">
        <v>40473</v>
      </c>
      <c r="K910" s="42"/>
      <c r="M910" s="179"/>
      <c r="N910" s="179"/>
    </row>
    <row r="911" spans="2:14" hidden="1" outlineLevel="1">
      <c r="B911" s="178">
        <v>905</v>
      </c>
      <c r="C911" s="44"/>
      <c r="D911" s="45"/>
      <c r="E911" s="39" t="s">
        <v>325</v>
      </c>
      <c r="F911" s="180" t="s">
        <v>1335</v>
      </c>
      <c r="G911" s="40" t="s">
        <v>34</v>
      </c>
      <c r="H911" s="46" t="s">
        <v>35</v>
      </c>
      <c r="I911" s="51" t="str">
        <f>"0x"&amp;AE_w_WORK!K14</f>
        <v>0x0000</v>
      </c>
      <c r="J911" s="41">
        <v>40473</v>
      </c>
      <c r="K911" s="42"/>
      <c r="M911" s="179"/>
      <c r="N911" s="179"/>
    </row>
    <row r="912" spans="2:14" hidden="1" outlineLevel="1">
      <c r="B912" s="178">
        <v>906</v>
      </c>
      <c r="C912" s="44"/>
      <c r="D912" s="45"/>
      <c r="E912" s="39" t="s">
        <v>325</v>
      </c>
      <c r="F912" s="180" t="s">
        <v>1336</v>
      </c>
      <c r="G912" s="40" t="s">
        <v>36</v>
      </c>
      <c r="H912" s="46" t="s">
        <v>37</v>
      </c>
      <c r="I912" s="51" t="str">
        <f>"0x"&amp;AE_w_WORK!K15</f>
        <v>0x0000</v>
      </c>
      <c r="J912" s="41">
        <v>40473</v>
      </c>
      <c r="K912" s="42"/>
      <c r="M912" s="179"/>
      <c r="N912" s="179"/>
    </row>
    <row r="913" spans="2:14" hidden="1" outlineLevel="1">
      <c r="B913" s="178">
        <v>907</v>
      </c>
      <c r="C913" s="44"/>
      <c r="D913" s="45"/>
      <c r="E913" s="39" t="s">
        <v>325</v>
      </c>
      <c r="F913" s="180" t="s">
        <v>1337</v>
      </c>
      <c r="G913" s="40" t="s">
        <v>38</v>
      </c>
      <c r="H913" s="46" t="s">
        <v>39</v>
      </c>
      <c r="I913" s="51" t="str">
        <f>"0x"&amp;AE_w_WORK!K16</f>
        <v>0x0000</v>
      </c>
      <c r="J913" s="41">
        <v>40473</v>
      </c>
      <c r="K913" s="42"/>
      <c r="M913" s="179"/>
      <c r="N913" s="179"/>
    </row>
    <row r="914" spans="2:14" hidden="1" outlineLevel="1">
      <c r="B914" s="178">
        <v>908</v>
      </c>
      <c r="C914" s="44"/>
      <c r="D914" s="45"/>
      <c r="E914" s="39" t="s">
        <v>325</v>
      </c>
      <c r="F914" s="180" t="s">
        <v>1338</v>
      </c>
      <c r="G914" s="40" t="s">
        <v>40</v>
      </c>
      <c r="H914" s="46" t="s">
        <v>41</v>
      </c>
      <c r="I914" s="51" t="str">
        <f>"0x"&amp;AE_w_WORK!K17</f>
        <v>0x0000</v>
      </c>
      <c r="J914" s="41">
        <v>40473</v>
      </c>
      <c r="K914" s="42"/>
      <c r="M914" s="179"/>
      <c r="N914" s="179"/>
    </row>
    <row r="915" spans="2:14" hidden="1" outlineLevel="1">
      <c r="B915" s="178">
        <v>909</v>
      </c>
      <c r="C915" s="44"/>
      <c r="D915" s="45"/>
      <c r="E915" s="39" t="s">
        <v>325</v>
      </c>
      <c r="F915" s="180" t="s">
        <v>1339</v>
      </c>
      <c r="G915" s="40" t="s">
        <v>42</v>
      </c>
      <c r="H915" s="46" t="s">
        <v>43</v>
      </c>
      <c r="I915" s="51" t="str">
        <f>"0x"&amp;AE_w_WORK!K18</f>
        <v>0x0000</v>
      </c>
      <c r="J915" s="41">
        <v>40473</v>
      </c>
      <c r="K915" s="42"/>
      <c r="M915" s="179"/>
      <c r="N915" s="179"/>
    </row>
    <row r="916" spans="2:14" hidden="1" outlineLevel="1">
      <c r="B916" s="178">
        <v>910</v>
      </c>
      <c r="C916" s="44"/>
      <c r="D916" s="45"/>
      <c r="E916" s="39" t="s">
        <v>325</v>
      </c>
      <c r="F916" s="180" t="s">
        <v>1340</v>
      </c>
      <c r="G916" s="40" t="s">
        <v>44</v>
      </c>
      <c r="H916" s="46" t="s">
        <v>45</v>
      </c>
      <c r="I916" s="51" t="str">
        <f>"0x"&amp;AE_w_WORK!K19</f>
        <v>0x0000</v>
      </c>
      <c r="J916" s="41">
        <v>40473</v>
      </c>
      <c r="K916" s="42"/>
      <c r="M916" s="179"/>
      <c r="N916" s="179"/>
    </row>
    <row r="917" spans="2:14" hidden="1" outlineLevel="1">
      <c r="B917" s="178">
        <v>911</v>
      </c>
      <c r="C917" s="44"/>
      <c r="D917" s="45"/>
      <c r="E917" s="39" t="s">
        <v>325</v>
      </c>
      <c r="F917" s="180" t="s">
        <v>1341</v>
      </c>
      <c r="G917" s="40" t="s">
        <v>46</v>
      </c>
      <c r="H917" s="46" t="s">
        <v>47</v>
      </c>
      <c r="I917" s="51" t="str">
        <f>"0x"&amp;AE_w_WORK!K20</f>
        <v>0x0000</v>
      </c>
      <c r="J917" s="41">
        <v>40473</v>
      </c>
      <c r="K917" s="42"/>
      <c r="M917" s="179"/>
      <c r="N917" s="179"/>
    </row>
    <row r="918" spans="2:14" hidden="1" outlineLevel="1">
      <c r="B918" s="178">
        <v>912</v>
      </c>
      <c r="C918" s="44"/>
      <c r="D918" s="45"/>
      <c r="E918" s="39" t="s">
        <v>325</v>
      </c>
      <c r="F918" s="180" t="s">
        <v>1342</v>
      </c>
      <c r="G918" s="40" t="s">
        <v>48</v>
      </c>
      <c r="H918" s="46" t="s">
        <v>49</v>
      </c>
      <c r="I918" s="51" t="str">
        <f>"0x"&amp;AE_w_WORK!K21</f>
        <v>0x0000</v>
      </c>
      <c r="J918" s="41">
        <v>40473</v>
      </c>
      <c r="K918" s="42"/>
      <c r="M918" s="179"/>
      <c r="N918" s="179"/>
    </row>
    <row r="919" spans="2:14" hidden="1" outlineLevel="1">
      <c r="B919" s="178">
        <v>913</v>
      </c>
      <c r="C919" s="44"/>
      <c r="D919" s="45"/>
      <c r="E919" s="39" t="s">
        <v>325</v>
      </c>
      <c r="F919" s="180" t="s">
        <v>1343</v>
      </c>
      <c r="G919" s="40" t="s">
        <v>50</v>
      </c>
      <c r="H919" s="46" t="s">
        <v>51</v>
      </c>
      <c r="I919" s="51" t="str">
        <f>"0x"&amp;AE_w_WORK!K22</f>
        <v>0x0000</v>
      </c>
      <c r="J919" s="41">
        <v>40473</v>
      </c>
      <c r="K919" s="42"/>
      <c r="M919" s="179"/>
      <c r="N919" s="179"/>
    </row>
    <row r="920" spans="2:14" hidden="1" outlineLevel="1">
      <c r="B920" s="178">
        <v>914</v>
      </c>
      <c r="C920" s="44"/>
      <c r="D920" s="45"/>
      <c r="E920" s="39" t="s">
        <v>325</v>
      </c>
      <c r="F920" s="180" t="s">
        <v>1344</v>
      </c>
      <c r="G920" s="40" t="s">
        <v>52</v>
      </c>
      <c r="H920" s="46" t="s">
        <v>53</v>
      </c>
      <c r="I920" s="51" t="str">
        <f>"0x"&amp;AE_w_WORK!K23</f>
        <v>0x0000</v>
      </c>
      <c r="J920" s="41">
        <v>40473</v>
      </c>
      <c r="K920" s="42"/>
      <c r="M920" s="179"/>
      <c r="N920" s="179"/>
    </row>
    <row r="921" spans="2:14" hidden="1" outlineLevel="1">
      <c r="B921" s="178">
        <v>915</v>
      </c>
      <c r="C921" s="44"/>
      <c r="D921" s="45"/>
      <c r="E921" s="39" t="s">
        <v>325</v>
      </c>
      <c r="F921" s="180" t="s">
        <v>1345</v>
      </c>
      <c r="G921" s="40" t="s">
        <v>54</v>
      </c>
      <c r="H921" s="46" t="s">
        <v>55</v>
      </c>
      <c r="I921" s="51" t="str">
        <f>"0x"&amp;AE_w_WORK!K24</f>
        <v>0x0000</v>
      </c>
      <c r="J921" s="41">
        <v>40473</v>
      </c>
      <c r="K921" s="42"/>
      <c r="M921" s="179"/>
      <c r="N921" s="179"/>
    </row>
    <row r="922" spans="2:14" hidden="1" outlineLevel="1">
      <c r="B922" s="178">
        <v>916</v>
      </c>
      <c r="C922" s="44"/>
      <c r="D922" s="45"/>
      <c r="E922" s="39" t="s">
        <v>325</v>
      </c>
      <c r="F922" s="180" t="s">
        <v>1346</v>
      </c>
      <c r="G922" s="40" t="s">
        <v>56</v>
      </c>
      <c r="H922" s="46" t="s">
        <v>57</v>
      </c>
      <c r="I922" s="51" t="str">
        <f>"0x"&amp;AE_w_WORK!K25</f>
        <v>0x0000</v>
      </c>
      <c r="J922" s="41">
        <v>40473</v>
      </c>
      <c r="K922" s="42"/>
      <c r="M922" s="179"/>
      <c r="N922" s="179"/>
    </row>
    <row r="923" spans="2:14" hidden="1" outlineLevel="1">
      <c r="B923" s="178">
        <v>917</v>
      </c>
      <c r="C923" s="44"/>
      <c r="D923" s="45"/>
      <c r="E923" s="39" t="s">
        <v>325</v>
      </c>
      <c r="F923" s="180" t="s">
        <v>1347</v>
      </c>
      <c r="G923" s="40" t="s">
        <v>58</v>
      </c>
      <c r="H923" s="46" t="s">
        <v>59</v>
      </c>
      <c r="I923" s="51" t="str">
        <f>"0x"&amp;AE_w_WORK!K26</f>
        <v>0x0000</v>
      </c>
      <c r="J923" s="41">
        <v>40473</v>
      </c>
      <c r="K923" s="42"/>
      <c r="M923" s="179"/>
      <c r="N923" s="179"/>
    </row>
    <row r="924" spans="2:14" hidden="1" outlineLevel="1">
      <c r="B924" s="178">
        <v>918</v>
      </c>
      <c r="C924" s="44"/>
      <c r="D924" s="45"/>
      <c r="E924" s="39" t="s">
        <v>325</v>
      </c>
      <c r="F924" s="180" t="s">
        <v>1348</v>
      </c>
      <c r="G924" s="40" t="s">
        <v>60</v>
      </c>
      <c r="H924" s="46" t="s">
        <v>61</v>
      </c>
      <c r="I924" s="51" t="str">
        <f>"0x"&amp;AE_w_WORK!K27</f>
        <v>0x0001</v>
      </c>
      <c r="J924" s="41">
        <v>40473</v>
      </c>
      <c r="K924" s="42"/>
      <c r="M924" s="179"/>
      <c r="N924" s="179"/>
    </row>
    <row r="925" spans="2:14" hidden="1" outlineLevel="1">
      <c r="B925" s="178">
        <v>919</v>
      </c>
      <c r="C925" s="44"/>
      <c r="D925" s="45"/>
      <c r="E925" s="39" t="s">
        <v>325</v>
      </c>
      <c r="F925" s="180" t="s">
        <v>1349</v>
      </c>
      <c r="G925" s="40" t="s">
        <v>62</v>
      </c>
      <c r="H925" s="46" t="s">
        <v>63</v>
      </c>
      <c r="I925" s="51" t="str">
        <f>"0x"&amp;AE_w_WORK!K28</f>
        <v>0x1000</v>
      </c>
      <c r="J925" s="41">
        <v>40473</v>
      </c>
      <c r="K925" s="42"/>
      <c r="M925" s="179"/>
      <c r="N925" s="179"/>
    </row>
    <row r="926" spans="2:14" hidden="1" outlineLevel="1">
      <c r="B926" s="178">
        <v>920</v>
      </c>
      <c r="C926" s="44"/>
      <c r="D926" s="45"/>
      <c r="E926" s="39" t="s">
        <v>325</v>
      </c>
      <c r="F926" s="180" t="s">
        <v>1350</v>
      </c>
      <c r="G926" s="40" t="s">
        <v>64</v>
      </c>
      <c r="H926" s="46" t="s">
        <v>65</v>
      </c>
      <c r="I926" s="51" t="str">
        <f>"0x"&amp;AE_w_WORK!K29</f>
        <v>0x0000</v>
      </c>
      <c r="J926" s="41">
        <v>40473</v>
      </c>
      <c r="K926" s="42"/>
      <c r="M926" s="179"/>
      <c r="N926" s="179"/>
    </row>
    <row r="927" spans="2:14" hidden="1" outlineLevel="1">
      <c r="B927" s="178">
        <v>921</v>
      </c>
      <c r="C927" s="44"/>
      <c r="D927" s="45"/>
      <c r="E927" s="39" t="s">
        <v>325</v>
      </c>
      <c r="F927" s="180" t="s">
        <v>1351</v>
      </c>
      <c r="G927" s="40" t="s">
        <v>66</v>
      </c>
      <c r="H927" s="46" t="s">
        <v>67</v>
      </c>
      <c r="I927" s="51" t="str">
        <f>"0x"&amp;AE_w_WORK!K30</f>
        <v>0x0000</v>
      </c>
      <c r="J927" s="41">
        <v>40473</v>
      </c>
      <c r="K927" s="42"/>
      <c r="M927" s="179"/>
      <c r="N927" s="179"/>
    </row>
    <row r="928" spans="2:14" hidden="1" outlineLevel="1">
      <c r="B928" s="178">
        <v>922</v>
      </c>
      <c r="C928" s="44"/>
      <c r="D928" s="45"/>
      <c r="E928" s="39" t="s">
        <v>325</v>
      </c>
      <c r="F928" s="180" t="s">
        <v>1352</v>
      </c>
      <c r="G928" s="40" t="s">
        <v>68</v>
      </c>
      <c r="H928" s="46" t="s">
        <v>69</v>
      </c>
      <c r="I928" s="51" t="str">
        <f>"0x"&amp;AE_w_WORK!K31</f>
        <v>0x0000</v>
      </c>
      <c r="J928" s="41">
        <v>40473</v>
      </c>
      <c r="K928" s="42"/>
      <c r="M928" s="179"/>
      <c r="N928" s="179"/>
    </row>
    <row r="929" spans="2:14" hidden="1" outlineLevel="1">
      <c r="B929" s="178">
        <v>923</v>
      </c>
      <c r="C929" s="44"/>
      <c r="D929" s="45"/>
      <c r="E929" s="39" t="s">
        <v>325</v>
      </c>
      <c r="F929" s="180" t="s">
        <v>1353</v>
      </c>
      <c r="G929" s="40" t="s">
        <v>70</v>
      </c>
      <c r="H929" s="46" t="s">
        <v>71</v>
      </c>
      <c r="I929" s="51" t="str">
        <f>"0x"&amp;AE_w_WORK!K32</f>
        <v>0x0000</v>
      </c>
      <c r="J929" s="41">
        <v>40473</v>
      </c>
      <c r="K929" s="42"/>
      <c r="M929" s="179"/>
      <c r="N929" s="179"/>
    </row>
    <row r="930" spans="2:14" hidden="1" outlineLevel="1">
      <c r="B930" s="178">
        <v>924</v>
      </c>
      <c r="C930" s="44"/>
      <c r="D930" s="45"/>
      <c r="E930" s="39" t="s">
        <v>325</v>
      </c>
      <c r="F930" s="180" t="s">
        <v>1354</v>
      </c>
      <c r="G930" s="40" t="s">
        <v>72</v>
      </c>
      <c r="H930" s="46" t="s">
        <v>73</v>
      </c>
      <c r="I930" s="51" t="str">
        <f>"0x"&amp;AE_w_WORK!K33</f>
        <v>0x0000</v>
      </c>
      <c r="J930" s="41">
        <v>40473</v>
      </c>
      <c r="K930" s="42"/>
      <c r="M930" s="179"/>
      <c r="N930" s="179"/>
    </row>
    <row r="931" spans="2:14" hidden="1" outlineLevel="1">
      <c r="B931" s="178">
        <v>925</v>
      </c>
      <c r="C931" s="44"/>
      <c r="D931" s="45"/>
      <c r="E931" s="39" t="s">
        <v>325</v>
      </c>
      <c r="F931" s="180" t="s">
        <v>1355</v>
      </c>
      <c r="G931" s="40" t="s">
        <v>74</v>
      </c>
      <c r="H931" s="46" t="s">
        <v>128</v>
      </c>
      <c r="I931" s="51" t="str">
        <f>"0x"&amp;AE_w_WORK!K34</f>
        <v>0x0000</v>
      </c>
      <c r="J931" s="41">
        <v>40473</v>
      </c>
      <c r="K931" s="42"/>
      <c r="M931" s="179"/>
      <c r="N931" s="179"/>
    </row>
    <row r="932" spans="2:14" hidden="1" outlineLevel="1">
      <c r="B932" s="178">
        <v>926</v>
      </c>
      <c r="C932" s="44"/>
      <c r="D932" s="45"/>
      <c r="E932" s="39" t="s">
        <v>325</v>
      </c>
      <c r="F932" s="180" t="s">
        <v>1356</v>
      </c>
      <c r="G932" s="40" t="s">
        <v>129</v>
      </c>
      <c r="H932" s="46" t="s">
        <v>130</v>
      </c>
      <c r="I932" s="51" t="str">
        <f>"0x"&amp;AE_w_WORK!K35</f>
        <v>0x0010</v>
      </c>
      <c r="J932" s="41">
        <v>40473</v>
      </c>
      <c r="K932" s="42"/>
      <c r="M932" s="179"/>
      <c r="N932" s="179"/>
    </row>
    <row r="933" spans="2:14" hidden="1" outlineLevel="1">
      <c r="B933" s="178">
        <v>927</v>
      </c>
      <c r="C933" s="44"/>
      <c r="D933" s="45"/>
      <c r="E933" s="39" t="s">
        <v>325</v>
      </c>
      <c r="F933" s="180" t="s">
        <v>1357</v>
      </c>
      <c r="G933" s="40" t="s">
        <v>131</v>
      </c>
      <c r="H933" s="46" t="s">
        <v>132</v>
      </c>
      <c r="I933" s="51" t="str">
        <f>"0x"&amp;AE_w_WORK!K36</f>
        <v>0x0100</v>
      </c>
      <c r="J933" s="41">
        <v>40473</v>
      </c>
      <c r="K933" s="42"/>
      <c r="M933" s="179"/>
      <c r="N933" s="179"/>
    </row>
    <row r="934" spans="2:14" hidden="1" outlineLevel="1">
      <c r="B934" s="178">
        <v>928</v>
      </c>
      <c r="C934" s="44"/>
      <c r="D934" s="45"/>
      <c r="E934" s="39" t="s">
        <v>325</v>
      </c>
      <c r="F934" s="180" t="s">
        <v>1358</v>
      </c>
      <c r="G934" s="40" t="s">
        <v>133</v>
      </c>
      <c r="H934" s="46" t="s">
        <v>134</v>
      </c>
      <c r="I934" s="51" t="str">
        <f>"0x"&amp;AE_w_WORK!K37</f>
        <v>0x0000</v>
      </c>
      <c r="J934" s="41">
        <v>40473</v>
      </c>
      <c r="K934" s="42"/>
      <c r="M934" s="179"/>
      <c r="N934" s="179"/>
    </row>
    <row r="935" spans="2:14" hidden="1" outlineLevel="1">
      <c r="B935" s="178">
        <v>929</v>
      </c>
      <c r="C935" s="44"/>
      <c r="D935" s="45"/>
      <c r="E935" s="39" t="s">
        <v>325</v>
      </c>
      <c r="F935" s="180" t="s">
        <v>1359</v>
      </c>
      <c r="G935" s="40" t="s">
        <v>135</v>
      </c>
      <c r="H935" s="46" t="s">
        <v>136</v>
      </c>
      <c r="I935" s="51" t="str">
        <f>"0x"&amp;AE_w_WORK!K38</f>
        <v>0x0000</v>
      </c>
      <c r="J935" s="41">
        <v>40473</v>
      </c>
      <c r="K935" s="42"/>
      <c r="M935" s="179"/>
      <c r="N935" s="179"/>
    </row>
    <row r="936" spans="2:14" hidden="1" outlineLevel="1">
      <c r="B936" s="178">
        <v>930</v>
      </c>
      <c r="C936" s="44"/>
      <c r="D936" s="45"/>
      <c r="E936" s="39" t="s">
        <v>325</v>
      </c>
      <c r="F936" s="180" t="s">
        <v>1360</v>
      </c>
      <c r="G936" s="40" t="s">
        <v>137</v>
      </c>
      <c r="H936" s="46" t="s">
        <v>138</v>
      </c>
      <c r="I936" s="51" t="str">
        <f>"0x"&amp;AE_w_WORK!K39</f>
        <v>0x0000</v>
      </c>
      <c r="J936" s="41">
        <v>40473</v>
      </c>
      <c r="K936" s="42"/>
      <c r="M936" s="179"/>
      <c r="N936" s="179"/>
    </row>
    <row r="937" spans="2:14" hidden="1" outlineLevel="1">
      <c r="B937" s="178">
        <v>931</v>
      </c>
      <c r="C937" s="44"/>
      <c r="D937" s="45"/>
      <c r="E937" s="39" t="s">
        <v>325</v>
      </c>
      <c r="F937" s="180" t="s">
        <v>1361</v>
      </c>
      <c r="G937" s="40" t="s">
        <v>139</v>
      </c>
      <c r="H937" s="46" t="s">
        <v>140</v>
      </c>
      <c r="I937" s="51" t="str">
        <f>"0x"&amp;AE_w_WORK!K40</f>
        <v>0x0000</v>
      </c>
      <c r="J937" s="41">
        <v>40473</v>
      </c>
      <c r="K937" s="42"/>
      <c r="M937" s="179"/>
      <c r="N937" s="179"/>
    </row>
    <row r="938" spans="2:14" hidden="1" outlineLevel="1">
      <c r="B938" s="178">
        <v>932</v>
      </c>
      <c r="C938" s="44"/>
      <c r="D938" s="45"/>
      <c r="E938" s="39" t="s">
        <v>325</v>
      </c>
      <c r="F938" s="180" t="s">
        <v>1362</v>
      </c>
      <c r="G938" s="40" t="s">
        <v>141</v>
      </c>
      <c r="H938" s="46" t="s">
        <v>142</v>
      </c>
      <c r="I938" s="51" t="str">
        <f>"0x"&amp;AE_w_WORK!K41</f>
        <v>0x0000</v>
      </c>
      <c r="J938" s="41">
        <v>40473</v>
      </c>
      <c r="K938" s="42"/>
      <c r="M938" s="179"/>
      <c r="N938" s="179"/>
    </row>
    <row r="939" spans="2:14" hidden="1" outlineLevel="1">
      <c r="B939" s="178">
        <v>933</v>
      </c>
      <c r="C939" s="44"/>
      <c r="D939" s="45"/>
      <c r="E939" s="39" t="s">
        <v>325</v>
      </c>
      <c r="F939" s="180" t="s">
        <v>1363</v>
      </c>
      <c r="G939" s="40" t="s">
        <v>143</v>
      </c>
      <c r="H939" s="46" t="s">
        <v>144</v>
      </c>
      <c r="I939" s="51" t="str">
        <f>"0x"&amp;AE_w_WORK!K42</f>
        <v>0x0000</v>
      </c>
      <c r="J939" s="41">
        <v>40473</v>
      </c>
      <c r="K939" s="42"/>
      <c r="M939" s="179"/>
      <c r="N939" s="179"/>
    </row>
    <row r="940" spans="2:14" hidden="1" outlineLevel="1">
      <c r="B940" s="178">
        <v>934</v>
      </c>
      <c r="C940" s="44"/>
      <c r="D940" s="45"/>
      <c r="E940" s="39" t="s">
        <v>325</v>
      </c>
      <c r="F940" s="180" t="s">
        <v>1364</v>
      </c>
      <c r="G940" s="40" t="s">
        <v>145</v>
      </c>
      <c r="H940" s="46" t="s">
        <v>146</v>
      </c>
      <c r="I940" s="51" t="str">
        <f>"0x"&amp;AE_w_WORK!K43</f>
        <v>0x0101</v>
      </c>
      <c r="J940" s="41">
        <v>40473</v>
      </c>
      <c r="K940" s="42"/>
      <c r="M940" s="179"/>
      <c r="N940" s="179"/>
    </row>
    <row r="941" spans="2:14" hidden="1" outlineLevel="1">
      <c r="B941" s="178">
        <v>935</v>
      </c>
      <c r="C941" s="44"/>
      <c r="D941" s="45"/>
      <c r="E941" s="39" t="s">
        <v>325</v>
      </c>
      <c r="F941" s="180" t="s">
        <v>1365</v>
      </c>
      <c r="G941" s="40" t="s">
        <v>147</v>
      </c>
      <c r="H941" s="46" t="s">
        <v>148</v>
      </c>
      <c r="I941" s="51" t="str">
        <f>"0x"&amp;AE_w_WORK!K44</f>
        <v>0x1010</v>
      </c>
      <c r="J941" s="41">
        <v>40473</v>
      </c>
      <c r="K941" s="42"/>
      <c r="M941" s="179"/>
      <c r="N941" s="179"/>
    </row>
    <row r="942" spans="2:14" hidden="1" outlineLevel="1">
      <c r="B942" s="178">
        <v>936</v>
      </c>
      <c r="C942" s="44"/>
      <c r="D942" s="45"/>
      <c r="E942" s="39" t="s">
        <v>325</v>
      </c>
      <c r="F942" s="180" t="s">
        <v>1366</v>
      </c>
      <c r="G942" s="40" t="s">
        <v>149</v>
      </c>
      <c r="H942" s="46" t="s">
        <v>150</v>
      </c>
      <c r="I942" s="51" t="str">
        <f>"0x"&amp;AE_w_WORK!K45</f>
        <v>0x0000</v>
      </c>
      <c r="J942" s="41">
        <v>40473</v>
      </c>
      <c r="K942" s="42"/>
      <c r="M942" s="179"/>
      <c r="N942" s="179"/>
    </row>
    <row r="943" spans="2:14" hidden="1" outlineLevel="1">
      <c r="B943" s="178">
        <v>937</v>
      </c>
      <c r="C943" s="44"/>
      <c r="D943" s="45"/>
      <c r="E943" s="39" t="s">
        <v>325</v>
      </c>
      <c r="F943" s="180" t="s">
        <v>1367</v>
      </c>
      <c r="G943" s="40" t="s">
        <v>151</v>
      </c>
      <c r="H943" s="46" t="s">
        <v>152</v>
      </c>
      <c r="I943" s="51" t="str">
        <f>"0x"&amp;AE_w_WORK!K46</f>
        <v>0x0000</v>
      </c>
      <c r="J943" s="41">
        <v>40473</v>
      </c>
      <c r="K943" s="42"/>
      <c r="M943" s="179"/>
      <c r="N943" s="179"/>
    </row>
    <row r="944" spans="2:14" hidden="1" outlineLevel="1">
      <c r="B944" s="178">
        <v>938</v>
      </c>
      <c r="C944" s="44"/>
      <c r="D944" s="45"/>
      <c r="E944" s="39" t="s">
        <v>325</v>
      </c>
      <c r="F944" s="180" t="s">
        <v>1368</v>
      </c>
      <c r="G944" s="40" t="s">
        <v>153</v>
      </c>
      <c r="H944" s="46" t="s">
        <v>154</v>
      </c>
      <c r="I944" s="51" t="str">
        <f>"0x"&amp;AE_w_WORK!K47</f>
        <v>0x0000</v>
      </c>
      <c r="J944" s="41">
        <v>40473</v>
      </c>
      <c r="K944" s="42"/>
      <c r="M944" s="179"/>
      <c r="N944" s="179"/>
    </row>
    <row r="945" spans="2:14" hidden="1" outlineLevel="1">
      <c r="B945" s="178">
        <v>939</v>
      </c>
      <c r="C945" s="44"/>
      <c r="D945" s="45"/>
      <c r="E945" s="39" t="s">
        <v>325</v>
      </c>
      <c r="F945" s="180" t="s">
        <v>1369</v>
      </c>
      <c r="G945" s="40" t="s">
        <v>155</v>
      </c>
      <c r="H945" s="46" t="s">
        <v>156</v>
      </c>
      <c r="I945" s="51" t="str">
        <f>"0x"&amp;AE_w_WORK!K48</f>
        <v>0x0000</v>
      </c>
      <c r="J945" s="41">
        <v>40473</v>
      </c>
      <c r="K945" s="42"/>
      <c r="M945" s="179"/>
      <c r="N945" s="179"/>
    </row>
    <row r="946" spans="2:14" hidden="1" outlineLevel="1">
      <c r="B946" s="178">
        <v>940</v>
      </c>
      <c r="C946" s="44"/>
      <c r="D946" s="45"/>
      <c r="E946" s="39" t="s">
        <v>325</v>
      </c>
      <c r="F946" s="180" t="s">
        <v>1370</v>
      </c>
      <c r="G946" s="40" t="s">
        <v>157</v>
      </c>
      <c r="H946" s="46" t="s">
        <v>158</v>
      </c>
      <c r="I946" s="51" t="str">
        <f>"0x"&amp;AE_w_WORK!K49</f>
        <v>0x0000</v>
      </c>
      <c r="J946" s="41">
        <v>40473</v>
      </c>
      <c r="K946" s="42"/>
      <c r="M946" s="179"/>
      <c r="N946" s="179"/>
    </row>
    <row r="947" spans="2:14" hidden="1" outlineLevel="1">
      <c r="B947" s="178">
        <v>941</v>
      </c>
      <c r="C947" s="44"/>
      <c r="D947" s="45"/>
      <c r="E947" s="39" t="s">
        <v>325</v>
      </c>
      <c r="F947" s="180" t="s">
        <v>1371</v>
      </c>
      <c r="G947" s="40" t="s">
        <v>159</v>
      </c>
      <c r="H947" s="46" t="s">
        <v>160</v>
      </c>
      <c r="I947" s="51" t="str">
        <f>"0x"&amp;AE_w_WORK!K50</f>
        <v>0x0000</v>
      </c>
      <c r="J947" s="41">
        <v>40473</v>
      </c>
      <c r="K947" s="42"/>
      <c r="M947" s="179"/>
      <c r="N947" s="179"/>
    </row>
    <row r="948" spans="2:14" hidden="1" outlineLevel="1">
      <c r="B948" s="178">
        <v>942</v>
      </c>
      <c r="C948" s="44"/>
      <c r="D948" s="45"/>
      <c r="E948" s="39" t="s">
        <v>325</v>
      </c>
      <c r="F948" s="180" t="s">
        <v>1372</v>
      </c>
      <c r="G948" s="40" t="s">
        <v>161</v>
      </c>
      <c r="H948" s="46" t="s">
        <v>162</v>
      </c>
      <c r="I948" s="51" t="str">
        <f>"0x"&amp;AE_w_WORK!K51</f>
        <v>0x1010</v>
      </c>
      <c r="J948" s="41">
        <v>40473</v>
      </c>
      <c r="K948" s="42"/>
      <c r="M948" s="179"/>
      <c r="N948" s="179"/>
    </row>
    <row r="949" spans="2:14" hidden="1" outlineLevel="1">
      <c r="B949" s="178">
        <v>943</v>
      </c>
      <c r="C949" s="44"/>
      <c r="D949" s="45"/>
      <c r="E949" s="39" t="s">
        <v>325</v>
      </c>
      <c r="F949" s="180" t="s">
        <v>1373</v>
      </c>
      <c r="G949" s="40" t="s">
        <v>163</v>
      </c>
      <c r="H949" s="46" t="s">
        <v>164</v>
      </c>
      <c r="I949" s="51" t="str">
        <f>"0x"&amp;AE_w_WORK!K52</f>
        <v>0x0101</v>
      </c>
      <c r="J949" s="41">
        <v>40473</v>
      </c>
      <c r="K949" s="42"/>
      <c r="M949" s="179"/>
      <c r="N949" s="179"/>
    </row>
    <row r="950" spans="2:14" hidden="1" outlineLevel="1">
      <c r="B950" s="178">
        <v>944</v>
      </c>
      <c r="C950" s="44"/>
      <c r="D950" s="45"/>
      <c r="E950" s="39" t="s">
        <v>325</v>
      </c>
      <c r="F950" s="180" t="s">
        <v>1374</v>
      </c>
      <c r="G950" s="40" t="s">
        <v>165</v>
      </c>
      <c r="H950" s="46" t="s">
        <v>166</v>
      </c>
      <c r="I950" s="51" t="str">
        <f>"0x"&amp;AE_w_WORK!K53</f>
        <v>0x0000</v>
      </c>
      <c r="J950" s="41">
        <v>40473</v>
      </c>
      <c r="K950" s="42"/>
      <c r="M950" s="179"/>
      <c r="N950" s="179"/>
    </row>
    <row r="951" spans="2:14" hidden="1" outlineLevel="1">
      <c r="B951" s="178">
        <v>945</v>
      </c>
      <c r="C951" s="44"/>
      <c r="D951" s="45"/>
      <c r="E951" s="39" t="s">
        <v>325</v>
      </c>
      <c r="F951" s="180" t="s">
        <v>1375</v>
      </c>
      <c r="G951" s="40" t="s">
        <v>167</v>
      </c>
      <c r="H951" s="46" t="s">
        <v>168</v>
      </c>
      <c r="I951" s="51" t="str">
        <f>"0x"&amp;AE_w_WORK!K54</f>
        <v>0x0000</v>
      </c>
      <c r="J951" s="41">
        <v>40473</v>
      </c>
      <c r="K951" s="42"/>
      <c r="M951" s="179"/>
      <c r="N951" s="179"/>
    </row>
    <row r="952" spans="2:14" hidden="1" outlineLevel="1">
      <c r="B952" s="178">
        <v>946</v>
      </c>
      <c r="C952" s="44"/>
      <c r="D952" s="45"/>
      <c r="E952" s="39" t="s">
        <v>325</v>
      </c>
      <c r="F952" s="180" t="s">
        <v>1376</v>
      </c>
      <c r="G952" s="40" t="s">
        <v>169</v>
      </c>
      <c r="H952" s="46" t="s">
        <v>170</v>
      </c>
      <c r="I952" s="51" t="str">
        <f>"0x"&amp;AE_w_WORK!K55</f>
        <v>0x0000</v>
      </c>
      <c r="J952" s="41">
        <v>40473</v>
      </c>
      <c r="K952" s="42"/>
      <c r="M952" s="179"/>
      <c r="N952" s="179"/>
    </row>
    <row r="953" spans="2:14" hidden="1" outlineLevel="1">
      <c r="B953" s="178">
        <v>947</v>
      </c>
      <c r="C953" s="44"/>
      <c r="D953" s="45"/>
      <c r="E953" s="39" t="s">
        <v>325</v>
      </c>
      <c r="F953" s="180" t="s">
        <v>1377</v>
      </c>
      <c r="G953" s="40" t="s">
        <v>171</v>
      </c>
      <c r="H953" s="46" t="s">
        <v>172</v>
      </c>
      <c r="I953" s="51" t="str">
        <f>"0x"&amp;AE_w_WORK!K56</f>
        <v>0x0000</v>
      </c>
      <c r="J953" s="41">
        <v>40473</v>
      </c>
      <c r="K953" s="42"/>
      <c r="M953" s="179"/>
      <c r="N953" s="179"/>
    </row>
    <row r="954" spans="2:14" hidden="1" outlineLevel="1">
      <c r="B954" s="178">
        <v>948</v>
      </c>
      <c r="C954" s="44"/>
      <c r="D954" s="45"/>
      <c r="E954" s="39" t="s">
        <v>325</v>
      </c>
      <c r="F954" s="180" t="s">
        <v>1378</v>
      </c>
      <c r="G954" s="40" t="s">
        <v>173</v>
      </c>
      <c r="H954" s="46" t="s">
        <v>174</v>
      </c>
      <c r="I954" s="51" t="str">
        <f>"0x"&amp;AE_w_WORK!K57</f>
        <v>0x0000</v>
      </c>
      <c r="J954" s="41">
        <v>40473</v>
      </c>
      <c r="K954" s="42"/>
      <c r="M954" s="179"/>
      <c r="N954" s="179"/>
    </row>
    <row r="955" spans="2:14" hidden="1" outlineLevel="1">
      <c r="B955" s="178">
        <v>949</v>
      </c>
      <c r="C955" s="44"/>
      <c r="D955" s="45"/>
      <c r="E955" s="39" t="s">
        <v>325</v>
      </c>
      <c r="F955" s="180" t="s">
        <v>1379</v>
      </c>
      <c r="G955" s="40" t="s">
        <v>175</v>
      </c>
      <c r="H955" s="46" t="s">
        <v>176</v>
      </c>
      <c r="I955" s="51" t="str">
        <f>"0x"&amp;AE_w_WORK!K58</f>
        <v>0x0001</v>
      </c>
      <c r="J955" s="41">
        <v>40473</v>
      </c>
      <c r="K955" s="42"/>
      <c r="M955" s="179"/>
      <c r="N955" s="179"/>
    </row>
    <row r="956" spans="2:14" hidden="1" outlineLevel="1">
      <c r="B956" s="178">
        <v>950</v>
      </c>
      <c r="C956" s="44"/>
      <c r="D956" s="45"/>
      <c r="E956" s="39" t="s">
        <v>325</v>
      </c>
      <c r="F956" s="180" t="s">
        <v>1380</v>
      </c>
      <c r="G956" s="40" t="s">
        <v>177</v>
      </c>
      <c r="H956" s="46" t="s">
        <v>178</v>
      </c>
      <c r="I956" s="51" t="str">
        <f>"0x"&amp;AE_w_WORK!K59</f>
        <v>0x0101</v>
      </c>
      <c r="J956" s="41">
        <v>40473</v>
      </c>
      <c r="K956" s="42"/>
      <c r="M956" s="179"/>
      <c r="N956" s="179"/>
    </row>
    <row r="957" spans="2:14" hidden="1" outlineLevel="1">
      <c r="B957" s="178">
        <v>951</v>
      </c>
      <c r="C957" s="44"/>
      <c r="D957" s="45"/>
      <c r="E957" s="39" t="s">
        <v>325</v>
      </c>
      <c r="F957" s="180" t="s">
        <v>1381</v>
      </c>
      <c r="G957" s="40" t="s">
        <v>179</v>
      </c>
      <c r="H957" s="46" t="s">
        <v>180</v>
      </c>
      <c r="I957" s="51" t="str">
        <f>"0x"&amp;AE_w_WORK!K60</f>
        <v>0x1010</v>
      </c>
      <c r="J957" s="41">
        <v>40473</v>
      </c>
      <c r="K957" s="42"/>
      <c r="M957" s="179"/>
      <c r="N957" s="179"/>
    </row>
    <row r="958" spans="2:14" hidden="1" outlineLevel="1">
      <c r="B958" s="178">
        <v>952</v>
      </c>
      <c r="C958" s="44"/>
      <c r="D958" s="45"/>
      <c r="E958" s="39" t="s">
        <v>325</v>
      </c>
      <c r="F958" s="180" t="s">
        <v>1382</v>
      </c>
      <c r="G958" s="40" t="s">
        <v>181</v>
      </c>
      <c r="H958" s="46" t="s">
        <v>182</v>
      </c>
      <c r="I958" s="51" t="str">
        <f>"0x"&amp;AE_w_WORK!K61</f>
        <v>0x1000</v>
      </c>
      <c r="J958" s="41">
        <v>40473</v>
      </c>
      <c r="K958" s="42"/>
      <c r="M958" s="179"/>
      <c r="N958" s="179"/>
    </row>
    <row r="959" spans="2:14" hidden="1" outlineLevel="1">
      <c r="B959" s="178">
        <v>953</v>
      </c>
      <c r="C959" s="44"/>
      <c r="D959" s="45"/>
      <c r="E959" s="39" t="s">
        <v>325</v>
      </c>
      <c r="F959" s="180" t="s">
        <v>1383</v>
      </c>
      <c r="G959" s="40" t="s">
        <v>183</v>
      </c>
      <c r="H959" s="46" t="s">
        <v>184</v>
      </c>
      <c r="I959" s="51" t="str">
        <f>"0x"&amp;AE_w_WORK!K62</f>
        <v>0x0000</v>
      </c>
      <c r="J959" s="41">
        <v>40473</v>
      </c>
      <c r="K959" s="42"/>
      <c r="M959" s="179"/>
      <c r="N959" s="179"/>
    </row>
    <row r="960" spans="2:14" hidden="1" outlineLevel="1">
      <c r="B960" s="178">
        <v>954</v>
      </c>
      <c r="C960" s="44"/>
      <c r="D960" s="45"/>
      <c r="E960" s="39" t="s">
        <v>325</v>
      </c>
      <c r="F960" s="180" t="s">
        <v>1384</v>
      </c>
      <c r="G960" s="40" t="s">
        <v>185</v>
      </c>
      <c r="H960" s="46" t="s">
        <v>186</v>
      </c>
      <c r="I960" s="51" t="str">
        <f>"0x"&amp;AE_w_WORK!K63</f>
        <v>0x0000</v>
      </c>
      <c r="J960" s="41">
        <v>40473</v>
      </c>
      <c r="K960" s="42"/>
      <c r="M960" s="179"/>
      <c r="N960" s="179"/>
    </row>
    <row r="961" spans="2:14" hidden="1" outlineLevel="1">
      <c r="B961" s="178">
        <v>955</v>
      </c>
      <c r="C961" s="44"/>
      <c r="D961" s="45"/>
      <c r="E961" s="39" t="s">
        <v>325</v>
      </c>
      <c r="F961" s="180" t="s">
        <v>1385</v>
      </c>
      <c r="G961" s="40" t="s">
        <v>187</v>
      </c>
      <c r="H961" s="46" t="s">
        <v>188</v>
      </c>
      <c r="I961" s="51" t="str">
        <f>"0x"&amp;AE_w_WORK!K64</f>
        <v>0x0000</v>
      </c>
      <c r="J961" s="41">
        <v>40473</v>
      </c>
      <c r="K961" s="42"/>
      <c r="M961" s="179"/>
      <c r="N961" s="179"/>
    </row>
    <row r="962" spans="2:14" hidden="1" outlineLevel="1">
      <c r="B962" s="178">
        <v>956</v>
      </c>
      <c r="C962" s="44"/>
      <c r="D962" s="45"/>
      <c r="E962" s="39" t="s">
        <v>325</v>
      </c>
      <c r="F962" s="180" t="s">
        <v>1386</v>
      </c>
      <c r="G962" s="40" t="s">
        <v>189</v>
      </c>
      <c r="H962" s="46" t="s">
        <v>190</v>
      </c>
      <c r="I962" s="51" t="str">
        <f>"0x"&amp;AE_w_WORK!K65</f>
        <v>0x0000</v>
      </c>
      <c r="J962" s="41">
        <v>40473</v>
      </c>
      <c r="K962" s="42"/>
      <c r="M962" s="179"/>
      <c r="N962" s="179"/>
    </row>
    <row r="963" spans="2:14" hidden="1" outlineLevel="1">
      <c r="B963" s="178">
        <v>957</v>
      </c>
      <c r="C963" s="44"/>
      <c r="D963" s="45"/>
      <c r="E963" s="39" t="s">
        <v>325</v>
      </c>
      <c r="F963" s="180" t="s">
        <v>1387</v>
      </c>
      <c r="G963" s="40" t="s">
        <v>191</v>
      </c>
      <c r="H963" s="46" t="s">
        <v>192</v>
      </c>
      <c r="I963" s="51" t="str">
        <f>"0x"&amp;AE_w_WORK!K66</f>
        <v>0x0010</v>
      </c>
      <c r="J963" s="41">
        <v>40473</v>
      </c>
      <c r="K963" s="42"/>
      <c r="M963" s="179"/>
      <c r="N963" s="179"/>
    </row>
    <row r="964" spans="2:14" hidden="1" outlineLevel="1">
      <c r="B964" s="178">
        <v>958</v>
      </c>
      <c r="C964" s="44"/>
      <c r="D964" s="45"/>
      <c r="E964" s="39" t="s">
        <v>325</v>
      </c>
      <c r="F964" s="180" t="s">
        <v>1388</v>
      </c>
      <c r="G964" s="40" t="s">
        <v>193</v>
      </c>
      <c r="H964" s="46" t="s">
        <v>194</v>
      </c>
      <c r="I964" s="51" t="str">
        <f>"0x"&amp;AE_w_WORK!K67</f>
        <v>0x1010</v>
      </c>
      <c r="J964" s="41">
        <v>40473</v>
      </c>
      <c r="K964" s="42"/>
      <c r="M964" s="179"/>
      <c r="N964" s="179"/>
    </row>
    <row r="965" spans="2:14" hidden="1" outlineLevel="1">
      <c r="B965" s="178">
        <v>959</v>
      </c>
      <c r="C965" s="44"/>
      <c r="D965" s="45"/>
      <c r="E965" s="39" t="s">
        <v>325</v>
      </c>
      <c r="F965" s="180" t="s">
        <v>1389</v>
      </c>
      <c r="G965" s="40" t="s">
        <v>195</v>
      </c>
      <c r="H965" s="46" t="s">
        <v>196</v>
      </c>
      <c r="I965" s="51" t="str">
        <f>"0x"&amp;AE_w_WORK!K68</f>
        <v>0x0101</v>
      </c>
      <c r="J965" s="41">
        <v>40473</v>
      </c>
      <c r="K965" s="42"/>
      <c r="M965" s="179"/>
      <c r="N965" s="179"/>
    </row>
    <row r="966" spans="2:14" hidden="1" outlineLevel="1">
      <c r="B966" s="178">
        <v>960</v>
      </c>
      <c r="C966" s="44"/>
      <c r="D966" s="45"/>
      <c r="E966" s="39" t="s">
        <v>325</v>
      </c>
      <c r="F966" s="180" t="s">
        <v>1390</v>
      </c>
      <c r="G966" s="40" t="s">
        <v>197</v>
      </c>
      <c r="H966" s="46" t="s">
        <v>198</v>
      </c>
      <c r="I966" s="51" t="str">
        <f>"0x"&amp;AE_w_WORK!K69</f>
        <v>0x0100</v>
      </c>
      <c r="J966" s="41">
        <v>40473</v>
      </c>
      <c r="K966" s="42"/>
      <c r="M966" s="179"/>
      <c r="N966" s="179"/>
    </row>
    <row r="967" spans="2:14" hidden="1" outlineLevel="1">
      <c r="B967" s="178">
        <v>961</v>
      </c>
      <c r="C967" s="44"/>
      <c r="D967" s="45"/>
      <c r="E967" s="39" t="s">
        <v>325</v>
      </c>
      <c r="F967" s="180" t="s">
        <v>1391</v>
      </c>
      <c r="G967" s="40" t="s">
        <v>199</v>
      </c>
      <c r="H967" s="46" t="s">
        <v>200</v>
      </c>
      <c r="I967" s="51" t="str">
        <f>"0x"&amp;AE_w_WORK!K70</f>
        <v>0x0000</v>
      </c>
      <c r="J967" s="41">
        <v>40473</v>
      </c>
      <c r="K967" s="42"/>
      <c r="M967" s="179"/>
      <c r="N967" s="179"/>
    </row>
    <row r="968" spans="2:14" hidden="1" outlineLevel="1">
      <c r="B968" s="178">
        <v>962</v>
      </c>
      <c r="C968" s="44"/>
      <c r="D968" s="45"/>
      <c r="E968" s="39" t="s">
        <v>325</v>
      </c>
      <c r="F968" s="180" t="s">
        <v>1392</v>
      </c>
      <c r="G968" s="40" t="s">
        <v>201</v>
      </c>
      <c r="H968" s="46" t="s">
        <v>202</v>
      </c>
      <c r="I968" s="51" t="str">
        <f>"0x"&amp;AE_w_WORK!K71</f>
        <v>0x0000</v>
      </c>
      <c r="J968" s="41">
        <v>40473</v>
      </c>
      <c r="K968" s="42"/>
      <c r="M968" s="179"/>
      <c r="N968" s="179"/>
    </row>
    <row r="969" spans="2:14" hidden="1" outlineLevel="1">
      <c r="B969" s="178">
        <v>963</v>
      </c>
      <c r="C969" s="44"/>
      <c r="D969" s="45"/>
      <c r="E969" s="39" t="s">
        <v>325</v>
      </c>
      <c r="F969" s="180" t="s">
        <v>1393</v>
      </c>
      <c r="G969" s="40" t="s">
        <v>203</v>
      </c>
      <c r="H969" s="46" t="s">
        <v>204</v>
      </c>
      <c r="I969" s="51" t="str">
        <f>"0x"&amp;AE_w_WORK!K72</f>
        <v>0x0000</v>
      </c>
      <c r="J969" s="41">
        <v>40473</v>
      </c>
      <c r="K969" s="42"/>
      <c r="M969" s="179"/>
      <c r="N969" s="179"/>
    </row>
    <row r="970" spans="2:14" hidden="1" outlineLevel="1">
      <c r="B970" s="178">
        <v>964</v>
      </c>
      <c r="C970" s="44"/>
      <c r="D970" s="45"/>
      <c r="E970" s="39" t="s">
        <v>325</v>
      </c>
      <c r="F970" s="180" t="s">
        <v>1394</v>
      </c>
      <c r="G970" s="40" t="s">
        <v>205</v>
      </c>
      <c r="H970" s="46" t="s">
        <v>206</v>
      </c>
      <c r="I970" s="51" t="str">
        <f>"0x"&amp;AE_w_WORK!K73</f>
        <v>0x0000</v>
      </c>
      <c r="J970" s="41">
        <v>40473</v>
      </c>
      <c r="K970" s="42"/>
      <c r="M970" s="179"/>
      <c r="N970" s="179"/>
    </row>
    <row r="971" spans="2:14" hidden="1" outlineLevel="1">
      <c r="B971" s="178">
        <v>965</v>
      </c>
      <c r="C971" s="44"/>
      <c r="D971" s="45"/>
      <c r="E971" s="39" t="s">
        <v>325</v>
      </c>
      <c r="F971" s="180" t="s">
        <v>1395</v>
      </c>
      <c r="G971" s="40" t="s">
        <v>207</v>
      </c>
      <c r="H971" s="46" t="s">
        <v>208</v>
      </c>
      <c r="I971" s="51" t="str">
        <f>"0x"&amp;AE_w_WORK!K74</f>
        <v>0x0001</v>
      </c>
      <c r="J971" s="41">
        <v>40473</v>
      </c>
      <c r="K971" s="42"/>
      <c r="M971" s="179"/>
      <c r="N971" s="179"/>
    </row>
    <row r="972" spans="2:14" hidden="1" outlineLevel="1">
      <c r="B972" s="178">
        <v>966</v>
      </c>
      <c r="C972" s="44"/>
      <c r="D972" s="45"/>
      <c r="E972" s="39" t="s">
        <v>325</v>
      </c>
      <c r="F972" s="180" t="s">
        <v>1396</v>
      </c>
      <c r="G972" s="40" t="s">
        <v>209</v>
      </c>
      <c r="H972" s="46" t="s">
        <v>210</v>
      </c>
      <c r="I972" s="51" t="str">
        <f>"0x"&amp;AE_w_WORK!K75</f>
        <v>0x0101</v>
      </c>
      <c r="J972" s="41">
        <v>40473</v>
      </c>
      <c r="K972" s="42"/>
      <c r="M972" s="179"/>
      <c r="N972" s="179"/>
    </row>
    <row r="973" spans="2:14" hidden="1" outlineLevel="1">
      <c r="B973" s="178">
        <v>967</v>
      </c>
      <c r="C973" s="44"/>
      <c r="D973" s="45"/>
      <c r="E973" s="39" t="s">
        <v>325</v>
      </c>
      <c r="F973" s="180" t="s">
        <v>1397</v>
      </c>
      <c r="G973" s="40" t="s">
        <v>211</v>
      </c>
      <c r="H973" s="46" t="s">
        <v>212</v>
      </c>
      <c r="I973" s="51" t="str">
        <f>"0x"&amp;AE_w_WORK!K76</f>
        <v>0x1010</v>
      </c>
      <c r="J973" s="41">
        <v>40473</v>
      </c>
      <c r="K973" s="42"/>
      <c r="M973" s="179"/>
      <c r="N973" s="179"/>
    </row>
    <row r="974" spans="2:14" hidden="1" outlineLevel="1">
      <c r="B974" s="178">
        <v>968</v>
      </c>
      <c r="C974" s="44"/>
      <c r="D974" s="45"/>
      <c r="E974" s="39" t="s">
        <v>325</v>
      </c>
      <c r="F974" s="180" t="s">
        <v>1398</v>
      </c>
      <c r="G974" s="40" t="s">
        <v>213</v>
      </c>
      <c r="H974" s="46" t="s">
        <v>214</v>
      </c>
      <c r="I974" s="51" t="str">
        <f>"0x"&amp;AE_w_WORK!K77</f>
        <v>0x1000</v>
      </c>
      <c r="J974" s="41">
        <v>40473</v>
      </c>
      <c r="K974" s="42"/>
      <c r="M974" s="179"/>
      <c r="N974" s="179"/>
    </row>
    <row r="975" spans="2:14" hidden="1" outlineLevel="1">
      <c r="B975" s="178">
        <v>969</v>
      </c>
      <c r="C975" s="44"/>
      <c r="D975" s="45"/>
      <c r="E975" s="39" t="s">
        <v>325</v>
      </c>
      <c r="F975" s="180" t="s">
        <v>1399</v>
      </c>
      <c r="G975" s="40" t="s">
        <v>215</v>
      </c>
      <c r="H975" s="46" t="s">
        <v>216</v>
      </c>
      <c r="I975" s="51" t="str">
        <f>"0x"&amp;AE_w_WORK!K78</f>
        <v>0x0000</v>
      </c>
      <c r="J975" s="41">
        <v>40473</v>
      </c>
      <c r="K975" s="42"/>
      <c r="M975" s="179"/>
      <c r="N975" s="179"/>
    </row>
    <row r="976" spans="2:14" hidden="1" outlineLevel="1">
      <c r="B976" s="178">
        <v>970</v>
      </c>
      <c r="C976" s="44"/>
      <c r="D976" s="45"/>
      <c r="E976" s="39" t="s">
        <v>325</v>
      </c>
      <c r="F976" s="180" t="s">
        <v>1400</v>
      </c>
      <c r="G976" s="40" t="s">
        <v>217</v>
      </c>
      <c r="H976" s="46" t="s">
        <v>218</v>
      </c>
      <c r="I976" s="51" t="str">
        <f>"0x"&amp;AE_w_WORK!K79</f>
        <v>0x0000</v>
      </c>
      <c r="J976" s="41">
        <v>40473</v>
      </c>
      <c r="K976" s="42"/>
      <c r="M976" s="179"/>
      <c r="N976" s="179"/>
    </row>
    <row r="977" spans="2:14" hidden="1" outlineLevel="1">
      <c r="B977" s="178">
        <v>971</v>
      </c>
      <c r="C977" s="44"/>
      <c r="D977" s="45"/>
      <c r="E977" s="39" t="s">
        <v>325</v>
      </c>
      <c r="F977" s="180" t="s">
        <v>1401</v>
      </c>
      <c r="G977" s="40" t="s">
        <v>219</v>
      </c>
      <c r="H977" s="46" t="s">
        <v>220</v>
      </c>
      <c r="I977" s="51" t="str">
        <f>"0x"&amp;AE_w_WORK!K80</f>
        <v>0x0000</v>
      </c>
      <c r="J977" s="41">
        <v>40473</v>
      </c>
      <c r="K977" s="42"/>
      <c r="M977" s="179"/>
      <c r="N977" s="179"/>
    </row>
    <row r="978" spans="2:14" hidden="1" outlineLevel="1">
      <c r="B978" s="178">
        <v>972</v>
      </c>
      <c r="C978" s="44"/>
      <c r="D978" s="45"/>
      <c r="E978" s="39" t="s">
        <v>325</v>
      </c>
      <c r="F978" s="180" t="s">
        <v>1402</v>
      </c>
      <c r="G978" s="40" t="s">
        <v>221</v>
      </c>
      <c r="H978" s="46" t="s">
        <v>222</v>
      </c>
      <c r="I978" s="51" t="str">
        <f>"0x"&amp;AE_w_WORK!K81</f>
        <v>0x0000</v>
      </c>
      <c r="J978" s="41">
        <v>40473</v>
      </c>
      <c r="K978" s="42"/>
      <c r="M978" s="179"/>
      <c r="N978" s="179"/>
    </row>
    <row r="979" spans="2:14" hidden="1" outlineLevel="1">
      <c r="B979" s="178">
        <v>973</v>
      </c>
      <c r="C979" s="44"/>
      <c r="D979" s="45"/>
      <c r="E979" s="39" t="s">
        <v>325</v>
      </c>
      <c r="F979" s="180" t="s">
        <v>1403</v>
      </c>
      <c r="G979" s="40" t="s">
        <v>223</v>
      </c>
      <c r="H979" s="46" t="s">
        <v>224</v>
      </c>
      <c r="I979" s="51" t="str">
        <f>"0x"&amp;AE_w_WORK!K82</f>
        <v>0x0010</v>
      </c>
      <c r="J979" s="41">
        <v>40473</v>
      </c>
      <c r="K979" s="42"/>
      <c r="M979" s="179"/>
      <c r="N979" s="179"/>
    </row>
    <row r="980" spans="2:14" hidden="1" outlineLevel="1">
      <c r="B980" s="178">
        <v>974</v>
      </c>
      <c r="C980" s="44"/>
      <c r="D980" s="45"/>
      <c r="E980" s="39" t="s">
        <v>325</v>
      </c>
      <c r="F980" s="180" t="s">
        <v>1404</v>
      </c>
      <c r="G980" s="40" t="s">
        <v>225</v>
      </c>
      <c r="H980" s="46" t="s">
        <v>226</v>
      </c>
      <c r="I980" s="51" t="str">
        <f>"0x"&amp;AE_w_WORK!K83</f>
        <v>0x1010</v>
      </c>
      <c r="J980" s="41">
        <v>40473</v>
      </c>
      <c r="K980" s="42"/>
      <c r="M980" s="179"/>
      <c r="N980" s="179"/>
    </row>
    <row r="981" spans="2:14" hidden="1" outlineLevel="1">
      <c r="B981" s="178">
        <v>975</v>
      </c>
      <c r="C981" s="44"/>
      <c r="D981" s="45"/>
      <c r="E981" s="39" t="s">
        <v>325</v>
      </c>
      <c r="F981" s="180" t="s">
        <v>1405</v>
      </c>
      <c r="G981" s="40" t="s">
        <v>227</v>
      </c>
      <c r="H981" s="46" t="s">
        <v>228</v>
      </c>
      <c r="I981" s="51" t="str">
        <f>"0x"&amp;AE_w_WORK!K84</f>
        <v>0x0101</v>
      </c>
      <c r="J981" s="41">
        <v>40473</v>
      </c>
      <c r="K981" s="42"/>
      <c r="M981" s="179"/>
      <c r="N981" s="179"/>
    </row>
    <row r="982" spans="2:14" hidden="1" outlineLevel="1">
      <c r="B982" s="178">
        <v>976</v>
      </c>
      <c r="C982" s="44"/>
      <c r="D982" s="45"/>
      <c r="E982" s="39" t="s">
        <v>325</v>
      </c>
      <c r="F982" s="180" t="s">
        <v>1406</v>
      </c>
      <c r="G982" s="40" t="s">
        <v>229</v>
      </c>
      <c r="H982" s="46" t="s">
        <v>230</v>
      </c>
      <c r="I982" s="51" t="str">
        <f>"0x"&amp;AE_w_WORK!K85</f>
        <v>0x0100</v>
      </c>
      <c r="J982" s="41">
        <v>40473</v>
      </c>
      <c r="K982" s="42"/>
      <c r="M982" s="179"/>
      <c r="N982" s="179"/>
    </row>
    <row r="983" spans="2:14" hidden="1" outlineLevel="1">
      <c r="B983" s="178">
        <v>977</v>
      </c>
      <c r="C983" s="44"/>
      <c r="D983" s="45"/>
      <c r="E983" s="39" t="s">
        <v>325</v>
      </c>
      <c r="F983" s="180" t="s">
        <v>1407</v>
      </c>
      <c r="G983" s="40" t="s">
        <v>231</v>
      </c>
      <c r="H983" s="46" t="s">
        <v>232</v>
      </c>
      <c r="I983" s="51" t="str">
        <f>"0x"&amp;AE_w_WORK!K86</f>
        <v>0x0000</v>
      </c>
      <c r="J983" s="41">
        <v>40473</v>
      </c>
      <c r="K983" s="42"/>
      <c r="M983" s="179"/>
      <c r="N983" s="179"/>
    </row>
    <row r="984" spans="2:14" hidden="1" outlineLevel="1">
      <c r="B984" s="178">
        <v>978</v>
      </c>
      <c r="C984" s="44"/>
      <c r="D984" s="45"/>
      <c r="E984" s="39" t="s">
        <v>325</v>
      </c>
      <c r="F984" s="180" t="s">
        <v>1408</v>
      </c>
      <c r="G984" s="40" t="s">
        <v>233</v>
      </c>
      <c r="H984" s="46" t="s">
        <v>234</v>
      </c>
      <c r="I984" s="51" t="str">
        <f>"0x"&amp;AE_w_WORK!K87</f>
        <v>0x0000</v>
      </c>
      <c r="J984" s="41">
        <v>40473</v>
      </c>
      <c r="K984" s="42"/>
      <c r="M984" s="179"/>
      <c r="N984" s="179"/>
    </row>
    <row r="985" spans="2:14" hidden="1" outlineLevel="1">
      <c r="B985" s="178">
        <v>979</v>
      </c>
      <c r="C985" s="44"/>
      <c r="D985" s="45"/>
      <c r="E985" s="39" t="s">
        <v>325</v>
      </c>
      <c r="F985" s="180" t="s">
        <v>1409</v>
      </c>
      <c r="G985" s="40" t="s">
        <v>235</v>
      </c>
      <c r="H985" s="46" t="s">
        <v>236</v>
      </c>
      <c r="I985" s="51" t="str">
        <f>"0x"&amp;AE_w_WORK!K88</f>
        <v>0x0000</v>
      </c>
      <c r="J985" s="41">
        <v>40473</v>
      </c>
      <c r="K985" s="42"/>
      <c r="M985" s="179"/>
      <c r="N985" s="179"/>
    </row>
    <row r="986" spans="2:14" hidden="1" outlineLevel="1">
      <c r="B986" s="178">
        <v>980</v>
      </c>
      <c r="C986" s="44"/>
      <c r="D986" s="45"/>
      <c r="E986" s="39" t="s">
        <v>325</v>
      </c>
      <c r="F986" s="180" t="s">
        <v>1410</v>
      </c>
      <c r="G986" s="40" t="s">
        <v>237</v>
      </c>
      <c r="H986" s="46" t="s">
        <v>238</v>
      </c>
      <c r="I986" s="51" t="str">
        <f>"0x"&amp;AE_w_WORK!K89</f>
        <v>0x0000</v>
      </c>
      <c r="J986" s="41">
        <v>40473</v>
      </c>
      <c r="K986" s="42"/>
      <c r="M986" s="179"/>
      <c r="N986" s="179"/>
    </row>
    <row r="987" spans="2:14" hidden="1" outlineLevel="1">
      <c r="B987" s="178">
        <v>981</v>
      </c>
      <c r="C987" s="44"/>
      <c r="D987" s="45"/>
      <c r="E987" s="39" t="s">
        <v>325</v>
      </c>
      <c r="F987" s="180" t="s">
        <v>1411</v>
      </c>
      <c r="G987" s="40" t="s">
        <v>239</v>
      </c>
      <c r="H987" s="46" t="s">
        <v>240</v>
      </c>
      <c r="I987" s="51" t="str">
        <f>"0x"&amp;AE_w_WORK!K90</f>
        <v>0x0001</v>
      </c>
      <c r="J987" s="41">
        <v>40473</v>
      </c>
      <c r="K987" s="42"/>
      <c r="M987" s="179"/>
      <c r="N987" s="179"/>
    </row>
    <row r="988" spans="2:14" hidden="1" outlineLevel="1">
      <c r="B988" s="178">
        <v>982</v>
      </c>
      <c r="C988" s="44"/>
      <c r="D988" s="45"/>
      <c r="E988" s="39" t="s">
        <v>325</v>
      </c>
      <c r="F988" s="180" t="s">
        <v>1412</v>
      </c>
      <c r="G988" s="40" t="s">
        <v>241</v>
      </c>
      <c r="H988" s="46" t="s">
        <v>242</v>
      </c>
      <c r="I988" s="51" t="str">
        <f>"0x"&amp;AE_w_WORK!K91</f>
        <v>0x0101</v>
      </c>
      <c r="J988" s="41">
        <v>40473</v>
      </c>
      <c r="K988" s="42"/>
      <c r="M988" s="179"/>
      <c r="N988" s="179"/>
    </row>
    <row r="989" spans="2:14" hidden="1" outlineLevel="1">
      <c r="B989" s="178">
        <v>983</v>
      </c>
      <c r="C989" s="44"/>
      <c r="D989" s="45"/>
      <c r="E989" s="39" t="s">
        <v>325</v>
      </c>
      <c r="F989" s="180" t="s">
        <v>1413</v>
      </c>
      <c r="G989" s="40" t="s">
        <v>243</v>
      </c>
      <c r="H989" s="46" t="s">
        <v>244</v>
      </c>
      <c r="I989" s="51" t="str">
        <f>"0x"&amp;AE_w_WORK!K92</f>
        <v>0x1010</v>
      </c>
      <c r="J989" s="41">
        <v>40473</v>
      </c>
      <c r="K989" s="42"/>
      <c r="M989" s="179"/>
      <c r="N989" s="179"/>
    </row>
    <row r="990" spans="2:14" hidden="1" outlineLevel="1">
      <c r="B990" s="178">
        <v>984</v>
      </c>
      <c r="C990" s="44"/>
      <c r="D990" s="45"/>
      <c r="E990" s="39" t="s">
        <v>325</v>
      </c>
      <c r="F990" s="180" t="s">
        <v>1414</v>
      </c>
      <c r="G990" s="40" t="s">
        <v>245</v>
      </c>
      <c r="H990" s="46" t="s">
        <v>246</v>
      </c>
      <c r="I990" s="51" t="str">
        <f>"0x"&amp;AE_w_WORK!K93</f>
        <v>0x1000</v>
      </c>
      <c r="J990" s="41">
        <v>40473</v>
      </c>
      <c r="K990" s="42"/>
      <c r="M990" s="179"/>
      <c r="N990" s="179"/>
    </row>
    <row r="991" spans="2:14" hidden="1" outlineLevel="1">
      <c r="B991" s="178">
        <v>985</v>
      </c>
      <c r="C991" s="44"/>
      <c r="D991" s="45"/>
      <c r="E991" s="39" t="s">
        <v>325</v>
      </c>
      <c r="F991" s="180" t="s">
        <v>1415</v>
      </c>
      <c r="G991" s="40" t="s">
        <v>247</v>
      </c>
      <c r="H991" s="46" t="s">
        <v>248</v>
      </c>
      <c r="I991" s="51" t="str">
        <f>"0x"&amp;AE_w_WORK!K94</f>
        <v>0x0000</v>
      </c>
      <c r="J991" s="41">
        <v>40473</v>
      </c>
      <c r="K991" s="42"/>
      <c r="M991" s="179"/>
      <c r="N991" s="179"/>
    </row>
    <row r="992" spans="2:14" hidden="1" outlineLevel="1">
      <c r="B992" s="178">
        <v>986</v>
      </c>
      <c r="C992" s="44"/>
      <c r="D992" s="45"/>
      <c r="E992" s="39" t="s">
        <v>325</v>
      </c>
      <c r="F992" s="180" t="s">
        <v>1416</v>
      </c>
      <c r="G992" s="40" t="s">
        <v>249</v>
      </c>
      <c r="H992" s="46" t="s">
        <v>250</v>
      </c>
      <c r="I992" s="51" t="str">
        <f>"0x"&amp;AE_w_WORK!K95</f>
        <v>0x0000</v>
      </c>
      <c r="J992" s="41">
        <v>40473</v>
      </c>
      <c r="K992" s="42"/>
      <c r="M992" s="179"/>
      <c r="N992" s="179"/>
    </row>
    <row r="993" spans="2:14" hidden="1" outlineLevel="1">
      <c r="B993" s="178">
        <v>987</v>
      </c>
      <c r="C993" s="44"/>
      <c r="D993" s="45"/>
      <c r="E993" s="39" t="s">
        <v>325</v>
      </c>
      <c r="F993" s="180" t="s">
        <v>1417</v>
      </c>
      <c r="G993" s="40" t="s">
        <v>251</v>
      </c>
      <c r="H993" s="46" t="s">
        <v>252</v>
      </c>
      <c r="I993" s="51" t="str">
        <f>"0x"&amp;AE_w_WORK!K96</f>
        <v>0x0000</v>
      </c>
      <c r="J993" s="41">
        <v>40473</v>
      </c>
      <c r="K993" s="42"/>
      <c r="M993" s="179"/>
      <c r="N993" s="179"/>
    </row>
    <row r="994" spans="2:14" hidden="1" outlineLevel="1">
      <c r="B994" s="178">
        <v>988</v>
      </c>
      <c r="C994" s="44"/>
      <c r="D994" s="45"/>
      <c r="E994" s="39" t="s">
        <v>325</v>
      </c>
      <c r="F994" s="180" t="s">
        <v>1418</v>
      </c>
      <c r="G994" s="40" t="s">
        <v>253</v>
      </c>
      <c r="H994" s="46" t="s">
        <v>254</v>
      </c>
      <c r="I994" s="51" t="str">
        <f>"0x"&amp;AE_w_WORK!K97</f>
        <v>0x0000</v>
      </c>
      <c r="J994" s="41">
        <v>40473</v>
      </c>
      <c r="K994" s="42"/>
      <c r="M994" s="179"/>
      <c r="N994" s="179"/>
    </row>
    <row r="995" spans="2:14" hidden="1" outlineLevel="1">
      <c r="B995" s="178">
        <v>989</v>
      </c>
      <c r="C995" s="44"/>
      <c r="D995" s="45"/>
      <c r="E995" s="39" t="s">
        <v>325</v>
      </c>
      <c r="F995" s="180" t="s">
        <v>1419</v>
      </c>
      <c r="G995" s="40" t="s">
        <v>255</v>
      </c>
      <c r="H995" s="46" t="s">
        <v>256</v>
      </c>
      <c r="I995" s="51" t="str">
        <f>"0x"&amp;AE_w_WORK!K98</f>
        <v>0x0010</v>
      </c>
      <c r="J995" s="41">
        <v>40473</v>
      </c>
      <c r="K995" s="42"/>
      <c r="M995" s="179"/>
      <c r="N995" s="179"/>
    </row>
    <row r="996" spans="2:14" hidden="1" outlineLevel="1">
      <c r="B996" s="178">
        <v>990</v>
      </c>
      <c r="C996" s="44"/>
      <c r="D996" s="45"/>
      <c r="E996" s="39" t="s">
        <v>325</v>
      </c>
      <c r="F996" s="180" t="s">
        <v>1420</v>
      </c>
      <c r="G996" s="40" t="s">
        <v>257</v>
      </c>
      <c r="H996" s="46" t="s">
        <v>258</v>
      </c>
      <c r="I996" s="51" t="str">
        <f>"0x"&amp;AE_w_WORK!K99</f>
        <v>0x1010</v>
      </c>
      <c r="J996" s="41">
        <v>40473</v>
      </c>
      <c r="K996" s="42"/>
      <c r="M996" s="179"/>
      <c r="N996" s="179"/>
    </row>
    <row r="997" spans="2:14" hidden="1" outlineLevel="1">
      <c r="B997" s="178">
        <v>991</v>
      </c>
      <c r="C997" s="44"/>
      <c r="D997" s="45"/>
      <c r="E997" s="39" t="s">
        <v>325</v>
      </c>
      <c r="F997" s="180" t="s">
        <v>1421</v>
      </c>
      <c r="G997" s="40" t="s">
        <v>259</v>
      </c>
      <c r="H997" s="46" t="s">
        <v>260</v>
      </c>
      <c r="I997" s="51" t="str">
        <f>"0x"&amp;AE_w_WORK!K100</f>
        <v>0x0101</v>
      </c>
      <c r="J997" s="41">
        <v>40473</v>
      </c>
      <c r="K997" s="42"/>
      <c r="M997" s="179"/>
      <c r="N997" s="179"/>
    </row>
    <row r="998" spans="2:14" hidden="1" outlineLevel="1">
      <c r="B998" s="178">
        <v>992</v>
      </c>
      <c r="C998" s="44"/>
      <c r="D998" s="45"/>
      <c r="E998" s="39" t="s">
        <v>325</v>
      </c>
      <c r="F998" s="180" t="s">
        <v>1422</v>
      </c>
      <c r="G998" s="40" t="s">
        <v>261</v>
      </c>
      <c r="H998" s="46" t="s">
        <v>262</v>
      </c>
      <c r="I998" s="51" t="str">
        <f>"0x"&amp;AE_w_WORK!K101</f>
        <v>0x0100</v>
      </c>
      <c r="J998" s="41">
        <v>40473</v>
      </c>
      <c r="K998" s="42"/>
      <c r="M998" s="179"/>
      <c r="N998" s="179"/>
    </row>
    <row r="999" spans="2:14" hidden="1" outlineLevel="1">
      <c r="B999" s="178">
        <v>993</v>
      </c>
      <c r="C999" s="44"/>
      <c r="D999" s="45"/>
      <c r="E999" s="39" t="s">
        <v>325</v>
      </c>
      <c r="F999" s="180" t="s">
        <v>1423</v>
      </c>
      <c r="G999" s="40" t="s">
        <v>263</v>
      </c>
      <c r="H999" s="46" t="s">
        <v>81</v>
      </c>
      <c r="I999" s="51" t="str">
        <f>"0x"&amp;AE_w_WORK!K102</f>
        <v>0x0000</v>
      </c>
      <c r="J999" s="41">
        <v>40473</v>
      </c>
      <c r="K999" s="42"/>
      <c r="M999" s="179"/>
      <c r="N999" s="179"/>
    </row>
    <row r="1000" spans="2:14" hidden="1" outlineLevel="1">
      <c r="B1000" s="178">
        <v>994</v>
      </c>
      <c r="C1000" s="44"/>
      <c r="D1000" s="45"/>
      <c r="E1000" s="39" t="s">
        <v>325</v>
      </c>
      <c r="F1000" s="180" t="s">
        <v>1424</v>
      </c>
      <c r="G1000" s="40" t="s">
        <v>82</v>
      </c>
      <c r="H1000" s="46" t="s">
        <v>83</v>
      </c>
      <c r="I1000" s="51" t="str">
        <f>"0x"&amp;AE_w_WORK!K103</f>
        <v>0x0000</v>
      </c>
      <c r="J1000" s="41">
        <v>40473</v>
      </c>
      <c r="K1000" s="42"/>
      <c r="M1000" s="179"/>
      <c r="N1000" s="179"/>
    </row>
    <row r="1001" spans="2:14" hidden="1" outlineLevel="1">
      <c r="B1001" s="178">
        <v>995</v>
      </c>
      <c r="C1001" s="44"/>
      <c r="D1001" s="45"/>
      <c r="E1001" s="39" t="s">
        <v>325</v>
      </c>
      <c r="F1001" s="180" t="s">
        <v>1425</v>
      </c>
      <c r="G1001" s="40" t="s">
        <v>84</v>
      </c>
      <c r="H1001" s="46" t="s">
        <v>85</v>
      </c>
      <c r="I1001" s="51" t="str">
        <f>"0x"&amp;AE_w_WORK!K104</f>
        <v>0x0000</v>
      </c>
      <c r="J1001" s="41">
        <v>40473</v>
      </c>
      <c r="K1001" s="42"/>
      <c r="M1001" s="179"/>
      <c r="N1001" s="179"/>
    </row>
    <row r="1002" spans="2:14" hidden="1" outlineLevel="1">
      <c r="B1002" s="178">
        <v>996</v>
      </c>
      <c r="C1002" s="44"/>
      <c r="D1002" s="45"/>
      <c r="E1002" s="39" t="s">
        <v>325</v>
      </c>
      <c r="F1002" s="180" t="s">
        <v>1426</v>
      </c>
      <c r="G1002" s="40" t="s">
        <v>86</v>
      </c>
      <c r="H1002" s="46" t="s">
        <v>87</v>
      </c>
      <c r="I1002" s="51" t="str">
        <f>"0x"&amp;AE_w_WORK!K105</f>
        <v>0x0000</v>
      </c>
      <c r="J1002" s="41">
        <v>40473</v>
      </c>
      <c r="K1002" s="42"/>
      <c r="M1002" s="179"/>
      <c r="N1002" s="179"/>
    </row>
    <row r="1003" spans="2:14" hidden="1" outlineLevel="1">
      <c r="B1003" s="178">
        <v>997</v>
      </c>
      <c r="C1003" s="44"/>
      <c r="D1003" s="45"/>
      <c r="E1003" s="39" t="s">
        <v>325</v>
      </c>
      <c r="F1003" s="180" t="s">
        <v>1427</v>
      </c>
      <c r="G1003" s="40" t="s">
        <v>88</v>
      </c>
      <c r="H1003" s="46" t="s">
        <v>89</v>
      </c>
      <c r="I1003" s="51" t="str">
        <f>"0x"&amp;AE_w_WORK!K106</f>
        <v>0x0001</v>
      </c>
      <c r="J1003" s="41">
        <v>40473</v>
      </c>
      <c r="K1003" s="42"/>
      <c r="M1003" s="179"/>
      <c r="N1003" s="179"/>
    </row>
    <row r="1004" spans="2:14" hidden="1" outlineLevel="1">
      <c r="B1004" s="178">
        <v>998</v>
      </c>
      <c r="C1004" s="44"/>
      <c r="D1004" s="45"/>
      <c r="E1004" s="39" t="s">
        <v>325</v>
      </c>
      <c r="F1004" s="180" t="s">
        <v>1428</v>
      </c>
      <c r="G1004" s="40" t="s">
        <v>90</v>
      </c>
      <c r="H1004" s="46" t="s">
        <v>91</v>
      </c>
      <c r="I1004" s="51" t="str">
        <f>"0x"&amp;AE_w_WORK!K107</f>
        <v>0x0101</v>
      </c>
      <c r="J1004" s="41">
        <v>40473</v>
      </c>
      <c r="K1004" s="42"/>
      <c r="M1004" s="179"/>
      <c r="N1004" s="179"/>
    </row>
    <row r="1005" spans="2:14" hidden="1" outlineLevel="1">
      <c r="B1005" s="178">
        <v>999</v>
      </c>
      <c r="C1005" s="44"/>
      <c r="D1005" s="45"/>
      <c r="E1005" s="39" t="s">
        <v>325</v>
      </c>
      <c r="F1005" s="180" t="s">
        <v>1429</v>
      </c>
      <c r="G1005" s="40" t="s">
        <v>92</v>
      </c>
      <c r="H1005" s="46" t="s">
        <v>93</v>
      </c>
      <c r="I1005" s="51" t="str">
        <f>"0x"&amp;AE_w_WORK!K108</f>
        <v>0x1010</v>
      </c>
      <c r="J1005" s="41">
        <v>40473</v>
      </c>
      <c r="K1005" s="42"/>
      <c r="M1005" s="179"/>
      <c r="N1005" s="179"/>
    </row>
    <row r="1006" spans="2:14" hidden="1" outlineLevel="1">
      <c r="B1006" s="178">
        <v>1000</v>
      </c>
      <c r="C1006" s="44"/>
      <c r="D1006" s="45"/>
      <c r="E1006" s="39" t="s">
        <v>325</v>
      </c>
      <c r="F1006" s="180" t="s">
        <v>1430</v>
      </c>
      <c r="G1006" s="40" t="s">
        <v>94</v>
      </c>
      <c r="H1006" s="46" t="s">
        <v>95</v>
      </c>
      <c r="I1006" s="51" t="str">
        <f>"0x"&amp;AE_w_WORK!K109</f>
        <v>0x1000</v>
      </c>
      <c r="J1006" s="41">
        <v>40473</v>
      </c>
      <c r="K1006" s="42"/>
      <c r="M1006" s="179"/>
      <c r="N1006" s="179"/>
    </row>
    <row r="1007" spans="2:14" hidden="1" outlineLevel="1">
      <c r="B1007" s="178">
        <v>1001</v>
      </c>
      <c r="C1007" s="44"/>
      <c r="D1007" s="45"/>
      <c r="E1007" s="39" t="s">
        <v>325</v>
      </c>
      <c r="F1007" s="180" t="s">
        <v>1431</v>
      </c>
      <c r="G1007" s="40" t="s">
        <v>96</v>
      </c>
      <c r="H1007" s="46" t="s">
        <v>97</v>
      </c>
      <c r="I1007" s="51" t="str">
        <f>"0x"&amp;AE_w_WORK!K110</f>
        <v>0x0000</v>
      </c>
      <c r="J1007" s="41">
        <v>40473</v>
      </c>
      <c r="K1007" s="42"/>
      <c r="M1007" s="179"/>
      <c r="N1007" s="179"/>
    </row>
    <row r="1008" spans="2:14" hidden="1" outlineLevel="1">
      <c r="B1008" s="178">
        <v>1002</v>
      </c>
      <c r="C1008" s="44"/>
      <c r="D1008" s="45"/>
      <c r="E1008" s="39" t="s">
        <v>325</v>
      </c>
      <c r="F1008" s="180" t="s">
        <v>1432</v>
      </c>
      <c r="G1008" s="40" t="s">
        <v>98</v>
      </c>
      <c r="H1008" s="46" t="s">
        <v>99</v>
      </c>
      <c r="I1008" s="51" t="str">
        <f>"0x"&amp;AE_w_WORK!K111</f>
        <v>0x0000</v>
      </c>
      <c r="J1008" s="41">
        <v>40473</v>
      </c>
      <c r="K1008" s="42"/>
      <c r="M1008" s="179"/>
      <c r="N1008" s="179"/>
    </row>
    <row r="1009" spans="2:14" hidden="1" outlineLevel="1">
      <c r="B1009" s="178">
        <v>1003</v>
      </c>
      <c r="C1009" s="44"/>
      <c r="D1009" s="45"/>
      <c r="E1009" s="39" t="s">
        <v>325</v>
      </c>
      <c r="F1009" s="180" t="s">
        <v>1433</v>
      </c>
      <c r="G1009" s="40" t="s">
        <v>100</v>
      </c>
      <c r="H1009" s="46" t="s">
        <v>101</v>
      </c>
      <c r="I1009" s="51" t="str">
        <f>"0x"&amp;AE_w_WORK!K112</f>
        <v>0x0000</v>
      </c>
      <c r="J1009" s="41">
        <v>40473</v>
      </c>
      <c r="K1009" s="42"/>
      <c r="M1009" s="179"/>
      <c r="N1009" s="179"/>
    </row>
    <row r="1010" spans="2:14" hidden="1" outlineLevel="1">
      <c r="B1010" s="178">
        <v>1004</v>
      </c>
      <c r="C1010" s="44"/>
      <c r="D1010" s="45"/>
      <c r="E1010" s="39" t="s">
        <v>325</v>
      </c>
      <c r="F1010" s="180" t="s">
        <v>1434</v>
      </c>
      <c r="G1010" s="40" t="s">
        <v>102</v>
      </c>
      <c r="H1010" s="46" t="s">
        <v>103</v>
      </c>
      <c r="I1010" s="51" t="str">
        <f>"0x"&amp;AE_w_WORK!K113</f>
        <v>0x0000</v>
      </c>
      <c r="J1010" s="41">
        <v>40473</v>
      </c>
      <c r="K1010" s="42"/>
      <c r="M1010" s="179"/>
      <c r="N1010" s="179"/>
    </row>
    <row r="1011" spans="2:14" hidden="1" outlineLevel="1">
      <c r="B1011" s="178">
        <v>1005</v>
      </c>
      <c r="C1011" s="44"/>
      <c r="D1011" s="45"/>
      <c r="E1011" s="39" t="s">
        <v>325</v>
      </c>
      <c r="F1011" s="180" t="s">
        <v>1435</v>
      </c>
      <c r="G1011" s="40" t="s">
        <v>104</v>
      </c>
      <c r="H1011" s="46" t="s">
        <v>105</v>
      </c>
      <c r="I1011" s="51" t="str">
        <f>"0x"&amp;AE_w_WORK!K114</f>
        <v>0x0000</v>
      </c>
      <c r="J1011" s="41">
        <v>40473</v>
      </c>
      <c r="K1011" s="42"/>
      <c r="M1011" s="179"/>
      <c r="N1011" s="179"/>
    </row>
    <row r="1012" spans="2:14" hidden="1" outlineLevel="1">
      <c r="B1012" s="178">
        <v>1006</v>
      </c>
      <c r="C1012" s="44"/>
      <c r="D1012" s="45"/>
      <c r="E1012" s="39" t="s">
        <v>325</v>
      </c>
      <c r="F1012" s="180" t="s">
        <v>1436</v>
      </c>
      <c r="G1012" s="40" t="s">
        <v>106</v>
      </c>
      <c r="H1012" s="46" t="s">
        <v>107</v>
      </c>
      <c r="I1012" s="51" t="str">
        <f>"0x"&amp;AE_w_WORK!K115</f>
        <v>0x1010</v>
      </c>
      <c r="J1012" s="41">
        <v>40473</v>
      </c>
      <c r="K1012" s="42"/>
      <c r="M1012" s="179"/>
      <c r="N1012" s="179"/>
    </row>
    <row r="1013" spans="2:14" hidden="1" outlineLevel="1">
      <c r="B1013" s="178">
        <v>1007</v>
      </c>
      <c r="C1013" s="44"/>
      <c r="D1013" s="45"/>
      <c r="E1013" s="39" t="s">
        <v>325</v>
      </c>
      <c r="F1013" s="180" t="s">
        <v>1437</v>
      </c>
      <c r="G1013" s="40" t="s">
        <v>108</v>
      </c>
      <c r="H1013" s="46" t="s">
        <v>109</v>
      </c>
      <c r="I1013" s="51" t="str">
        <f>"0x"&amp;AE_w_WORK!K116</f>
        <v>0x0101</v>
      </c>
      <c r="J1013" s="41">
        <v>40473</v>
      </c>
      <c r="K1013" s="42"/>
      <c r="M1013" s="179"/>
      <c r="N1013" s="179"/>
    </row>
    <row r="1014" spans="2:14" hidden="1" outlineLevel="1">
      <c r="B1014" s="178">
        <v>1008</v>
      </c>
      <c r="C1014" s="44"/>
      <c r="D1014" s="45"/>
      <c r="E1014" s="39" t="s">
        <v>325</v>
      </c>
      <c r="F1014" s="180" t="s">
        <v>1438</v>
      </c>
      <c r="G1014" s="40" t="s">
        <v>110</v>
      </c>
      <c r="H1014" s="46" t="s">
        <v>111</v>
      </c>
      <c r="I1014" s="51" t="str">
        <f>"0x"&amp;AE_w_WORK!K117</f>
        <v>0x0000</v>
      </c>
      <c r="J1014" s="41">
        <v>40473</v>
      </c>
      <c r="K1014" s="42"/>
      <c r="M1014" s="179"/>
      <c r="N1014" s="179"/>
    </row>
    <row r="1015" spans="2:14" hidden="1" outlineLevel="1">
      <c r="B1015" s="178">
        <v>1009</v>
      </c>
      <c r="C1015" s="44"/>
      <c r="D1015" s="45"/>
      <c r="E1015" s="39" t="s">
        <v>325</v>
      </c>
      <c r="F1015" s="180" t="s">
        <v>1439</v>
      </c>
      <c r="G1015" s="40" t="s">
        <v>112</v>
      </c>
      <c r="H1015" s="46" t="s">
        <v>113</v>
      </c>
      <c r="I1015" s="51" t="str">
        <f>"0x"&amp;AE_w_WORK!K118</f>
        <v>0x0000</v>
      </c>
      <c r="J1015" s="41">
        <v>40473</v>
      </c>
      <c r="K1015" s="42"/>
      <c r="M1015" s="179"/>
      <c r="N1015" s="179"/>
    </row>
    <row r="1016" spans="2:14" hidden="1" outlineLevel="1">
      <c r="B1016" s="178">
        <v>1010</v>
      </c>
      <c r="C1016" s="44"/>
      <c r="D1016" s="45"/>
      <c r="E1016" s="39" t="s">
        <v>325</v>
      </c>
      <c r="F1016" s="180" t="s">
        <v>1440</v>
      </c>
      <c r="G1016" s="40" t="s">
        <v>114</v>
      </c>
      <c r="H1016" s="46" t="s">
        <v>115</v>
      </c>
      <c r="I1016" s="51" t="str">
        <f>"0x"&amp;AE_w_WORK!K119</f>
        <v>0x0000</v>
      </c>
      <c r="J1016" s="41">
        <v>40473</v>
      </c>
      <c r="K1016" s="42"/>
      <c r="M1016" s="179"/>
      <c r="N1016" s="179"/>
    </row>
    <row r="1017" spans="2:14" hidden="1" outlineLevel="1">
      <c r="B1017" s="178">
        <v>1011</v>
      </c>
      <c r="C1017" s="44"/>
      <c r="D1017" s="45"/>
      <c r="E1017" s="39" t="s">
        <v>325</v>
      </c>
      <c r="F1017" s="180" t="s">
        <v>1441</v>
      </c>
      <c r="G1017" s="40" t="s">
        <v>116</v>
      </c>
      <c r="H1017" s="46" t="s">
        <v>117</v>
      </c>
      <c r="I1017" s="51" t="str">
        <f>"0x"&amp;AE_w_WORK!K120</f>
        <v>0x0000</v>
      </c>
      <c r="J1017" s="41">
        <v>40473</v>
      </c>
      <c r="K1017" s="42"/>
      <c r="M1017" s="179"/>
      <c r="N1017" s="179"/>
    </row>
    <row r="1018" spans="2:14" hidden="1" outlineLevel="1">
      <c r="B1018" s="178">
        <v>1012</v>
      </c>
      <c r="C1018" s="44"/>
      <c r="D1018" s="45"/>
      <c r="E1018" s="39" t="s">
        <v>325</v>
      </c>
      <c r="F1018" s="180" t="s">
        <v>1442</v>
      </c>
      <c r="G1018" s="40" t="s">
        <v>118</v>
      </c>
      <c r="H1018" s="46" t="s">
        <v>119</v>
      </c>
      <c r="I1018" s="51" t="str">
        <f>"0x"&amp;AE_w_WORK!K121</f>
        <v>0x0000</v>
      </c>
      <c r="J1018" s="41">
        <v>40473</v>
      </c>
      <c r="K1018" s="42"/>
      <c r="M1018" s="179"/>
      <c r="N1018" s="179"/>
    </row>
    <row r="1019" spans="2:14" hidden="1" outlineLevel="1">
      <c r="B1019" s="178">
        <v>1013</v>
      </c>
      <c r="C1019" s="44"/>
      <c r="D1019" s="45"/>
      <c r="E1019" s="39" t="s">
        <v>325</v>
      </c>
      <c r="F1019" s="180" t="s">
        <v>1443</v>
      </c>
      <c r="G1019" s="40" t="s">
        <v>120</v>
      </c>
      <c r="H1019" s="46" t="s">
        <v>264</v>
      </c>
      <c r="I1019" s="51" t="str">
        <f>"0x"&amp;AE_w_WORK!K122</f>
        <v>0x0001</v>
      </c>
      <c r="J1019" s="41">
        <v>40473</v>
      </c>
      <c r="K1019" s="42"/>
      <c r="M1019" s="179"/>
      <c r="N1019" s="179"/>
    </row>
    <row r="1020" spans="2:14" hidden="1" outlineLevel="1">
      <c r="B1020" s="178">
        <v>1014</v>
      </c>
      <c r="C1020" s="44"/>
      <c r="D1020" s="45"/>
      <c r="E1020" s="39" t="s">
        <v>325</v>
      </c>
      <c r="F1020" s="180" t="s">
        <v>1444</v>
      </c>
      <c r="G1020" s="40" t="s">
        <v>0</v>
      </c>
      <c r="H1020" s="46" t="s">
        <v>1</v>
      </c>
      <c r="I1020" s="51" t="str">
        <f>"0x"&amp;AE_w_WORK!K123</f>
        <v>0x0101</v>
      </c>
      <c r="J1020" s="41">
        <v>40473</v>
      </c>
      <c r="K1020" s="42"/>
      <c r="M1020" s="179"/>
      <c r="N1020" s="179"/>
    </row>
    <row r="1021" spans="2:14" hidden="1" outlineLevel="1">
      <c r="B1021" s="178">
        <v>1015</v>
      </c>
      <c r="C1021" s="44"/>
      <c r="D1021" s="45"/>
      <c r="E1021" s="39" t="s">
        <v>325</v>
      </c>
      <c r="F1021" s="180" t="s">
        <v>1445</v>
      </c>
      <c r="G1021" s="40" t="s">
        <v>2</v>
      </c>
      <c r="H1021" s="46" t="s">
        <v>3</v>
      </c>
      <c r="I1021" s="51" t="str">
        <f>"0x"&amp;AE_w_WORK!K124</f>
        <v>0x1010</v>
      </c>
      <c r="J1021" s="41">
        <v>40473</v>
      </c>
      <c r="K1021" s="42"/>
      <c r="M1021" s="179"/>
      <c r="N1021" s="179"/>
    </row>
    <row r="1022" spans="2:14" hidden="1" outlineLevel="1">
      <c r="B1022" s="178">
        <v>1016</v>
      </c>
      <c r="C1022" s="44"/>
      <c r="D1022" s="45"/>
      <c r="E1022" s="39" t="s">
        <v>325</v>
      </c>
      <c r="F1022" s="180" t="s">
        <v>1446</v>
      </c>
      <c r="G1022" s="40" t="s">
        <v>4</v>
      </c>
      <c r="H1022" s="46" t="s">
        <v>5</v>
      </c>
      <c r="I1022" s="51" t="str">
        <f>"0x"&amp;AE_w_WORK!K125</f>
        <v>0x1000</v>
      </c>
      <c r="J1022" s="41">
        <v>40473</v>
      </c>
      <c r="K1022" s="42"/>
      <c r="M1022" s="179"/>
      <c r="N1022" s="179"/>
    </row>
    <row r="1023" spans="2:14" hidden="1" outlineLevel="1">
      <c r="B1023" s="178">
        <v>1017</v>
      </c>
      <c r="C1023" s="44"/>
      <c r="D1023" s="45"/>
      <c r="E1023" s="39" t="s">
        <v>325</v>
      </c>
      <c r="F1023" s="180" t="s">
        <v>1447</v>
      </c>
      <c r="G1023" s="40" t="s">
        <v>6</v>
      </c>
      <c r="H1023" s="46" t="s">
        <v>7</v>
      </c>
      <c r="I1023" s="51" t="str">
        <f>"0x"&amp;AE_w_WORK!K126</f>
        <v>0x0000</v>
      </c>
      <c r="J1023" s="41">
        <v>40473</v>
      </c>
      <c r="K1023" s="42"/>
      <c r="M1023" s="179"/>
      <c r="N1023" s="179"/>
    </row>
    <row r="1024" spans="2:14" hidden="1" outlineLevel="1">
      <c r="B1024" s="178">
        <v>1018</v>
      </c>
      <c r="C1024" s="44"/>
      <c r="D1024" s="45"/>
      <c r="E1024" s="39" t="s">
        <v>325</v>
      </c>
      <c r="F1024" s="180" t="s">
        <v>1448</v>
      </c>
      <c r="G1024" s="40" t="s">
        <v>8</v>
      </c>
      <c r="H1024" s="46" t="s">
        <v>9</v>
      </c>
      <c r="I1024" s="51" t="str">
        <f>"0x"&amp;AE_w_WORK!K127</f>
        <v>0x0000</v>
      </c>
      <c r="J1024" s="41">
        <v>40473</v>
      </c>
      <c r="K1024" s="42"/>
      <c r="M1024" s="179"/>
      <c r="N1024" s="179"/>
    </row>
    <row r="1025" spans="2:14" hidden="1" outlineLevel="1">
      <c r="B1025" s="178">
        <v>1019</v>
      </c>
      <c r="C1025" s="44"/>
      <c r="D1025" s="45"/>
      <c r="E1025" s="39" t="s">
        <v>325</v>
      </c>
      <c r="F1025" s="180" t="s">
        <v>1449</v>
      </c>
      <c r="G1025" s="40" t="s">
        <v>10</v>
      </c>
      <c r="H1025" s="46" t="s">
        <v>11</v>
      </c>
      <c r="I1025" s="51" t="str">
        <f>"0x"&amp;AE_w_WORK!K128</f>
        <v>0x0000</v>
      </c>
      <c r="J1025" s="41">
        <v>40473</v>
      </c>
      <c r="K1025" s="42"/>
      <c r="M1025" s="179"/>
      <c r="N1025" s="179"/>
    </row>
    <row r="1026" spans="2:14" hidden="1" outlineLevel="1">
      <c r="B1026" s="178">
        <v>1020</v>
      </c>
      <c r="C1026" s="44"/>
      <c r="D1026" s="45"/>
      <c r="E1026" s="39" t="s">
        <v>325</v>
      </c>
      <c r="F1026" s="180" t="s">
        <v>1450</v>
      </c>
      <c r="G1026" s="40" t="s">
        <v>12</v>
      </c>
      <c r="H1026" s="46" t="s">
        <v>13</v>
      </c>
      <c r="I1026" s="51" t="str">
        <f>"0x"&amp;AE_w_WORK!K129</f>
        <v>0x0000</v>
      </c>
      <c r="J1026" s="41">
        <v>40473</v>
      </c>
      <c r="K1026" s="42"/>
      <c r="M1026" s="179"/>
      <c r="N1026" s="179"/>
    </row>
    <row r="1027" spans="2:14" hidden="1" outlineLevel="1">
      <c r="B1027" s="178">
        <v>1021</v>
      </c>
      <c r="C1027" s="44"/>
      <c r="D1027" s="45"/>
      <c r="E1027" s="39" t="s">
        <v>325</v>
      </c>
      <c r="F1027" s="180" t="s">
        <v>1451</v>
      </c>
      <c r="G1027" s="40" t="s">
        <v>14</v>
      </c>
      <c r="H1027" s="46" t="s">
        <v>15</v>
      </c>
      <c r="I1027" s="51" t="str">
        <f>"0x"&amp;AE_w_WORK!K130</f>
        <v>0x0000</v>
      </c>
      <c r="J1027" s="41">
        <v>40473</v>
      </c>
      <c r="K1027" s="42"/>
      <c r="M1027" s="179"/>
      <c r="N1027" s="179"/>
    </row>
    <row r="1028" spans="2:14" hidden="1" outlineLevel="1">
      <c r="B1028" s="178">
        <v>1022</v>
      </c>
      <c r="C1028" s="44"/>
      <c r="D1028" s="45"/>
      <c r="E1028" s="39" t="s">
        <v>325</v>
      </c>
      <c r="F1028" s="180" t="s">
        <v>1452</v>
      </c>
      <c r="G1028" s="40" t="s">
        <v>16</v>
      </c>
      <c r="H1028" s="46" t="s">
        <v>17</v>
      </c>
      <c r="I1028" s="51" t="str">
        <f>"0x"&amp;AE_w_WORK!K131</f>
        <v>0x1010</v>
      </c>
      <c r="J1028" s="41">
        <v>40473</v>
      </c>
      <c r="K1028" s="42"/>
      <c r="M1028" s="179"/>
      <c r="N1028" s="179"/>
    </row>
    <row r="1029" spans="2:14" hidden="1" outlineLevel="1">
      <c r="B1029" s="178">
        <v>1023</v>
      </c>
      <c r="C1029" s="44"/>
      <c r="D1029" s="45"/>
      <c r="E1029" s="39" t="s">
        <v>325</v>
      </c>
      <c r="F1029" s="180" t="s">
        <v>1453</v>
      </c>
      <c r="G1029" s="40" t="s">
        <v>18</v>
      </c>
      <c r="H1029" s="46" t="s">
        <v>19</v>
      </c>
      <c r="I1029" s="51" t="str">
        <f>"0x"&amp;AE_w_WORK!K132</f>
        <v>0x0101</v>
      </c>
      <c r="J1029" s="41">
        <v>40473</v>
      </c>
      <c r="K1029" s="42"/>
      <c r="M1029" s="179"/>
      <c r="N1029" s="179"/>
    </row>
    <row r="1030" spans="2:14" hidden="1" outlineLevel="1">
      <c r="B1030" s="178">
        <v>1024</v>
      </c>
      <c r="C1030" s="44"/>
      <c r="D1030" s="45"/>
      <c r="E1030" s="39" t="s">
        <v>325</v>
      </c>
      <c r="F1030" s="180" t="s">
        <v>1454</v>
      </c>
      <c r="G1030" s="40" t="s">
        <v>20</v>
      </c>
      <c r="H1030" s="46" t="s">
        <v>21</v>
      </c>
      <c r="I1030" s="51" t="str">
        <f>"0x"&amp;AE_w_WORK!K133</f>
        <v>0x0000</v>
      </c>
      <c r="J1030" s="41">
        <v>40473</v>
      </c>
      <c r="K1030" s="42"/>
      <c r="M1030" s="179"/>
      <c r="N1030" s="179"/>
    </row>
    <row r="1031" spans="2:14" s="179" customFormat="1" collapsed="1">
      <c r="B1031" s="178">
        <v>1025</v>
      </c>
      <c r="C1031" s="44"/>
      <c r="D1031" s="45"/>
      <c r="E1031" s="39" t="s">
        <v>325</v>
      </c>
      <c r="F1031" s="180" t="s">
        <v>1455</v>
      </c>
      <c r="G1031" s="40" t="s">
        <v>79</v>
      </c>
      <c r="H1031" s="46" t="s">
        <v>80</v>
      </c>
      <c r="I1031" s="51" t="str">
        <f>"0x"&amp;AE_w_WORK!L6</f>
        <v>0x0000</v>
      </c>
      <c r="J1031" s="41">
        <v>40473</v>
      </c>
      <c r="K1031" s="42" t="s">
        <v>429</v>
      </c>
    </row>
    <row r="1032" spans="2:14" s="179" customFormat="1" hidden="1" outlineLevel="1">
      <c r="B1032" s="178">
        <v>1026</v>
      </c>
      <c r="C1032" s="44"/>
      <c r="D1032" s="45"/>
      <c r="E1032" s="39" t="s">
        <v>325</v>
      </c>
      <c r="F1032" s="180" t="s">
        <v>1456</v>
      </c>
      <c r="G1032" s="40" t="s">
        <v>77</v>
      </c>
      <c r="H1032" s="46" t="s">
        <v>78</v>
      </c>
      <c r="I1032" s="51" t="str">
        <f>"0x"&amp;AE_w_WORK!L7</f>
        <v>0x0000</v>
      </c>
      <c r="J1032" s="41">
        <v>40473</v>
      </c>
      <c r="K1032" s="42"/>
    </row>
    <row r="1033" spans="2:14" s="179" customFormat="1" hidden="1" outlineLevel="1">
      <c r="B1033" s="178">
        <v>1027</v>
      </c>
      <c r="C1033" s="44"/>
      <c r="D1033" s="45"/>
      <c r="E1033" s="39" t="s">
        <v>325</v>
      </c>
      <c r="F1033" s="180" t="s">
        <v>1457</v>
      </c>
      <c r="G1033" s="40" t="s">
        <v>22</v>
      </c>
      <c r="H1033" s="46" t="s">
        <v>23</v>
      </c>
      <c r="I1033" s="51" t="str">
        <f>"0x"&amp;AE_w_WORK!L8</f>
        <v>0x0000</v>
      </c>
      <c r="J1033" s="41">
        <v>40473</v>
      </c>
      <c r="K1033" s="42"/>
    </row>
    <row r="1034" spans="2:14" s="179" customFormat="1" hidden="1" outlineLevel="1">
      <c r="B1034" s="178">
        <v>1028</v>
      </c>
      <c r="C1034" s="44"/>
      <c r="D1034" s="45"/>
      <c r="E1034" s="39" t="s">
        <v>325</v>
      </c>
      <c r="F1034" s="180" t="s">
        <v>1458</v>
      </c>
      <c r="G1034" s="40" t="s">
        <v>24</v>
      </c>
      <c r="H1034" s="46" t="s">
        <v>25</v>
      </c>
      <c r="I1034" s="51" t="str">
        <f>"0x"&amp;AE_w_WORK!L9</f>
        <v>0x0000</v>
      </c>
      <c r="J1034" s="41">
        <v>40473</v>
      </c>
      <c r="K1034" s="42"/>
    </row>
    <row r="1035" spans="2:14" s="179" customFormat="1" hidden="1" outlineLevel="1">
      <c r="B1035" s="178">
        <v>1029</v>
      </c>
      <c r="C1035" s="44"/>
      <c r="D1035" s="45"/>
      <c r="E1035" s="39" t="s">
        <v>325</v>
      </c>
      <c r="F1035" s="180" t="s">
        <v>1459</v>
      </c>
      <c r="G1035" s="40" t="s">
        <v>26</v>
      </c>
      <c r="H1035" s="46" t="s">
        <v>27</v>
      </c>
      <c r="I1035" s="51" t="str">
        <f>"0x"&amp;AE_w_WORK!L10</f>
        <v>0x0000</v>
      </c>
      <c r="J1035" s="41">
        <v>40473</v>
      </c>
      <c r="K1035" s="42"/>
    </row>
    <row r="1036" spans="2:14" s="179" customFormat="1" hidden="1" outlineLevel="1">
      <c r="B1036" s="178">
        <v>1030</v>
      </c>
      <c r="C1036" s="44"/>
      <c r="D1036" s="45"/>
      <c r="E1036" s="39" t="s">
        <v>325</v>
      </c>
      <c r="F1036" s="180" t="s">
        <v>1460</v>
      </c>
      <c r="G1036" s="40" t="s">
        <v>28</v>
      </c>
      <c r="H1036" s="46" t="s">
        <v>29</v>
      </c>
      <c r="I1036" s="51" t="str">
        <f>"0x"&amp;AE_w_WORK!L11</f>
        <v>0x0000</v>
      </c>
      <c r="J1036" s="41">
        <v>40473</v>
      </c>
      <c r="K1036" s="42"/>
    </row>
    <row r="1037" spans="2:14" s="179" customFormat="1" hidden="1" outlineLevel="1">
      <c r="B1037" s="178">
        <v>1031</v>
      </c>
      <c r="C1037" s="44"/>
      <c r="D1037" s="45"/>
      <c r="E1037" s="39" t="s">
        <v>325</v>
      </c>
      <c r="F1037" s="180" t="s">
        <v>1461</v>
      </c>
      <c r="G1037" s="40" t="s">
        <v>30</v>
      </c>
      <c r="H1037" s="46" t="s">
        <v>31</v>
      </c>
      <c r="I1037" s="51" t="str">
        <f>"0x"&amp;AE_w_WORK!L12</f>
        <v>0x0000</v>
      </c>
      <c r="J1037" s="41">
        <v>40473</v>
      </c>
      <c r="K1037" s="42"/>
    </row>
    <row r="1038" spans="2:14" s="179" customFormat="1" hidden="1" outlineLevel="1">
      <c r="B1038" s="178">
        <v>1032</v>
      </c>
      <c r="C1038" s="44"/>
      <c r="D1038" s="45"/>
      <c r="E1038" s="39" t="s">
        <v>325</v>
      </c>
      <c r="F1038" s="180" t="s">
        <v>1462</v>
      </c>
      <c r="G1038" s="40" t="s">
        <v>32</v>
      </c>
      <c r="H1038" s="46" t="s">
        <v>33</v>
      </c>
      <c r="I1038" s="51" t="str">
        <f>"0x"&amp;AE_w_WORK!L13</f>
        <v>0x0000</v>
      </c>
      <c r="J1038" s="41">
        <v>40473</v>
      </c>
      <c r="K1038" s="42"/>
    </row>
    <row r="1039" spans="2:14" s="179" customFormat="1" hidden="1" outlineLevel="1">
      <c r="B1039" s="178">
        <v>1033</v>
      </c>
      <c r="C1039" s="44"/>
      <c r="D1039" s="45"/>
      <c r="E1039" s="39" t="s">
        <v>325</v>
      </c>
      <c r="F1039" s="180" t="s">
        <v>1463</v>
      </c>
      <c r="G1039" s="40" t="s">
        <v>34</v>
      </c>
      <c r="H1039" s="46" t="s">
        <v>35</v>
      </c>
      <c r="I1039" s="51" t="str">
        <f>"0x"&amp;AE_w_WORK!L14</f>
        <v>0x0000</v>
      </c>
      <c r="J1039" s="41">
        <v>40473</v>
      </c>
      <c r="K1039" s="42"/>
    </row>
    <row r="1040" spans="2:14" s="179" customFormat="1" hidden="1" outlineLevel="1">
      <c r="B1040" s="178">
        <v>1034</v>
      </c>
      <c r="C1040" s="44"/>
      <c r="D1040" s="45"/>
      <c r="E1040" s="39" t="s">
        <v>325</v>
      </c>
      <c r="F1040" s="180" t="s">
        <v>1464</v>
      </c>
      <c r="G1040" s="40" t="s">
        <v>36</v>
      </c>
      <c r="H1040" s="46" t="s">
        <v>37</v>
      </c>
      <c r="I1040" s="51" t="str">
        <f>"0x"&amp;AE_w_WORK!L15</f>
        <v>0x0000</v>
      </c>
      <c r="J1040" s="41">
        <v>40473</v>
      </c>
      <c r="K1040" s="42"/>
    </row>
    <row r="1041" spans="2:11" s="179" customFormat="1" hidden="1" outlineLevel="1">
      <c r="B1041" s="178">
        <v>1035</v>
      </c>
      <c r="C1041" s="44"/>
      <c r="D1041" s="45"/>
      <c r="E1041" s="39" t="s">
        <v>325</v>
      </c>
      <c r="F1041" s="180" t="s">
        <v>1465</v>
      </c>
      <c r="G1041" s="40" t="s">
        <v>38</v>
      </c>
      <c r="H1041" s="46" t="s">
        <v>39</v>
      </c>
      <c r="I1041" s="51" t="str">
        <f>"0x"&amp;AE_w_WORK!L16</f>
        <v>0x0000</v>
      </c>
      <c r="J1041" s="41">
        <v>40473</v>
      </c>
      <c r="K1041" s="42"/>
    </row>
    <row r="1042" spans="2:11" s="179" customFormat="1" hidden="1" outlineLevel="1">
      <c r="B1042" s="178">
        <v>1036</v>
      </c>
      <c r="C1042" s="44"/>
      <c r="D1042" s="45"/>
      <c r="E1042" s="39" t="s">
        <v>325</v>
      </c>
      <c r="F1042" s="180" t="s">
        <v>1466</v>
      </c>
      <c r="G1042" s="40" t="s">
        <v>40</v>
      </c>
      <c r="H1042" s="46" t="s">
        <v>41</v>
      </c>
      <c r="I1042" s="51" t="str">
        <f>"0x"&amp;AE_w_WORK!L17</f>
        <v>0x0000</v>
      </c>
      <c r="J1042" s="41">
        <v>40473</v>
      </c>
      <c r="K1042" s="42"/>
    </row>
    <row r="1043" spans="2:11" s="179" customFormat="1" hidden="1" outlineLevel="1">
      <c r="B1043" s="178">
        <v>1037</v>
      </c>
      <c r="C1043" s="44"/>
      <c r="D1043" s="45"/>
      <c r="E1043" s="39" t="s">
        <v>325</v>
      </c>
      <c r="F1043" s="180" t="s">
        <v>1467</v>
      </c>
      <c r="G1043" s="40" t="s">
        <v>42</v>
      </c>
      <c r="H1043" s="46" t="s">
        <v>43</v>
      </c>
      <c r="I1043" s="51" t="str">
        <f>"0x"&amp;AE_w_WORK!L18</f>
        <v>0x0000</v>
      </c>
      <c r="J1043" s="41">
        <v>40473</v>
      </c>
      <c r="K1043" s="42"/>
    </row>
    <row r="1044" spans="2:11" s="179" customFormat="1" hidden="1" outlineLevel="1">
      <c r="B1044" s="178">
        <v>1038</v>
      </c>
      <c r="C1044" s="44"/>
      <c r="D1044" s="45"/>
      <c r="E1044" s="39" t="s">
        <v>325</v>
      </c>
      <c r="F1044" s="180" t="s">
        <v>1468</v>
      </c>
      <c r="G1044" s="40" t="s">
        <v>44</v>
      </c>
      <c r="H1044" s="46" t="s">
        <v>45</v>
      </c>
      <c r="I1044" s="51" t="str">
        <f>"0x"&amp;AE_w_WORK!L19</f>
        <v>0x0000</v>
      </c>
      <c r="J1044" s="41">
        <v>40473</v>
      </c>
      <c r="K1044" s="42"/>
    </row>
    <row r="1045" spans="2:11" s="179" customFormat="1" hidden="1" outlineLevel="1">
      <c r="B1045" s="178">
        <v>1039</v>
      </c>
      <c r="C1045" s="44"/>
      <c r="D1045" s="45"/>
      <c r="E1045" s="39" t="s">
        <v>325</v>
      </c>
      <c r="F1045" s="180" t="s">
        <v>1469</v>
      </c>
      <c r="G1045" s="40" t="s">
        <v>46</v>
      </c>
      <c r="H1045" s="46" t="s">
        <v>47</v>
      </c>
      <c r="I1045" s="51" t="str">
        <f>"0x"&amp;AE_w_WORK!L20</f>
        <v>0x0000</v>
      </c>
      <c r="J1045" s="41">
        <v>40473</v>
      </c>
      <c r="K1045" s="42"/>
    </row>
    <row r="1046" spans="2:11" s="179" customFormat="1" hidden="1" outlineLevel="1">
      <c r="B1046" s="178">
        <v>1040</v>
      </c>
      <c r="C1046" s="44"/>
      <c r="D1046" s="45"/>
      <c r="E1046" s="39" t="s">
        <v>325</v>
      </c>
      <c r="F1046" s="180" t="s">
        <v>1470</v>
      </c>
      <c r="G1046" s="40" t="s">
        <v>48</v>
      </c>
      <c r="H1046" s="46" t="s">
        <v>49</v>
      </c>
      <c r="I1046" s="51" t="str">
        <f>"0x"&amp;AE_w_WORK!L21</f>
        <v>0x0000</v>
      </c>
      <c r="J1046" s="41">
        <v>40473</v>
      </c>
      <c r="K1046" s="42"/>
    </row>
    <row r="1047" spans="2:11" s="179" customFormat="1" hidden="1" outlineLevel="1">
      <c r="B1047" s="178">
        <v>1041</v>
      </c>
      <c r="C1047" s="44"/>
      <c r="D1047" s="45"/>
      <c r="E1047" s="39" t="s">
        <v>325</v>
      </c>
      <c r="F1047" s="180" t="s">
        <v>1471</v>
      </c>
      <c r="G1047" s="40" t="s">
        <v>50</v>
      </c>
      <c r="H1047" s="46" t="s">
        <v>51</v>
      </c>
      <c r="I1047" s="51" t="str">
        <f>"0x"&amp;AE_w_WORK!L22</f>
        <v>0x0000</v>
      </c>
      <c r="J1047" s="41">
        <v>40473</v>
      </c>
      <c r="K1047" s="42"/>
    </row>
    <row r="1048" spans="2:11" s="179" customFormat="1" hidden="1" outlineLevel="1">
      <c r="B1048" s="178">
        <v>1042</v>
      </c>
      <c r="C1048" s="44"/>
      <c r="D1048" s="45"/>
      <c r="E1048" s="39" t="s">
        <v>325</v>
      </c>
      <c r="F1048" s="180" t="s">
        <v>1472</v>
      </c>
      <c r="G1048" s="40" t="s">
        <v>52</v>
      </c>
      <c r="H1048" s="46" t="s">
        <v>53</v>
      </c>
      <c r="I1048" s="51" t="str">
        <f>"0x"&amp;AE_w_WORK!L23</f>
        <v>0x0000</v>
      </c>
      <c r="J1048" s="41">
        <v>40473</v>
      </c>
      <c r="K1048" s="42"/>
    </row>
    <row r="1049" spans="2:11" s="179" customFormat="1" hidden="1" outlineLevel="1">
      <c r="B1049" s="178">
        <v>1043</v>
      </c>
      <c r="C1049" s="44"/>
      <c r="D1049" s="45"/>
      <c r="E1049" s="39" t="s">
        <v>325</v>
      </c>
      <c r="F1049" s="180" t="s">
        <v>1473</v>
      </c>
      <c r="G1049" s="40" t="s">
        <v>54</v>
      </c>
      <c r="H1049" s="46" t="s">
        <v>55</v>
      </c>
      <c r="I1049" s="51" t="str">
        <f>"0x"&amp;AE_w_WORK!L24</f>
        <v>0x0000</v>
      </c>
      <c r="J1049" s="41">
        <v>40473</v>
      </c>
      <c r="K1049" s="42"/>
    </row>
    <row r="1050" spans="2:11" s="179" customFormat="1" hidden="1" outlineLevel="1">
      <c r="B1050" s="178">
        <v>1044</v>
      </c>
      <c r="C1050" s="44"/>
      <c r="D1050" s="45"/>
      <c r="E1050" s="39" t="s">
        <v>325</v>
      </c>
      <c r="F1050" s="180" t="s">
        <v>1474</v>
      </c>
      <c r="G1050" s="40" t="s">
        <v>56</v>
      </c>
      <c r="H1050" s="46" t="s">
        <v>57</v>
      </c>
      <c r="I1050" s="51" t="str">
        <f>"0x"&amp;AE_w_WORK!L25</f>
        <v>0x0000</v>
      </c>
      <c r="J1050" s="41">
        <v>40473</v>
      </c>
      <c r="K1050" s="42"/>
    </row>
    <row r="1051" spans="2:11" s="179" customFormat="1" hidden="1" outlineLevel="1">
      <c r="B1051" s="178">
        <v>1045</v>
      </c>
      <c r="C1051" s="44"/>
      <c r="D1051" s="45"/>
      <c r="E1051" s="39" t="s">
        <v>325</v>
      </c>
      <c r="F1051" s="180" t="s">
        <v>1475</v>
      </c>
      <c r="G1051" s="40" t="s">
        <v>58</v>
      </c>
      <c r="H1051" s="46" t="s">
        <v>59</v>
      </c>
      <c r="I1051" s="51" t="str">
        <f>"0x"&amp;AE_w_WORK!L26</f>
        <v>0x0000</v>
      </c>
      <c r="J1051" s="41">
        <v>40473</v>
      </c>
      <c r="K1051" s="42"/>
    </row>
    <row r="1052" spans="2:11" s="179" customFormat="1" hidden="1" outlineLevel="1">
      <c r="B1052" s="178">
        <v>1046</v>
      </c>
      <c r="C1052" s="44"/>
      <c r="D1052" s="45"/>
      <c r="E1052" s="39" t="s">
        <v>325</v>
      </c>
      <c r="F1052" s="180" t="s">
        <v>1476</v>
      </c>
      <c r="G1052" s="40" t="s">
        <v>60</v>
      </c>
      <c r="H1052" s="46" t="s">
        <v>61</v>
      </c>
      <c r="I1052" s="51" t="str">
        <f>"0x"&amp;AE_w_WORK!L27</f>
        <v>0x0000</v>
      </c>
      <c r="J1052" s="41">
        <v>40473</v>
      </c>
      <c r="K1052" s="42"/>
    </row>
    <row r="1053" spans="2:11" s="179" customFormat="1" hidden="1" outlineLevel="1">
      <c r="B1053" s="178">
        <v>1047</v>
      </c>
      <c r="C1053" s="44"/>
      <c r="D1053" s="45"/>
      <c r="E1053" s="39" t="s">
        <v>325</v>
      </c>
      <c r="F1053" s="180" t="s">
        <v>1477</v>
      </c>
      <c r="G1053" s="40" t="s">
        <v>62</v>
      </c>
      <c r="H1053" s="46" t="s">
        <v>63</v>
      </c>
      <c r="I1053" s="51" t="str">
        <f>"0x"&amp;AE_w_WORK!L28</f>
        <v>0x0000</v>
      </c>
      <c r="J1053" s="41">
        <v>40473</v>
      </c>
      <c r="K1053" s="42"/>
    </row>
    <row r="1054" spans="2:11" s="179" customFormat="1" hidden="1" outlineLevel="1">
      <c r="B1054" s="178">
        <v>1048</v>
      </c>
      <c r="C1054" s="44"/>
      <c r="D1054" s="45"/>
      <c r="E1054" s="39" t="s">
        <v>325</v>
      </c>
      <c r="F1054" s="180" t="s">
        <v>1478</v>
      </c>
      <c r="G1054" s="40" t="s">
        <v>64</v>
      </c>
      <c r="H1054" s="46" t="s">
        <v>65</v>
      </c>
      <c r="I1054" s="51" t="str">
        <f>"0x"&amp;AE_w_WORK!L29</f>
        <v>0x0000</v>
      </c>
      <c r="J1054" s="41">
        <v>40473</v>
      </c>
      <c r="K1054" s="42"/>
    </row>
    <row r="1055" spans="2:11" s="179" customFormat="1" hidden="1" outlineLevel="1">
      <c r="B1055" s="178">
        <v>1049</v>
      </c>
      <c r="C1055" s="44"/>
      <c r="D1055" s="45"/>
      <c r="E1055" s="39" t="s">
        <v>325</v>
      </c>
      <c r="F1055" s="180" t="s">
        <v>1479</v>
      </c>
      <c r="G1055" s="40" t="s">
        <v>66</v>
      </c>
      <c r="H1055" s="46" t="s">
        <v>67</v>
      </c>
      <c r="I1055" s="51" t="str">
        <f>"0x"&amp;AE_w_WORK!L30</f>
        <v>0x0000</v>
      </c>
      <c r="J1055" s="41">
        <v>40473</v>
      </c>
      <c r="K1055" s="42"/>
    </row>
    <row r="1056" spans="2:11" s="179" customFormat="1" hidden="1" outlineLevel="1">
      <c r="B1056" s="178">
        <v>1050</v>
      </c>
      <c r="C1056" s="44"/>
      <c r="D1056" s="45"/>
      <c r="E1056" s="39" t="s">
        <v>325</v>
      </c>
      <c r="F1056" s="180" t="s">
        <v>1480</v>
      </c>
      <c r="G1056" s="40" t="s">
        <v>68</v>
      </c>
      <c r="H1056" s="46" t="s">
        <v>69</v>
      </c>
      <c r="I1056" s="51" t="str">
        <f>"0x"&amp;AE_w_WORK!L31</f>
        <v>0x0000</v>
      </c>
      <c r="J1056" s="41">
        <v>40473</v>
      </c>
      <c r="K1056" s="42"/>
    </row>
    <row r="1057" spans="2:11" s="179" customFormat="1" hidden="1" outlineLevel="1">
      <c r="B1057" s="178">
        <v>1051</v>
      </c>
      <c r="C1057" s="44"/>
      <c r="D1057" s="45"/>
      <c r="E1057" s="39" t="s">
        <v>325</v>
      </c>
      <c r="F1057" s="180" t="s">
        <v>1481</v>
      </c>
      <c r="G1057" s="40" t="s">
        <v>70</v>
      </c>
      <c r="H1057" s="46" t="s">
        <v>71</v>
      </c>
      <c r="I1057" s="51" t="str">
        <f>"0x"&amp;AE_w_WORK!L32</f>
        <v>0x0000</v>
      </c>
      <c r="J1057" s="41">
        <v>40473</v>
      </c>
      <c r="K1057" s="42"/>
    </row>
    <row r="1058" spans="2:11" s="179" customFormat="1" hidden="1" outlineLevel="1">
      <c r="B1058" s="178">
        <v>1052</v>
      </c>
      <c r="C1058" s="44"/>
      <c r="D1058" s="45"/>
      <c r="E1058" s="39" t="s">
        <v>325</v>
      </c>
      <c r="F1058" s="180" t="s">
        <v>1482</v>
      </c>
      <c r="G1058" s="40" t="s">
        <v>72</v>
      </c>
      <c r="H1058" s="46" t="s">
        <v>73</v>
      </c>
      <c r="I1058" s="51" t="str">
        <f>"0x"&amp;AE_w_WORK!L33</f>
        <v>0x0000</v>
      </c>
      <c r="J1058" s="41">
        <v>40473</v>
      </c>
      <c r="K1058" s="42"/>
    </row>
    <row r="1059" spans="2:11" s="179" customFormat="1" hidden="1" outlineLevel="1">
      <c r="B1059" s="178">
        <v>1053</v>
      </c>
      <c r="C1059" s="44"/>
      <c r="D1059" s="45"/>
      <c r="E1059" s="39" t="s">
        <v>325</v>
      </c>
      <c r="F1059" s="180" t="s">
        <v>1483</v>
      </c>
      <c r="G1059" s="40" t="s">
        <v>74</v>
      </c>
      <c r="H1059" s="46" t="s">
        <v>128</v>
      </c>
      <c r="I1059" s="51" t="str">
        <f>"0x"&amp;AE_w_WORK!L34</f>
        <v>0x0000</v>
      </c>
      <c r="J1059" s="41">
        <v>40473</v>
      </c>
      <c r="K1059" s="42"/>
    </row>
    <row r="1060" spans="2:11" s="179" customFormat="1" hidden="1" outlineLevel="1">
      <c r="B1060" s="178">
        <v>1054</v>
      </c>
      <c r="C1060" s="44"/>
      <c r="D1060" s="45"/>
      <c r="E1060" s="39" t="s">
        <v>325</v>
      </c>
      <c r="F1060" s="180" t="s">
        <v>1484</v>
      </c>
      <c r="G1060" s="40" t="s">
        <v>129</v>
      </c>
      <c r="H1060" s="46" t="s">
        <v>130</v>
      </c>
      <c r="I1060" s="51" t="str">
        <f>"0x"&amp;AE_w_WORK!L35</f>
        <v>0x0000</v>
      </c>
      <c r="J1060" s="41">
        <v>40473</v>
      </c>
      <c r="K1060" s="42"/>
    </row>
    <row r="1061" spans="2:11" s="179" customFormat="1" hidden="1" outlineLevel="1">
      <c r="B1061" s="178">
        <v>1055</v>
      </c>
      <c r="C1061" s="44"/>
      <c r="D1061" s="45"/>
      <c r="E1061" s="39" t="s">
        <v>325</v>
      </c>
      <c r="F1061" s="180" t="s">
        <v>1485</v>
      </c>
      <c r="G1061" s="40" t="s">
        <v>131</v>
      </c>
      <c r="H1061" s="46" t="s">
        <v>132</v>
      </c>
      <c r="I1061" s="51" t="str">
        <f>"0x"&amp;AE_w_WORK!L36</f>
        <v>0x0000</v>
      </c>
      <c r="J1061" s="41">
        <v>40473</v>
      </c>
      <c r="K1061" s="42"/>
    </row>
    <row r="1062" spans="2:11" s="179" customFormat="1" hidden="1" outlineLevel="1">
      <c r="B1062" s="178">
        <v>1056</v>
      </c>
      <c r="C1062" s="44"/>
      <c r="D1062" s="45"/>
      <c r="E1062" s="39" t="s">
        <v>325</v>
      </c>
      <c r="F1062" s="180" t="s">
        <v>1486</v>
      </c>
      <c r="G1062" s="40" t="s">
        <v>133</v>
      </c>
      <c r="H1062" s="46" t="s">
        <v>134</v>
      </c>
      <c r="I1062" s="51" t="str">
        <f>"0x"&amp;AE_w_WORK!L37</f>
        <v>0x0000</v>
      </c>
      <c r="J1062" s="41">
        <v>40473</v>
      </c>
      <c r="K1062" s="42"/>
    </row>
    <row r="1063" spans="2:11" s="179" customFormat="1" hidden="1" outlineLevel="1">
      <c r="B1063" s="178">
        <v>1057</v>
      </c>
      <c r="C1063" s="44"/>
      <c r="D1063" s="45"/>
      <c r="E1063" s="39" t="s">
        <v>325</v>
      </c>
      <c r="F1063" s="180" t="s">
        <v>1487</v>
      </c>
      <c r="G1063" s="40" t="s">
        <v>135</v>
      </c>
      <c r="H1063" s="46" t="s">
        <v>136</v>
      </c>
      <c r="I1063" s="51" t="str">
        <f>"0x"&amp;AE_w_WORK!L38</f>
        <v>0x0000</v>
      </c>
      <c r="J1063" s="41">
        <v>40473</v>
      </c>
      <c r="K1063" s="42"/>
    </row>
    <row r="1064" spans="2:11" s="179" customFormat="1" hidden="1" outlineLevel="1">
      <c r="B1064" s="178">
        <v>1058</v>
      </c>
      <c r="C1064" s="44"/>
      <c r="D1064" s="45"/>
      <c r="E1064" s="39" t="s">
        <v>325</v>
      </c>
      <c r="F1064" s="180" t="s">
        <v>1488</v>
      </c>
      <c r="G1064" s="40" t="s">
        <v>137</v>
      </c>
      <c r="H1064" s="46" t="s">
        <v>138</v>
      </c>
      <c r="I1064" s="51" t="str">
        <f>"0x"&amp;AE_w_WORK!L39</f>
        <v>0x0000</v>
      </c>
      <c r="J1064" s="41">
        <v>40473</v>
      </c>
      <c r="K1064" s="42"/>
    </row>
    <row r="1065" spans="2:11" s="179" customFormat="1" hidden="1" outlineLevel="1">
      <c r="B1065" s="178">
        <v>1059</v>
      </c>
      <c r="C1065" s="44"/>
      <c r="D1065" s="45"/>
      <c r="E1065" s="39" t="s">
        <v>325</v>
      </c>
      <c r="F1065" s="180" t="s">
        <v>1489</v>
      </c>
      <c r="G1065" s="40" t="s">
        <v>139</v>
      </c>
      <c r="H1065" s="46" t="s">
        <v>140</v>
      </c>
      <c r="I1065" s="51" t="str">
        <f>"0x"&amp;AE_w_WORK!L40</f>
        <v>0x0000</v>
      </c>
      <c r="J1065" s="41">
        <v>40473</v>
      </c>
      <c r="K1065" s="42"/>
    </row>
    <row r="1066" spans="2:11" s="179" customFormat="1" hidden="1" outlineLevel="1">
      <c r="B1066" s="178">
        <v>1060</v>
      </c>
      <c r="C1066" s="44"/>
      <c r="D1066" s="45"/>
      <c r="E1066" s="39" t="s">
        <v>325</v>
      </c>
      <c r="F1066" s="180" t="s">
        <v>1490</v>
      </c>
      <c r="G1066" s="40" t="s">
        <v>141</v>
      </c>
      <c r="H1066" s="46" t="s">
        <v>142</v>
      </c>
      <c r="I1066" s="51" t="str">
        <f>"0x"&amp;AE_w_WORK!L41</f>
        <v>0x0000</v>
      </c>
      <c r="J1066" s="41">
        <v>40473</v>
      </c>
      <c r="K1066" s="42"/>
    </row>
    <row r="1067" spans="2:11" s="179" customFormat="1" hidden="1" outlineLevel="1">
      <c r="B1067" s="178">
        <v>1061</v>
      </c>
      <c r="C1067" s="44"/>
      <c r="D1067" s="45"/>
      <c r="E1067" s="39" t="s">
        <v>325</v>
      </c>
      <c r="F1067" s="180" t="s">
        <v>1491</v>
      </c>
      <c r="G1067" s="40" t="s">
        <v>143</v>
      </c>
      <c r="H1067" s="46" t="s">
        <v>144</v>
      </c>
      <c r="I1067" s="51" t="str">
        <f>"0x"&amp;AE_w_WORK!L42</f>
        <v>0x0000</v>
      </c>
      <c r="J1067" s="41">
        <v>40473</v>
      </c>
      <c r="K1067" s="42"/>
    </row>
    <row r="1068" spans="2:11" s="179" customFormat="1" hidden="1" outlineLevel="1">
      <c r="B1068" s="178">
        <v>1062</v>
      </c>
      <c r="C1068" s="44"/>
      <c r="D1068" s="45"/>
      <c r="E1068" s="39" t="s">
        <v>325</v>
      </c>
      <c r="F1068" s="180" t="s">
        <v>1492</v>
      </c>
      <c r="G1068" s="40" t="s">
        <v>145</v>
      </c>
      <c r="H1068" s="46" t="s">
        <v>146</v>
      </c>
      <c r="I1068" s="51" t="str">
        <f>"0x"&amp;AE_w_WORK!L43</f>
        <v>0x0000</v>
      </c>
      <c r="J1068" s="41">
        <v>40473</v>
      </c>
      <c r="K1068" s="42"/>
    </row>
    <row r="1069" spans="2:11" s="179" customFormat="1" hidden="1" outlineLevel="1">
      <c r="B1069" s="178">
        <v>1063</v>
      </c>
      <c r="C1069" s="44"/>
      <c r="D1069" s="45"/>
      <c r="E1069" s="39" t="s">
        <v>325</v>
      </c>
      <c r="F1069" s="180" t="s">
        <v>1493</v>
      </c>
      <c r="G1069" s="40" t="s">
        <v>147</v>
      </c>
      <c r="H1069" s="46" t="s">
        <v>148</v>
      </c>
      <c r="I1069" s="51" t="str">
        <f>"0x"&amp;AE_w_WORK!L44</f>
        <v>0x0000</v>
      </c>
      <c r="J1069" s="41">
        <v>40473</v>
      </c>
      <c r="K1069" s="42"/>
    </row>
    <row r="1070" spans="2:11" s="179" customFormat="1" hidden="1" outlineLevel="1">
      <c r="B1070" s="178">
        <v>1064</v>
      </c>
      <c r="C1070" s="44"/>
      <c r="D1070" s="45"/>
      <c r="E1070" s="39" t="s">
        <v>325</v>
      </c>
      <c r="F1070" s="180" t="s">
        <v>1494</v>
      </c>
      <c r="G1070" s="40" t="s">
        <v>149</v>
      </c>
      <c r="H1070" s="46" t="s">
        <v>150</v>
      </c>
      <c r="I1070" s="51" t="str">
        <f>"0x"&amp;AE_w_WORK!L45</f>
        <v>0x0000</v>
      </c>
      <c r="J1070" s="41">
        <v>40473</v>
      </c>
      <c r="K1070" s="42"/>
    </row>
    <row r="1071" spans="2:11" s="179" customFormat="1" hidden="1" outlineLevel="1">
      <c r="B1071" s="178">
        <v>1065</v>
      </c>
      <c r="C1071" s="44"/>
      <c r="D1071" s="45"/>
      <c r="E1071" s="39" t="s">
        <v>325</v>
      </c>
      <c r="F1071" s="180" t="s">
        <v>1495</v>
      </c>
      <c r="G1071" s="40" t="s">
        <v>151</v>
      </c>
      <c r="H1071" s="46" t="s">
        <v>152</v>
      </c>
      <c r="I1071" s="51" t="str">
        <f>"0x"&amp;AE_w_WORK!L46</f>
        <v>0x0000</v>
      </c>
      <c r="J1071" s="41">
        <v>40473</v>
      </c>
      <c r="K1071" s="42"/>
    </row>
    <row r="1072" spans="2:11" s="179" customFormat="1" hidden="1" outlineLevel="1">
      <c r="B1072" s="178">
        <v>1066</v>
      </c>
      <c r="C1072" s="44"/>
      <c r="D1072" s="45"/>
      <c r="E1072" s="39" t="s">
        <v>325</v>
      </c>
      <c r="F1072" s="180" t="s">
        <v>1496</v>
      </c>
      <c r="G1072" s="40" t="s">
        <v>153</v>
      </c>
      <c r="H1072" s="46" t="s">
        <v>154</v>
      </c>
      <c r="I1072" s="51" t="str">
        <f>"0x"&amp;AE_w_WORK!L47</f>
        <v>0x0000</v>
      </c>
      <c r="J1072" s="41">
        <v>40473</v>
      </c>
      <c r="K1072" s="42"/>
    </row>
    <row r="1073" spans="2:11" s="179" customFormat="1" hidden="1" outlineLevel="1">
      <c r="B1073" s="178">
        <v>1067</v>
      </c>
      <c r="C1073" s="44"/>
      <c r="D1073" s="45"/>
      <c r="E1073" s="39" t="s">
        <v>325</v>
      </c>
      <c r="F1073" s="180" t="s">
        <v>1497</v>
      </c>
      <c r="G1073" s="40" t="s">
        <v>155</v>
      </c>
      <c r="H1073" s="46" t="s">
        <v>156</v>
      </c>
      <c r="I1073" s="51" t="str">
        <f>"0x"&amp;AE_w_WORK!L48</f>
        <v>0x0000</v>
      </c>
      <c r="J1073" s="41">
        <v>40473</v>
      </c>
      <c r="K1073" s="42"/>
    </row>
    <row r="1074" spans="2:11" s="179" customFormat="1" hidden="1" outlineLevel="1">
      <c r="B1074" s="178">
        <v>1068</v>
      </c>
      <c r="C1074" s="44"/>
      <c r="D1074" s="45"/>
      <c r="E1074" s="39" t="s">
        <v>325</v>
      </c>
      <c r="F1074" s="180" t="s">
        <v>1498</v>
      </c>
      <c r="G1074" s="40" t="s">
        <v>157</v>
      </c>
      <c r="H1074" s="46" t="s">
        <v>158</v>
      </c>
      <c r="I1074" s="51" t="str">
        <f>"0x"&amp;AE_w_WORK!L49</f>
        <v>0x0000</v>
      </c>
      <c r="J1074" s="41">
        <v>40473</v>
      </c>
      <c r="K1074" s="42"/>
    </row>
    <row r="1075" spans="2:11" s="179" customFormat="1" hidden="1" outlineLevel="1">
      <c r="B1075" s="178">
        <v>1069</v>
      </c>
      <c r="C1075" s="44"/>
      <c r="D1075" s="45"/>
      <c r="E1075" s="39" t="s">
        <v>325</v>
      </c>
      <c r="F1075" s="180" t="s">
        <v>1499</v>
      </c>
      <c r="G1075" s="40" t="s">
        <v>159</v>
      </c>
      <c r="H1075" s="46" t="s">
        <v>160</v>
      </c>
      <c r="I1075" s="51" t="str">
        <f>"0x"&amp;AE_w_WORK!L50</f>
        <v>0x0000</v>
      </c>
      <c r="J1075" s="41">
        <v>40473</v>
      </c>
      <c r="K1075" s="42"/>
    </row>
    <row r="1076" spans="2:11" s="179" customFormat="1" hidden="1" outlineLevel="1">
      <c r="B1076" s="178">
        <v>1070</v>
      </c>
      <c r="C1076" s="44"/>
      <c r="D1076" s="45"/>
      <c r="E1076" s="39" t="s">
        <v>325</v>
      </c>
      <c r="F1076" s="180" t="s">
        <v>1500</v>
      </c>
      <c r="G1076" s="40" t="s">
        <v>161</v>
      </c>
      <c r="H1076" s="46" t="s">
        <v>162</v>
      </c>
      <c r="I1076" s="51" t="str">
        <f>"0x"&amp;AE_w_WORK!L51</f>
        <v>0x0010</v>
      </c>
      <c r="J1076" s="41">
        <v>40473</v>
      </c>
      <c r="K1076" s="42"/>
    </row>
    <row r="1077" spans="2:11" s="179" customFormat="1" hidden="1" outlineLevel="1">
      <c r="B1077" s="178">
        <v>1071</v>
      </c>
      <c r="C1077" s="44"/>
      <c r="D1077" s="45"/>
      <c r="E1077" s="39" t="s">
        <v>325</v>
      </c>
      <c r="F1077" s="180" t="s">
        <v>1501</v>
      </c>
      <c r="G1077" s="40" t="s">
        <v>163</v>
      </c>
      <c r="H1077" s="46" t="s">
        <v>164</v>
      </c>
      <c r="I1077" s="51" t="str">
        <f>"0x"&amp;AE_w_WORK!L52</f>
        <v>0x0100</v>
      </c>
      <c r="J1077" s="41">
        <v>40473</v>
      </c>
      <c r="K1077" s="42"/>
    </row>
    <row r="1078" spans="2:11" s="179" customFormat="1" hidden="1" outlineLevel="1">
      <c r="B1078" s="178">
        <v>1072</v>
      </c>
      <c r="C1078" s="44"/>
      <c r="D1078" s="45"/>
      <c r="E1078" s="39" t="s">
        <v>325</v>
      </c>
      <c r="F1078" s="180" t="s">
        <v>1502</v>
      </c>
      <c r="G1078" s="40" t="s">
        <v>165</v>
      </c>
      <c r="H1078" s="46" t="s">
        <v>166</v>
      </c>
      <c r="I1078" s="51" t="str">
        <f>"0x"&amp;AE_w_WORK!L53</f>
        <v>0x0000</v>
      </c>
      <c r="J1078" s="41">
        <v>40473</v>
      </c>
      <c r="K1078" s="42"/>
    </row>
    <row r="1079" spans="2:11" s="179" customFormat="1" hidden="1" outlineLevel="1">
      <c r="B1079" s="178">
        <v>1073</v>
      </c>
      <c r="C1079" s="44"/>
      <c r="D1079" s="45"/>
      <c r="E1079" s="39" t="s">
        <v>325</v>
      </c>
      <c r="F1079" s="180" t="s">
        <v>1503</v>
      </c>
      <c r="G1079" s="40" t="s">
        <v>167</v>
      </c>
      <c r="H1079" s="46" t="s">
        <v>168</v>
      </c>
      <c r="I1079" s="51" t="str">
        <f>"0x"&amp;AE_w_WORK!L54</f>
        <v>0x0000</v>
      </c>
      <c r="J1079" s="41">
        <v>40473</v>
      </c>
      <c r="K1079" s="42"/>
    </row>
    <row r="1080" spans="2:11" s="179" customFormat="1" hidden="1" outlineLevel="1">
      <c r="B1080" s="178">
        <v>1074</v>
      </c>
      <c r="C1080" s="44"/>
      <c r="D1080" s="45"/>
      <c r="E1080" s="39" t="s">
        <v>325</v>
      </c>
      <c r="F1080" s="180" t="s">
        <v>1504</v>
      </c>
      <c r="G1080" s="40" t="s">
        <v>169</v>
      </c>
      <c r="H1080" s="46" t="s">
        <v>170</v>
      </c>
      <c r="I1080" s="51" t="str">
        <f>"0x"&amp;AE_w_WORK!L55</f>
        <v>0x0000</v>
      </c>
      <c r="J1080" s="41">
        <v>40473</v>
      </c>
      <c r="K1080" s="42"/>
    </row>
    <row r="1081" spans="2:11" s="179" customFormat="1" hidden="1" outlineLevel="1">
      <c r="B1081" s="178">
        <v>1075</v>
      </c>
      <c r="C1081" s="44"/>
      <c r="D1081" s="45"/>
      <c r="E1081" s="39" t="s">
        <v>325</v>
      </c>
      <c r="F1081" s="180" t="s">
        <v>1505</v>
      </c>
      <c r="G1081" s="40" t="s">
        <v>171</v>
      </c>
      <c r="H1081" s="46" t="s">
        <v>172</v>
      </c>
      <c r="I1081" s="51" t="str">
        <f>"0x"&amp;AE_w_WORK!L56</f>
        <v>0x0000</v>
      </c>
      <c r="J1081" s="41">
        <v>40473</v>
      </c>
      <c r="K1081" s="42"/>
    </row>
    <row r="1082" spans="2:11" s="179" customFormat="1" hidden="1" outlineLevel="1">
      <c r="B1082" s="178">
        <v>1076</v>
      </c>
      <c r="C1082" s="44"/>
      <c r="D1082" s="45"/>
      <c r="E1082" s="39" t="s">
        <v>325</v>
      </c>
      <c r="F1082" s="180" t="s">
        <v>1506</v>
      </c>
      <c r="G1082" s="40" t="s">
        <v>173</v>
      </c>
      <c r="H1082" s="46" t="s">
        <v>174</v>
      </c>
      <c r="I1082" s="51" t="str">
        <f>"0x"&amp;AE_w_WORK!L57</f>
        <v>0x0000</v>
      </c>
      <c r="J1082" s="41">
        <v>40473</v>
      </c>
      <c r="K1082" s="42"/>
    </row>
    <row r="1083" spans="2:11" s="179" customFormat="1" hidden="1" outlineLevel="1">
      <c r="B1083" s="178">
        <v>1077</v>
      </c>
      <c r="C1083" s="44"/>
      <c r="D1083" s="45"/>
      <c r="E1083" s="39" t="s">
        <v>325</v>
      </c>
      <c r="F1083" s="180" t="s">
        <v>1507</v>
      </c>
      <c r="G1083" s="40" t="s">
        <v>175</v>
      </c>
      <c r="H1083" s="46" t="s">
        <v>176</v>
      </c>
      <c r="I1083" s="51" t="str">
        <f>"0x"&amp;AE_w_WORK!L58</f>
        <v>0x0000</v>
      </c>
      <c r="J1083" s="41">
        <v>40473</v>
      </c>
      <c r="K1083" s="42"/>
    </row>
    <row r="1084" spans="2:11" s="179" customFormat="1" hidden="1" outlineLevel="1">
      <c r="B1084" s="178">
        <v>1078</v>
      </c>
      <c r="C1084" s="44"/>
      <c r="D1084" s="45"/>
      <c r="E1084" s="39" t="s">
        <v>325</v>
      </c>
      <c r="F1084" s="180" t="s">
        <v>1508</v>
      </c>
      <c r="G1084" s="40" t="s">
        <v>177</v>
      </c>
      <c r="H1084" s="46" t="s">
        <v>178</v>
      </c>
      <c r="I1084" s="51" t="str">
        <f>"0x"&amp;AE_w_WORK!L59</f>
        <v>0x0000</v>
      </c>
      <c r="J1084" s="41">
        <v>40473</v>
      </c>
      <c r="K1084" s="42"/>
    </row>
    <row r="1085" spans="2:11" s="179" customFormat="1" hidden="1" outlineLevel="1">
      <c r="B1085" s="178">
        <v>1079</v>
      </c>
      <c r="C1085" s="44"/>
      <c r="D1085" s="45"/>
      <c r="E1085" s="39" t="s">
        <v>325</v>
      </c>
      <c r="F1085" s="180" t="s">
        <v>1509</v>
      </c>
      <c r="G1085" s="40" t="s">
        <v>179</v>
      </c>
      <c r="H1085" s="46" t="s">
        <v>180</v>
      </c>
      <c r="I1085" s="51" t="str">
        <f>"0x"&amp;AE_w_WORK!L60</f>
        <v>0x0000</v>
      </c>
      <c r="J1085" s="41">
        <v>40473</v>
      </c>
      <c r="K1085" s="42"/>
    </row>
    <row r="1086" spans="2:11" s="179" customFormat="1" hidden="1" outlineLevel="1">
      <c r="B1086" s="178">
        <v>1080</v>
      </c>
      <c r="C1086" s="44"/>
      <c r="D1086" s="45"/>
      <c r="E1086" s="39" t="s">
        <v>325</v>
      </c>
      <c r="F1086" s="180" t="s">
        <v>1510</v>
      </c>
      <c r="G1086" s="40" t="s">
        <v>181</v>
      </c>
      <c r="H1086" s="46" t="s">
        <v>182</v>
      </c>
      <c r="I1086" s="51" t="str">
        <f>"0x"&amp;AE_w_WORK!L61</f>
        <v>0x0000</v>
      </c>
      <c r="J1086" s="41">
        <v>40473</v>
      </c>
      <c r="K1086" s="42"/>
    </row>
    <row r="1087" spans="2:11" s="179" customFormat="1" hidden="1" outlineLevel="1">
      <c r="B1087" s="178">
        <v>1081</v>
      </c>
      <c r="C1087" s="44"/>
      <c r="D1087" s="45"/>
      <c r="E1087" s="39" t="s">
        <v>325</v>
      </c>
      <c r="F1087" s="180" t="s">
        <v>1511</v>
      </c>
      <c r="G1087" s="40" t="s">
        <v>183</v>
      </c>
      <c r="H1087" s="46" t="s">
        <v>184</v>
      </c>
      <c r="I1087" s="51" t="str">
        <f>"0x"&amp;AE_w_WORK!L62</f>
        <v>0x0000</v>
      </c>
      <c r="J1087" s="41">
        <v>40473</v>
      </c>
      <c r="K1087" s="42"/>
    </row>
    <row r="1088" spans="2:11" s="179" customFormat="1" hidden="1" outlineLevel="1">
      <c r="B1088" s="178">
        <v>1082</v>
      </c>
      <c r="C1088" s="44"/>
      <c r="D1088" s="45"/>
      <c r="E1088" s="39" t="s">
        <v>325</v>
      </c>
      <c r="F1088" s="180" t="s">
        <v>1512</v>
      </c>
      <c r="G1088" s="40" t="s">
        <v>185</v>
      </c>
      <c r="H1088" s="46" t="s">
        <v>186</v>
      </c>
      <c r="I1088" s="51" t="str">
        <f>"0x"&amp;AE_w_WORK!L63</f>
        <v>0x0000</v>
      </c>
      <c r="J1088" s="41">
        <v>40473</v>
      </c>
      <c r="K1088" s="42"/>
    </row>
    <row r="1089" spans="2:11" s="179" customFormat="1" hidden="1" outlineLevel="1">
      <c r="B1089" s="178">
        <v>1083</v>
      </c>
      <c r="C1089" s="44"/>
      <c r="D1089" s="45"/>
      <c r="E1089" s="39" t="s">
        <v>325</v>
      </c>
      <c r="F1089" s="180" t="s">
        <v>1513</v>
      </c>
      <c r="G1089" s="40" t="s">
        <v>187</v>
      </c>
      <c r="H1089" s="46" t="s">
        <v>188</v>
      </c>
      <c r="I1089" s="51" t="str">
        <f>"0x"&amp;AE_w_WORK!L64</f>
        <v>0x0000</v>
      </c>
      <c r="J1089" s="41">
        <v>40473</v>
      </c>
      <c r="K1089" s="42"/>
    </row>
    <row r="1090" spans="2:11" s="179" customFormat="1" hidden="1" outlineLevel="1">
      <c r="B1090" s="178">
        <v>1084</v>
      </c>
      <c r="C1090" s="44"/>
      <c r="D1090" s="45"/>
      <c r="E1090" s="39" t="s">
        <v>325</v>
      </c>
      <c r="F1090" s="180" t="s">
        <v>1514</v>
      </c>
      <c r="G1090" s="40" t="s">
        <v>189</v>
      </c>
      <c r="H1090" s="46" t="s">
        <v>190</v>
      </c>
      <c r="I1090" s="51" t="str">
        <f>"0x"&amp;AE_w_WORK!L65</f>
        <v>0x0000</v>
      </c>
      <c r="J1090" s="41">
        <v>40473</v>
      </c>
      <c r="K1090" s="42"/>
    </row>
    <row r="1091" spans="2:11" s="179" customFormat="1" hidden="1" outlineLevel="1">
      <c r="B1091" s="178">
        <v>1085</v>
      </c>
      <c r="C1091" s="44"/>
      <c r="D1091" s="45"/>
      <c r="E1091" s="39" t="s">
        <v>325</v>
      </c>
      <c r="F1091" s="180" t="s">
        <v>1515</v>
      </c>
      <c r="G1091" s="40" t="s">
        <v>191</v>
      </c>
      <c r="H1091" s="46" t="s">
        <v>192</v>
      </c>
      <c r="I1091" s="51" t="str">
        <f>"0x"&amp;AE_w_WORK!L66</f>
        <v>0x0000</v>
      </c>
      <c r="J1091" s="41">
        <v>40473</v>
      </c>
      <c r="K1091" s="42"/>
    </row>
    <row r="1092" spans="2:11" s="179" customFormat="1" hidden="1" outlineLevel="1">
      <c r="B1092" s="178">
        <v>1086</v>
      </c>
      <c r="C1092" s="44"/>
      <c r="D1092" s="45"/>
      <c r="E1092" s="39" t="s">
        <v>325</v>
      </c>
      <c r="F1092" s="180" t="s">
        <v>1516</v>
      </c>
      <c r="G1092" s="40" t="s">
        <v>193</v>
      </c>
      <c r="H1092" s="46" t="s">
        <v>194</v>
      </c>
      <c r="I1092" s="51" t="str">
        <f>"0x"&amp;AE_w_WORK!L67</f>
        <v>0x1000</v>
      </c>
      <c r="J1092" s="41">
        <v>40473</v>
      </c>
      <c r="K1092" s="42"/>
    </row>
    <row r="1093" spans="2:11" s="179" customFormat="1" hidden="1" outlineLevel="1">
      <c r="B1093" s="178">
        <v>1087</v>
      </c>
      <c r="C1093" s="44"/>
      <c r="D1093" s="45"/>
      <c r="E1093" s="39" t="s">
        <v>325</v>
      </c>
      <c r="F1093" s="180" t="s">
        <v>1517</v>
      </c>
      <c r="G1093" s="40" t="s">
        <v>195</v>
      </c>
      <c r="H1093" s="46" t="s">
        <v>196</v>
      </c>
      <c r="I1093" s="51" t="str">
        <f>"0x"&amp;AE_w_WORK!L68</f>
        <v>0x0001</v>
      </c>
      <c r="J1093" s="41">
        <v>40473</v>
      </c>
      <c r="K1093" s="42"/>
    </row>
    <row r="1094" spans="2:11" s="179" customFormat="1" hidden="1" outlineLevel="1">
      <c r="B1094" s="178">
        <v>1088</v>
      </c>
      <c r="C1094" s="44"/>
      <c r="D1094" s="45"/>
      <c r="E1094" s="39" t="s">
        <v>325</v>
      </c>
      <c r="F1094" s="180" t="s">
        <v>1518</v>
      </c>
      <c r="G1094" s="40" t="s">
        <v>197</v>
      </c>
      <c r="H1094" s="46" t="s">
        <v>198</v>
      </c>
      <c r="I1094" s="51" t="str">
        <f>"0x"&amp;AE_w_WORK!L69</f>
        <v>0x0000</v>
      </c>
      <c r="J1094" s="41">
        <v>40473</v>
      </c>
      <c r="K1094" s="42"/>
    </row>
    <row r="1095" spans="2:11" s="179" customFormat="1" hidden="1" outlineLevel="1">
      <c r="B1095" s="178">
        <v>1089</v>
      </c>
      <c r="C1095" s="44"/>
      <c r="D1095" s="45"/>
      <c r="E1095" s="39" t="s">
        <v>325</v>
      </c>
      <c r="F1095" s="180" t="s">
        <v>1519</v>
      </c>
      <c r="G1095" s="40" t="s">
        <v>199</v>
      </c>
      <c r="H1095" s="46" t="s">
        <v>200</v>
      </c>
      <c r="I1095" s="51" t="str">
        <f>"0x"&amp;AE_w_WORK!L70</f>
        <v>0x0000</v>
      </c>
      <c r="J1095" s="41">
        <v>40473</v>
      </c>
      <c r="K1095" s="42"/>
    </row>
    <row r="1096" spans="2:11" s="179" customFormat="1" hidden="1" outlineLevel="1">
      <c r="B1096" s="178">
        <v>1090</v>
      </c>
      <c r="C1096" s="44"/>
      <c r="D1096" s="45"/>
      <c r="E1096" s="39" t="s">
        <v>325</v>
      </c>
      <c r="F1096" s="180" t="s">
        <v>1520</v>
      </c>
      <c r="G1096" s="40" t="s">
        <v>201</v>
      </c>
      <c r="H1096" s="46" t="s">
        <v>202</v>
      </c>
      <c r="I1096" s="51" t="str">
        <f>"0x"&amp;AE_w_WORK!L71</f>
        <v>0x0000</v>
      </c>
      <c r="J1096" s="41">
        <v>40473</v>
      </c>
      <c r="K1096" s="42"/>
    </row>
    <row r="1097" spans="2:11" s="179" customFormat="1" hidden="1" outlineLevel="1">
      <c r="B1097" s="178">
        <v>1091</v>
      </c>
      <c r="C1097" s="44"/>
      <c r="D1097" s="45"/>
      <c r="E1097" s="39" t="s">
        <v>325</v>
      </c>
      <c r="F1097" s="180" t="s">
        <v>1521</v>
      </c>
      <c r="G1097" s="40" t="s">
        <v>203</v>
      </c>
      <c r="H1097" s="46" t="s">
        <v>204</v>
      </c>
      <c r="I1097" s="51" t="str">
        <f>"0x"&amp;AE_w_WORK!L72</f>
        <v>0x0000</v>
      </c>
      <c r="J1097" s="41">
        <v>40473</v>
      </c>
      <c r="K1097" s="42"/>
    </row>
    <row r="1098" spans="2:11" s="179" customFormat="1" hidden="1" outlineLevel="1">
      <c r="B1098" s="178">
        <v>1092</v>
      </c>
      <c r="C1098" s="44"/>
      <c r="D1098" s="45"/>
      <c r="E1098" s="39" t="s">
        <v>325</v>
      </c>
      <c r="F1098" s="180" t="s">
        <v>1522</v>
      </c>
      <c r="G1098" s="40" t="s">
        <v>205</v>
      </c>
      <c r="H1098" s="46" t="s">
        <v>206</v>
      </c>
      <c r="I1098" s="51" t="str">
        <f>"0x"&amp;AE_w_WORK!L73</f>
        <v>0x0000</v>
      </c>
      <c r="J1098" s="41">
        <v>40473</v>
      </c>
      <c r="K1098" s="42"/>
    </row>
    <row r="1099" spans="2:11" s="179" customFormat="1" hidden="1" outlineLevel="1">
      <c r="B1099" s="178">
        <v>1093</v>
      </c>
      <c r="C1099" s="44"/>
      <c r="D1099" s="45"/>
      <c r="E1099" s="39" t="s">
        <v>325</v>
      </c>
      <c r="F1099" s="180" t="s">
        <v>1523</v>
      </c>
      <c r="G1099" s="40" t="s">
        <v>207</v>
      </c>
      <c r="H1099" s="46" t="s">
        <v>208</v>
      </c>
      <c r="I1099" s="51" t="str">
        <f>"0x"&amp;AE_w_WORK!L74</f>
        <v>0x0000</v>
      </c>
      <c r="J1099" s="41">
        <v>40473</v>
      </c>
      <c r="K1099" s="42"/>
    </row>
    <row r="1100" spans="2:11" s="179" customFormat="1" hidden="1" outlineLevel="1">
      <c r="B1100" s="178">
        <v>1094</v>
      </c>
      <c r="C1100" s="44"/>
      <c r="D1100" s="45"/>
      <c r="E1100" s="39" t="s">
        <v>325</v>
      </c>
      <c r="F1100" s="180" t="s">
        <v>1524</v>
      </c>
      <c r="G1100" s="40" t="s">
        <v>209</v>
      </c>
      <c r="H1100" s="46" t="s">
        <v>210</v>
      </c>
      <c r="I1100" s="51" t="str">
        <f>"0x"&amp;AE_w_WORK!L75</f>
        <v>0x0000</v>
      </c>
      <c r="J1100" s="41">
        <v>40473</v>
      </c>
      <c r="K1100" s="42"/>
    </row>
    <row r="1101" spans="2:11" s="179" customFormat="1" hidden="1" outlineLevel="1">
      <c r="B1101" s="178">
        <v>1095</v>
      </c>
      <c r="C1101" s="44"/>
      <c r="D1101" s="45"/>
      <c r="E1101" s="39" t="s">
        <v>325</v>
      </c>
      <c r="F1101" s="180" t="s">
        <v>1525</v>
      </c>
      <c r="G1101" s="40" t="s">
        <v>211</v>
      </c>
      <c r="H1101" s="46" t="s">
        <v>212</v>
      </c>
      <c r="I1101" s="51" t="str">
        <f>"0x"&amp;AE_w_WORK!L76</f>
        <v>0x0000</v>
      </c>
      <c r="J1101" s="41">
        <v>40473</v>
      </c>
      <c r="K1101" s="42"/>
    </row>
    <row r="1102" spans="2:11" s="179" customFormat="1" hidden="1" outlineLevel="1">
      <c r="B1102" s="178">
        <v>1096</v>
      </c>
      <c r="C1102" s="44"/>
      <c r="D1102" s="45"/>
      <c r="E1102" s="39" t="s">
        <v>325</v>
      </c>
      <c r="F1102" s="180" t="s">
        <v>1526</v>
      </c>
      <c r="G1102" s="40" t="s">
        <v>213</v>
      </c>
      <c r="H1102" s="46" t="s">
        <v>214</v>
      </c>
      <c r="I1102" s="51" t="str">
        <f>"0x"&amp;AE_w_WORK!L77</f>
        <v>0x0000</v>
      </c>
      <c r="J1102" s="41">
        <v>40473</v>
      </c>
      <c r="K1102" s="42"/>
    </row>
    <row r="1103" spans="2:11" s="179" customFormat="1" hidden="1" outlineLevel="1">
      <c r="B1103" s="178">
        <v>1097</v>
      </c>
      <c r="C1103" s="44"/>
      <c r="D1103" s="45"/>
      <c r="E1103" s="39" t="s">
        <v>325</v>
      </c>
      <c r="F1103" s="180" t="s">
        <v>1527</v>
      </c>
      <c r="G1103" s="40" t="s">
        <v>215</v>
      </c>
      <c r="H1103" s="46" t="s">
        <v>216</v>
      </c>
      <c r="I1103" s="51" t="str">
        <f>"0x"&amp;AE_w_WORK!L78</f>
        <v>0x0000</v>
      </c>
      <c r="J1103" s="41">
        <v>40473</v>
      </c>
      <c r="K1103" s="42"/>
    </row>
    <row r="1104" spans="2:11" s="179" customFormat="1" hidden="1" outlineLevel="1">
      <c r="B1104" s="178">
        <v>1098</v>
      </c>
      <c r="C1104" s="44"/>
      <c r="D1104" s="45"/>
      <c r="E1104" s="39" t="s">
        <v>325</v>
      </c>
      <c r="F1104" s="180" t="s">
        <v>1528</v>
      </c>
      <c r="G1104" s="40" t="s">
        <v>217</v>
      </c>
      <c r="H1104" s="46" t="s">
        <v>218</v>
      </c>
      <c r="I1104" s="51" t="str">
        <f>"0x"&amp;AE_w_WORK!L79</f>
        <v>0x0000</v>
      </c>
      <c r="J1104" s="41">
        <v>40473</v>
      </c>
      <c r="K1104" s="42"/>
    </row>
    <row r="1105" spans="2:11" s="179" customFormat="1" hidden="1" outlineLevel="1">
      <c r="B1105" s="178">
        <v>1099</v>
      </c>
      <c r="C1105" s="44"/>
      <c r="D1105" s="45"/>
      <c r="E1105" s="39" t="s">
        <v>325</v>
      </c>
      <c r="F1105" s="180" t="s">
        <v>1529</v>
      </c>
      <c r="G1105" s="40" t="s">
        <v>219</v>
      </c>
      <c r="H1105" s="46" t="s">
        <v>220</v>
      </c>
      <c r="I1105" s="51" t="str">
        <f>"0x"&amp;AE_w_WORK!L80</f>
        <v>0x0000</v>
      </c>
      <c r="J1105" s="41">
        <v>40473</v>
      </c>
      <c r="K1105" s="42"/>
    </row>
    <row r="1106" spans="2:11" s="179" customFormat="1" hidden="1" outlineLevel="1">
      <c r="B1106" s="178">
        <v>1100</v>
      </c>
      <c r="C1106" s="44"/>
      <c r="D1106" s="45"/>
      <c r="E1106" s="39" t="s">
        <v>325</v>
      </c>
      <c r="F1106" s="180" t="s">
        <v>1530</v>
      </c>
      <c r="G1106" s="40" t="s">
        <v>221</v>
      </c>
      <c r="H1106" s="46" t="s">
        <v>222</v>
      </c>
      <c r="I1106" s="51" t="str">
        <f>"0x"&amp;AE_w_WORK!L81</f>
        <v>0x0000</v>
      </c>
      <c r="J1106" s="41">
        <v>40473</v>
      </c>
      <c r="K1106" s="42"/>
    </row>
    <row r="1107" spans="2:11" s="179" customFormat="1" hidden="1" outlineLevel="1">
      <c r="B1107" s="178">
        <v>1101</v>
      </c>
      <c r="C1107" s="44"/>
      <c r="D1107" s="45"/>
      <c r="E1107" s="39" t="s">
        <v>325</v>
      </c>
      <c r="F1107" s="180" t="s">
        <v>1531</v>
      </c>
      <c r="G1107" s="40" t="s">
        <v>223</v>
      </c>
      <c r="H1107" s="46" t="s">
        <v>224</v>
      </c>
      <c r="I1107" s="51" t="str">
        <f>"0x"&amp;AE_w_WORK!L82</f>
        <v>0x0010</v>
      </c>
      <c r="J1107" s="41">
        <v>40473</v>
      </c>
      <c r="K1107" s="42"/>
    </row>
    <row r="1108" spans="2:11" s="179" customFormat="1" hidden="1" outlineLevel="1">
      <c r="B1108" s="178">
        <v>1102</v>
      </c>
      <c r="C1108" s="44"/>
      <c r="D1108" s="45"/>
      <c r="E1108" s="39" t="s">
        <v>325</v>
      </c>
      <c r="F1108" s="180" t="s">
        <v>1532</v>
      </c>
      <c r="G1108" s="40" t="s">
        <v>225</v>
      </c>
      <c r="H1108" s="46" t="s">
        <v>226</v>
      </c>
      <c r="I1108" s="51" t="str">
        <f>"0x"&amp;AE_w_WORK!L83</f>
        <v>0x0010</v>
      </c>
      <c r="J1108" s="41">
        <v>40473</v>
      </c>
      <c r="K1108" s="42"/>
    </row>
    <row r="1109" spans="2:11" s="179" customFormat="1" hidden="1" outlineLevel="1">
      <c r="B1109" s="178">
        <v>1103</v>
      </c>
      <c r="C1109" s="44"/>
      <c r="D1109" s="45"/>
      <c r="E1109" s="39" t="s">
        <v>325</v>
      </c>
      <c r="F1109" s="180" t="s">
        <v>1533</v>
      </c>
      <c r="G1109" s="40" t="s">
        <v>227</v>
      </c>
      <c r="H1109" s="46" t="s">
        <v>228</v>
      </c>
      <c r="I1109" s="51" t="str">
        <f>"0x"&amp;AE_w_WORK!L84</f>
        <v>0x0100</v>
      </c>
      <c r="J1109" s="41">
        <v>40473</v>
      </c>
      <c r="K1109" s="42"/>
    </row>
    <row r="1110" spans="2:11" s="179" customFormat="1" hidden="1" outlineLevel="1">
      <c r="B1110" s="178">
        <v>1104</v>
      </c>
      <c r="C1110" s="44"/>
      <c r="D1110" s="45"/>
      <c r="E1110" s="39" t="s">
        <v>325</v>
      </c>
      <c r="F1110" s="180" t="s">
        <v>1534</v>
      </c>
      <c r="G1110" s="40" t="s">
        <v>229</v>
      </c>
      <c r="H1110" s="46" t="s">
        <v>230</v>
      </c>
      <c r="I1110" s="51" t="str">
        <f>"0x"&amp;AE_w_WORK!L85</f>
        <v>0x0100</v>
      </c>
      <c r="J1110" s="41">
        <v>40473</v>
      </c>
      <c r="K1110" s="42"/>
    </row>
    <row r="1111" spans="2:11" s="179" customFormat="1" hidden="1" outlineLevel="1">
      <c r="B1111" s="178">
        <v>1105</v>
      </c>
      <c r="C1111" s="44"/>
      <c r="D1111" s="45"/>
      <c r="E1111" s="39" t="s">
        <v>325</v>
      </c>
      <c r="F1111" s="180" t="s">
        <v>1535</v>
      </c>
      <c r="G1111" s="40" t="s">
        <v>231</v>
      </c>
      <c r="H1111" s="46" t="s">
        <v>232</v>
      </c>
      <c r="I1111" s="51" t="str">
        <f>"0x"&amp;AE_w_WORK!L86</f>
        <v>0x0000</v>
      </c>
      <c r="J1111" s="41">
        <v>40473</v>
      </c>
      <c r="K1111" s="42"/>
    </row>
    <row r="1112" spans="2:11" s="179" customFormat="1" hidden="1" outlineLevel="1">
      <c r="B1112" s="178">
        <v>1106</v>
      </c>
      <c r="C1112" s="44"/>
      <c r="D1112" s="45"/>
      <c r="E1112" s="39" t="s">
        <v>325</v>
      </c>
      <c r="F1112" s="180" t="s">
        <v>1536</v>
      </c>
      <c r="G1112" s="40" t="s">
        <v>233</v>
      </c>
      <c r="H1112" s="46" t="s">
        <v>234</v>
      </c>
      <c r="I1112" s="51" t="str">
        <f>"0x"&amp;AE_w_WORK!L87</f>
        <v>0x0000</v>
      </c>
      <c r="J1112" s="41">
        <v>40473</v>
      </c>
      <c r="K1112" s="42"/>
    </row>
    <row r="1113" spans="2:11" s="179" customFormat="1" hidden="1" outlineLevel="1">
      <c r="B1113" s="178">
        <v>1107</v>
      </c>
      <c r="C1113" s="44"/>
      <c r="D1113" s="45"/>
      <c r="E1113" s="39" t="s">
        <v>325</v>
      </c>
      <c r="F1113" s="180" t="s">
        <v>1537</v>
      </c>
      <c r="G1113" s="40" t="s">
        <v>235</v>
      </c>
      <c r="H1113" s="46" t="s">
        <v>236</v>
      </c>
      <c r="I1113" s="51" t="str">
        <f>"0x"&amp;AE_w_WORK!L88</f>
        <v>0x0000</v>
      </c>
      <c r="J1113" s="41">
        <v>40473</v>
      </c>
      <c r="K1113" s="42"/>
    </row>
    <row r="1114" spans="2:11" s="179" customFormat="1" hidden="1" outlineLevel="1">
      <c r="B1114" s="178">
        <v>1108</v>
      </c>
      <c r="C1114" s="44"/>
      <c r="D1114" s="45"/>
      <c r="E1114" s="39" t="s">
        <v>325</v>
      </c>
      <c r="F1114" s="180" t="s">
        <v>1538</v>
      </c>
      <c r="G1114" s="40" t="s">
        <v>237</v>
      </c>
      <c r="H1114" s="46" t="s">
        <v>238</v>
      </c>
      <c r="I1114" s="51" t="str">
        <f>"0x"&amp;AE_w_WORK!L89</f>
        <v>0x0000</v>
      </c>
      <c r="J1114" s="41">
        <v>40473</v>
      </c>
      <c r="K1114" s="42"/>
    </row>
    <row r="1115" spans="2:11" s="179" customFormat="1" hidden="1" outlineLevel="1">
      <c r="B1115" s="178">
        <v>1109</v>
      </c>
      <c r="C1115" s="44"/>
      <c r="D1115" s="45"/>
      <c r="E1115" s="39" t="s">
        <v>325</v>
      </c>
      <c r="F1115" s="180" t="s">
        <v>1539</v>
      </c>
      <c r="G1115" s="40" t="s">
        <v>239</v>
      </c>
      <c r="H1115" s="46" t="s">
        <v>240</v>
      </c>
      <c r="I1115" s="51" t="str">
        <f>"0x"&amp;AE_w_WORK!L90</f>
        <v>0x0000</v>
      </c>
      <c r="J1115" s="41">
        <v>40473</v>
      </c>
      <c r="K1115" s="42"/>
    </row>
    <row r="1116" spans="2:11" s="179" customFormat="1" hidden="1" outlineLevel="1">
      <c r="B1116" s="178">
        <v>1110</v>
      </c>
      <c r="C1116" s="44"/>
      <c r="D1116" s="45"/>
      <c r="E1116" s="39" t="s">
        <v>325</v>
      </c>
      <c r="F1116" s="180" t="s">
        <v>1540</v>
      </c>
      <c r="G1116" s="40" t="s">
        <v>241</v>
      </c>
      <c r="H1116" s="46" t="s">
        <v>242</v>
      </c>
      <c r="I1116" s="51" t="str">
        <f>"0x"&amp;AE_w_WORK!L91</f>
        <v>0x0000</v>
      </c>
      <c r="J1116" s="41">
        <v>40473</v>
      </c>
      <c r="K1116" s="42"/>
    </row>
    <row r="1117" spans="2:11" s="179" customFormat="1" hidden="1" outlineLevel="1">
      <c r="B1117" s="178">
        <v>1111</v>
      </c>
      <c r="C1117" s="44"/>
      <c r="D1117" s="45"/>
      <c r="E1117" s="39" t="s">
        <v>325</v>
      </c>
      <c r="F1117" s="180" t="s">
        <v>1541</v>
      </c>
      <c r="G1117" s="40" t="s">
        <v>243</v>
      </c>
      <c r="H1117" s="46" t="s">
        <v>244</v>
      </c>
      <c r="I1117" s="51" t="str">
        <f>"0x"&amp;AE_w_WORK!L92</f>
        <v>0x0000</v>
      </c>
      <c r="J1117" s="41">
        <v>40473</v>
      </c>
      <c r="K1117" s="42"/>
    </row>
    <row r="1118" spans="2:11" s="179" customFormat="1" hidden="1" outlineLevel="1">
      <c r="B1118" s="178">
        <v>1112</v>
      </c>
      <c r="C1118" s="44"/>
      <c r="D1118" s="45"/>
      <c r="E1118" s="39" t="s">
        <v>325</v>
      </c>
      <c r="F1118" s="180" t="s">
        <v>1542</v>
      </c>
      <c r="G1118" s="40" t="s">
        <v>245</v>
      </c>
      <c r="H1118" s="46" t="s">
        <v>246</v>
      </c>
      <c r="I1118" s="51" t="str">
        <f>"0x"&amp;AE_w_WORK!L93</f>
        <v>0x0000</v>
      </c>
      <c r="J1118" s="41">
        <v>40473</v>
      </c>
      <c r="K1118" s="42"/>
    </row>
    <row r="1119" spans="2:11" s="179" customFormat="1" hidden="1" outlineLevel="1">
      <c r="B1119" s="178">
        <v>1113</v>
      </c>
      <c r="C1119" s="44"/>
      <c r="D1119" s="45"/>
      <c r="E1119" s="39" t="s">
        <v>325</v>
      </c>
      <c r="F1119" s="180" t="s">
        <v>1543</v>
      </c>
      <c r="G1119" s="40" t="s">
        <v>247</v>
      </c>
      <c r="H1119" s="46" t="s">
        <v>248</v>
      </c>
      <c r="I1119" s="51" t="str">
        <f>"0x"&amp;AE_w_WORK!L94</f>
        <v>0x0000</v>
      </c>
      <c r="J1119" s="41">
        <v>40473</v>
      </c>
      <c r="K1119" s="42"/>
    </row>
    <row r="1120" spans="2:11" s="179" customFormat="1" hidden="1" outlineLevel="1">
      <c r="B1120" s="178">
        <v>1114</v>
      </c>
      <c r="C1120" s="44"/>
      <c r="D1120" s="45"/>
      <c r="E1120" s="39" t="s">
        <v>325</v>
      </c>
      <c r="F1120" s="180" t="s">
        <v>1544</v>
      </c>
      <c r="G1120" s="40" t="s">
        <v>249</v>
      </c>
      <c r="H1120" s="46" t="s">
        <v>250</v>
      </c>
      <c r="I1120" s="51" t="str">
        <f>"0x"&amp;AE_w_WORK!L95</f>
        <v>0x0000</v>
      </c>
      <c r="J1120" s="41">
        <v>40473</v>
      </c>
      <c r="K1120" s="42"/>
    </row>
    <row r="1121" spans="2:11" s="179" customFormat="1" hidden="1" outlineLevel="1">
      <c r="B1121" s="178">
        <v>1115</v>
      </c>
      <c r="C1121" s="44"/>
      <c r="D1121" s="45"/>
      <c r="E1121" s="39" t="s">
        <v>325</v>
      </c>
      <c r="F1121" s="180" t="s">
        <v>1545</v>
      </c>
      <c r="G1121" s="40" t="s">
        <v>251</v>
      </c>
      <c r="H1121" s="46" t="s">
        <v>252</v>
      </c>
      <c r="I1121" s="51" t="str">
        <f>"0x"&amp;AE_w_WORK!L96</f>
        <v>0x0000</v>
      </c>
      <c r="J1121" s="41">
        <v>40473</v>
      </c>
      <c r="K1121" s="42"/>
    </row>
    <row r="1122" spans="2:11" s="179" customFormat="1" hidden="1" outlineLevel="1">
      <c r="B1122" s="178">
        <v>1116</v>
      </c>
      <c r="C1122" s="44"/>
      <c r="D1122" s="45"/>
      <c r="E1122" s="39" t="s">
        <v>325</v>
      </c>
      <c r="F1122" s="180" t="s">
        <v>1546</v>
      </c>
      <c r="G1122" s="40" t="s">
        <v>253</v>
      </c>
      <c r="H1122" s="46" t="s">
        <v>254</v>
      </c>
      <c r="I1122" s="51" t="str">
        <f>"0x"&amp;AE_w_WORK!L97</f>
        <v>0x0000</v>
      </c>
      <c r="J1122" s="41">
        <v>40473</v>
      </c>
      <c r="K1122" s="42"/>
    </row>
    <row r="1123" spans="2:11" s="179" customFormat="1" hidden="1" outlineLevel="1">
      <c r="B1123" s="178">
        <v>1117</v>
      </c>
      <c r="C1123" s="44"/>
      <c r="D1123" s="45"/>
      <c r="E1123" s="39" t="s">
        <v>325</v>
      </c>
      <c r="F1123" s="180" t="s">
        <v>1547</v>
      </c>
      <c r="G1123" s="40" t="s">
        <v>255</v>
      </c>
      <c r="H1123" s="46" t="s">
        <v>256</v>
      </c>
      <c r="I1123" s="51" t="str">
        <f>"0x"&amp;AE_w_WORK!L98</f>
        <v>0x0000</v>
      </c>
      <c r="J1123" s="41">
        <v>40473</v>
      </c>
      <c r="K1123" s="42"/>
    </row>
    <row r="1124" spans="2:11" s="179" customFormat="1" hidden="1" outlineLevel="1">
      <c r="B1124" s="178">
        <v>1118</v>
      </c>
      <c r="C1124" s="44"/>
      <c r="D1124" s="45"/>
      <c r="E1124" s="39" t="s">
        <v>325</v>
      </c>
      <c r="F1124" s="180" t="s">
        <v>1548</v>
      </c>
      <c r="G1124" s="40" t="s">
        <v>257</v>
      </c>
      <c r="H1124" s="46" t="s">
        <v>258</v>
      </c>
      <c r="I1124" s="51" t="str">
        <f>"0x"&amp;AE_w_WORK!L99</f>
        <v>0x0010</v>
      </c>
      <c r="J1124" s="41">
        <v>40473</v>
      </c>
      <c r="K1124" s="42"/>
    </row>
    <row r="1125" spans="2:11" s="179" customFormat="1" hidden="1" outlineLevel="1">
      <c r="B1125" s="178">
        <v>1119</v>
      </c>
      <c r="C1125" s="44"/>
      <c r="D1125" s="45"/>
      <c r="E1125" s="39" t="s">
        <v>325</v>
      </c>
      <c r="F1125" s="180" t="s">
        <v>1549</v>
      </c>
      <c r="G1125" s="40" t="s">
        <v>259</v>
      </c>
      <c r="H1125" s="46" t="s">
        <v>260</v>
      </c>
      <c r="I1125" s="51" t="str">
        <f>"0x"&amp;AE_w_WORK!L100</f>
        <v>0x0100</v>
      </c>
      <c r="J1125" s="41">
        <v>40473</v>
      </c>
      <c r="K1125" s="42"/>
    </row>
    <row r="1126" spans="2:11" s="179" customFormat="1" hidden="1" outlineLevel="1">
      <c r="B1126" s="178">
        <v>1120</v>
      </c>
      <c r="C1126" s="44"/>
      <c r="D1126" s="45"/>
      <c r="E1126" s="39" t="s">
        <v>325</v>
      </c>
      <c r="F1126" s="180" t="s">
        <v>1550</v>
      </c>
      <c r="G1126" s="40" t="s">
        <v>261</v>
      </c>
      <c r="H1126" s="46" t="s">
        <v>262</v>
      </c>
      <c r="I1126" s="51" t="str">
        <f>"0x"&amp;AE_w_WORK!L101</f>
        <v>0x0000</v>
      </c>
      <c r="J1126" s="41">
        <v>40473</v>
      </c>
      <c r="K1126" s="42"/>
    </row>
    <row r="1127" spans="2:11" s="179" customFormat="1" hidden="1" outlineLevel="1">
      <c r="B1127" s="178">
        <v>1121</v>
      </c>
      <c r="C1127" s="44"/>
      <c r="D1127" s="45"/>
      <c r="E1127" s="39" t="s">
        <v>325</v>
      </c>
      <c r="F1127" s="180" t="s">
        <v>1551</v>
      </c>
      <c r="G1127" s="40" t="s">
        <v>263</v>
      </c>
      <c r="H1127" s="46" t="s">
        <v>81</v>
      </c>
      <c r="I1127" s="51" t="str">
        <f>"0x"&amp;AE_w_WORK!L102</f>
        <v>0x0000</v>
      </c>
      <c r="J1127" s="41">
        <v>40473</v>
      </c>
      <c r="K1127" s="42"/>
    </row>
    <row r="1128" spans="2:11" s="179" customFormat="1" hidden="1" outlineLevel="1">
      <c r="B1128" s="178">
        <v>1122</v>
      </c>
      <c r="C1128" s="44"/>
      <c r="D1128" s="45"/>
      <c r="E1128" s="39" t="s">
        <v>325</v>
      </c>
      <c r="F1128" s="180" t="s">
        <v>1552</v>
      </c>
      <c r="G1128" s="40" t="s">
        <v>82</v>
      </c>
      <c r="H1128" s="46" t="s">
        <v>83</v>
      </c>
      <c r="I1128" s="51" t="str">
        <f>"0x"&amp;AE_w_WORK!L103</f>
        <v>0x0000</v>
      </c>
      <c r="J1128" s="41">
        <v>40473</v>
      </c>
      <c r="K1128" s="42"/>
    </row>
    <row r="1129" spans="2:11" s="179" customFormat="1" hidden="1" outlineLevel="1">
      <c r="B1129" s="178">
        <v>1123</v>
      </c>
      <c r="C1129" s="44"/>
      <c r="D1129" s="45"/>
      <c r="E1129" s="39" t="s">
        <v>325</v>
      </c>
      <c r="F1129" s="180" t="s">
        <v>1553</v>
      </c>
      <c r="G1129" s="40" t="s">
        <v>84</v>
      </c>
      <c r="H1129" s="46" t="s">
        <v>85</v>
      </c>
      <c r="I1129" s="51" t="str">
        <f>"0x"&amp;AE_w_WORK!L104</f>
        <v>0x0000</v>
      </c>
      <c r="J1129" s="41">
        <v>40473</v>
      </c>
      <c r="K1129" s="42"/>
    </row>
    <row r="1130" spans="2:11" s="179" customFormat="1" hidden="1" outlineLevel="1">
      <c r="B1130" s="178">
        <v>1124</v>
      </c>
      <c r="C1130" s="44"/>
      <c r="D1130" s="45"/>
      <c r="E1130" s="39" t="s">
        <v>325</v>
      </c>
      <c r="F1130" s="180" t="s">
        <v>1554</v>
      </c>
      <c r="G1130" s="40" t="s">
        <v>86</v>
      </c>
      <c r="H1130" s="46" t="s">
        <v>87</v>
      </c>
      <c r="I1130" s="51" t="str">
        <f>"0x"&amp;AE_w_WORK!L105</f>
        <v>0x0000</v>
      </c>
      <c r="J1130" s="41">
        <v>40473</v>
      </c>
      <c r="K1130" s="42"/>
    </row>
    <row r="1131" spans="2:11" s="179" customFormat="1" hidden="1" outlineLevel="1">
      <c r="B1131" s="178">
        <v>1125</v>
      </c>
      <c r="C1131" s="44"/>
      <c r="D1131" s="45"/>
      <c r="E1131" s="39" t="s">
        <v>325</v>
      </c>
      <c r="F1131" s="180" t="s">
        <v>1555</v>
      </c>
      <c r="G1131" s="40" t="s">
        <v>88</v>
      </c>
      <c r="H1131" s="46" t="s">
        <v>89</v>
      </c>
      <c r="I1131" s="51" t="str">
        <f>"0x"&amp;AE_w_WORK!L106</f>
        <v>0x0000</v>
      </c>
      <c r="J1131" s="41">
        <v>40473</v>
      </c>
      <c r="K1131" s="42"/>
    </row>
    <row r="1132" spans="2:11" s="179" customFormat="1" hidden="1" outlineLevel="1">
      <c r="B1132" s="178">
        <v>1126</v>
      </c>
      <c r="C1132" s="44"/>
      <c r="D1132" s="45"/>
      <c r="E1132" s="39" t="s">
        <v>325</v>
      </c>
      <c r="F1132" s="180" t="s">
        <v>1556</v>
      </c>
      <c r="G1132" s="40" t="s">
        <v>90</v>
      </c>
      <c r="H1132" s="46" t="s">
        <v>91</v>
      </c>
      <c r="I1132" s="51" t="str">
        <f>"0x"&amp;AE_w_WORK!L107</f>
        <v>0x0000</v>
      </c>
      <c r="J1132" s="41">
        <v>40473</v>
      </c>
      <c r="K1132" s="42"/>
    </row>
    <row r="1133" spans="2:11" s="179" customFormat="1" hidden="1" outlineLevel="1">
      <c r="B1133" s="178">
        <v>1127</v>
      </c>
      <c r="C1133" s="44"/>
      <c r="D1133" s="45"/>
      <c r="E1133" s="39" t="s">
        <v>325</v>
      </c>
      <c r="F1133" s="180" t="s">
        <v>1557</v>
      </c>
      <c r="G1133" s="40" t="s">
        <v>92</v>
      </c>
      <c r="H1133" s="46" t="s">
        <v>93</v>
      </c>
      <c r="I1133" s="51" t="str">
        <f>"0x"&amp;AE_w_WORK!L108</f>
        <v>0x0000</v>
      </c>
      <c r="J1133" s="41">
        <v>40473</v>
      </c>
      <c r="K1133" s="42"/>
    </row>
    <row r="1134" spans="2:11" s="179" customFormat="1" hidden="1" outlineLevel="1">
      <c r="B1134" s="178">
        <v>1128</v>
      </c>
      <c r="C1134" s="44"/>
      <c r="D1134" s="45"/>
      <c r="E1134" s="39" t="s">
        <v>325</v>
      </c>
      <c r="F1134" s="180" t="s">
        <v>1558</v>
      </c>
      <c r="G1134" s="40" t="s">
        <v>94</v>
      </c>
      <c r="H1134" s="46" t="s">
        <v>95</v>
      </c>
      <c r="I1134" s="51" t="str">
        <f>"0x"&amp;AE_w_WORK!L109</f>
        <v>0x0000</v>
      </c>
      <c r="J1134" s="41">
        <v>40473</v>
      </c>
      <c r="K1134" s="42"/>
    </row>
    <row r="1135" spans="2:11" s="179" customFormat="1" hidden="1" outlineLevel="1">
      <c r="B1135" s="178">
        <v>1129</v>
      </c>
      <c r="C1135" s="44"/>
      <c r="D1135" s="45"/>
      <c r="E1135" s="39" t="s">
        <v>325</v>
      </c>
      <c r="F1135" s="180" t="s">
        <v>1559</v>
      </c>
      <c r="G1135" s="40" t="s">
        <v>96</v>
      </c>
      <c r="H1135" s="46" t="s">
        <v>97</v>
      </c>
      <c r="I1135" s="51" t="str">
        <f>"0x"&amp;AE_w_WORK!L110</f>
        <v>0x0000</v>
      </c>
      <c r="J1135" s="41">
        <v>40473</v>
      </c>
      <c r="K1135" s="42"/>
    </row>
    <row r="1136" spans="2:11" s="179" customFormat="1" hidden="1" outlineLevel="1">
      <c r="B1136" s="178">
        <v>1130</v>
      </c>
      <c r="C1136" s="44"/>
      <c r="D1136" s="45"/>
      <c r="E1136" s="39" t="s">
        <v>325</v>
      </c>
      <c r="F1136" s="180" t="s">
        <v>1560</v>
      </c>
      <c r="G1136" s="40" t="s">
        <v>98</v>
      </c>
      <c r="H1136" s="46" t="s">
        <v>99</v>
      </c>
      <c r="I1136" s="51" t="str">
        <f>"0x"&amp;AE_w_WORK!L111</f>
        <v>0x0000</v>
      </c>
      <c r="J1136" s="41">
        <v>40473</v>
      </c>
      <c r="K1136" s="42"/>
    </row>
    <row r="1137" spans="2:11" s="179" customFormat="1" hidden="1" outlineLevel="1">
      <c r="B1137" s="178">
        <v>1131</v>
      </c>
      <c r="C1137" s="44"/>
      <c r="D1137" s="45"/>
      <c r="E1137" s="39" t="s">
        <v>325</v>
      </c>
      <c r="F1137" s="180" t="s">
        <v>1561</v>
      </c>
      <c r="G1137" s="40" t="s">
        <v>100</v>
      </c>
      <c r="H1137" s="46" t="s">
        <v>101</v>
      </c>
      <c r="I1137" s="51" t="str">
        <f>"0x"&amp;AE_w_WORK!L112</f>
        <v>0x0000</v>
      </c>
      <c r="J1137" s="41">
        <v>40473</v>
      </c>
      <c r="K1137" s="42"/>
    </row>
    <row r="1138" spans="2:11" s="179" customFormat="1" hidden="1" outlineLevel="1">
      <c r="B1138" s="178">
        <v>1132</v>
      </c>
      <c r="C1138" s="44"/>
      <c r="D1138" s="45"/>
      <c r="E1138" s="39" t="s">
        <v>325</v>
      </c>
      <c r="F1138" s="180" t="s">
        <v>1562</v>
      </c>
      <c r="G1138" s="40" t="s">
        <v>102</v>
      </c>
      <c r="H1138" s="46" t="s">
        <v>103</v>
      </c>
      <c r="I1138" s="51" t="str">
        <f>"0x"&amp;AE_w_WORK!L113</f>
        <v>0x0000</v>
      </c>
      <c r="J1138" s="41">
        <v>40473</v>
      </c>
      <c r="K1138" s="42"/>
    </row>
    <row r="1139" spans="2:11" s="179" customFormat="1" hidden="1" outlineLevel="1">
      <c r="B1139" s="178">
        <v>1133</v>
      </c>
      <c r="C1139" s="44"/>
      <c r="D1139" s="45"/>
      <c r="E1139" s="39" t="s">
        <v>325</v>
      </c>
      <c r="F1139" s="180" t="s">
        <v>1563</v>
      </c>
      <c r="G1139" s="40" t="s">
        <v>104</v>
      </c>
      <c r="H1139" s="46" t="s">
        <v>105</v>
      </c>
      <c r="I1139" s="51" t="str">
        <f>"0x"&amp;AE_w_WORK!L114</f>
        <v>0x0000</v>
      </c>
      <c r="J1139" s="41">
        <v>40473</v>
      </c>
      <c r="K1139" s="42"/>
    </row>
    <row r="1140" spans="2:11" s="179" customFormat="1" hidden="1" outlineLevel="1">
      <c r="B1140" s="178">
        <v>1134</v>
      </c>
      <c r="C1140" s="44"/>
      <c r="D1140" s="45"/>
      <c r="E1140" s="39" t="s">
        <v>325</v>
      </c>
      <c r="F1140" s="180" t="s">
        <v>1564</v>
      </c>
      <c r="G1140" s="40" t="s">
        <v>106</v>
      </c>
      <c r="H1140" s="46" t="s">
        <v>107</v>
      </c>
      <c r="I1140" s="51" t="str">
        <f>"0x"&amp;AE_w_WORK!L115</f>
        <v>0x0010</v>
      </c>
      <c r="J1140" s="41">
        <v>40473</v>
      </c>
      <c r="K1140" s="42"/>
    </row>
    <row r="1141" spans="2:11" s="179" customFormat="1" hidden="1" outlineLevel="1">
      <c r="B1141" s="178">
        <v>1135</v>
      </c>
      <c r="C1141" s="44"/>
      <c r="D1141" s="45"/>
      <c r="E1141" s="39" t="s">
        <v>325</v>
      </c>
      <c r="F1141" s="180" t="s">
        <v>1565</v>
      </c>
      <c r="G1141" s="40" t="s">
        <v>108</v>
      </c>
      <c r="H1141" s="46" t="s">
        <v>109</v>
      </c>
      <c r="I1141" s="51" t="str">
        <f>"0x"&amp;AE_w_WORK!L116</f>
        <v>0x0100</v>
      </c>
      <c r="J1141" s="41">
        <v>40473</v>
      </c>
      <c r="K1141" s="42"/>
    </row>
    <row r="1142" spans="2:11" s="179" customFormat="1" hidden="1" outlineLevel="1">
      <c r="B1142" s="178">
        <v>1136</v>
      </c>
      <c r="C1142" s="44"/>
      <c r="D1142" s="45"/>
      <c r="E1142" s="39" t="s">
        <v>325</v>
      </c>
      <c r="F1142" s="180" t="s">
        <v>1566</v>
      </c>
      <c r="G1142" s="40" t="s">
        <v>110</v>
      </c>
      <c r="H1142" s="46" t="s">
        <v>111</v>
      </c>
      <c r="I1142" s="51" t="str">
        <f>"0x"&amp;AE_w_WORK!L117</f>
        <v>0x0000</v>
      </c>
      <c r="J1142" s="41">
        <v>40473</v>
      </c>
      <c r="K1142" s="42"/>
    </row>
    <row r="1143" spans="2:11" s="179" customFormat="1" hidden="1" outlineLevel="1">
      <c r="B1143" s="178">
        <v>1137</v>
      </c>
      <c r="C1143" s="44"/>
      <c r="D1143" s="45"/>
      <c r="E1143" s="39" t="s">
        <v>325</v>
      </c>
      <c r="F1143" s="180" t="s">
        <v>1567</v>
      </c>
      <c r="G1143" s="40" t="s">
        <v>112</v>
      </c>
      <c r="H1143" s="46" t="s">
        <v>113</v>
      </c>
      <c r="I1143" s="51" t="str">
        <f>"0x"&amp;AE_w_WORK!L118</f>
        <v>0x0000</v>
      </c>
      <c r="J1143" s="41">
        <v>40473</v>
      </c>
      <c r="K1143" s="42"/>
    </row>
    <row r="1144" spans="2:11" s="179" customFormat="1" hidden="1" outlineLevel="1">
      <c r="B1144" s="178">
        <v>1138</v>
      </c>
      <c r="C1144" s="44"/>
      <c r="D1144" s="45"/>
      <c r="E1144" s="39" t="s">
        <v>325</v>
      </c>
      <c r="F1144" s="180" t="s">
        <v>1568</v>
      </c>
      <c r="G1144" s="40" t="s">
        <v>114</v>
      </c>
      <c r="H1144" s="46" t="s">
        <v>115</v>
      </c>
      <c r="I1144" s="51" t="str">
        <f>"0x"&amp;AE_w_WORK!L119</f>
        <v>0x0000</v>
      </c>
      <c r="J1144" s="41">
        <v>40473</v>
      </c>
      <c r="K1144" s="42"/>
    </row>
    <row r="1145" spans="2:11" s="179" customFormat="1" hidden="1" outlineLevel="1">
      <c r="B1145" s="178">
        <v>1139</v>
      </c>
      <c r="C1145" s="44"/>
      <c r="D1145" s="45"/>
      <c r="E1145" s="39" t="s">
        <v>325</v>
      </c>
      <c r="F1145" s="180" t="s">
        <v>1569</v>
      </c>
      <c r="G1145" s="40" t="s">
        <v>116</v>
      </c>
      <c r="H1145" s="46" t="s">
        <v>117</v>
      </c>
      <c r="I1145" s="51" t="str">
        <f>"0x"&amp;AE_w_WORK!L120</f>
        <v>0x0000</v>
      </c>
      <c r="J1145" s="41">
        <v>40473</v>
      </c>
      <c r="K1145" s="42"/>
    </row>
    <row r="1146" spans="2:11" s="179" customFormat="1" hidden="1" outlineLevel="1">
      <c r="B1146" s="178">
        <v>1140</v>
      </c>
      <c r="C1146" s="44"/>
      <c r="D1146" s="45"/>
      <c r="E1146" s="39" t="s">
        <v>325</v>
      </c>
      <c r="F1146" s="180" t="s">
        <v>1570</v>
      </c>
      <c r="G1146" s="40" t="s">
        <v>118</v>
      </c>
      <c r="H1146" s="46" t="s">
        <v>119</v>
      </c>
      <c r="I1146" s="51" t="str">
        <f>"0x"&amp;AE_w_WORK!L121</f>
        <v>0x0000</v>
      </c>
      <c r="J1146" s="41">
        <v>40473</v>
      </c>
      <c r="K1146" s="42"/>
    </row>
    <row r="1147" spans="2:11" s="179" customFormat="1" hidden="1" outlineLevel="1">
      <c r="B1147" s="178">
        <v>1141</v>
      </c>
      <c r="C1147" s="44"/>
      <c r="D1147" s="45"/>
      <c r="E1147" s="39" t="s">
        <v>325</v>
      </c>
      <c r="F1147" s="180" t="s">
        <v>1571</v>
      </c>
      <c r="G1147" s="40" t="s">
        <v>120</v>
      </c>
      <c r="H1147" s="46" t="s">
        <v>264</v>
      </c>
      <c r="I1147" s="51" t="str">
        <f>"0x"&amp;AE_w_WORK!L122</f>
        <v>0x0000</v>
      </c>
      <c r="J1147" s="41">
        <v>40473</v>
      </c>
      <c r="K1147" s="42"/>
    </row>
    <row r="1148" spans="2:11" s="179" customFormat="1" hidden="1" outlineLevel="1">
      <c r="B1148" s="178">
        <v>1142</v>
      </c>
      <c r="C1148" s="44"/>
      <c r="D1148" s="45"/>
      <c r="E1148" s="39" t="s">
        <v>325</v>
      </c>
      <c r="F1148" s="180" t="s">
        <v>1572</v>
      </c>
      <c r="G1148" s="40" t="s">
        <v>0</v>
      </c>
      <c r="H1148" s="46" t="s">
        <v>1</v>
      </c>
      <c r="I1148" s="51" t="str">
        <f>"0x"&amp;AE_w_WORK!L123</f>
        <v>0x0000</v>
      </c>
      <c r="J1148" s="41">
        <v>40473</v>
      </c>
      <c r="K1148" s="42"/>
    </row>
    <row r="1149" spans="2:11" s="179" customFormat="1" hidden="1" outlineLevel="1">
      <c r="B1149" s="178">
        <v>1143</v>
      </c>
      <c r="C1149" s="44"/>
      <c r="D1149" s="45"/>
      <c r="E1149" s="39" t="s">
        <v>325</v>
      </c>
      <c r="F1149" s="180" t="s">
        <v>1573</v>
      </c>
      <c r="G1149" s="40" t="s">
        <v>2</v>
      </c>
      <c r="H1149" s="46" t="s">
        <v>3</v>
      </c>
      <c r="I1149" s="51" t="str">
        <f>"0x"&amp;AE_w_WORK!L124</f>
        <v>0x0000</v>
      </c>
      <c r="J1149" s="41">
        <v>40473</v>
      </c>
      <c r="K1149" s="42"/>
    </row>
    <row r="1150" spans="2:11" s="179" customFormat="1" hidden="1" outlineLevel="1">
      <c r="B1150" s="178">
        <v>1144</v>
      </c>
      <c r="C1150" s="44"/>
      <c r="D1150" s="45"/>
      <c r="E1150" s="39" t="s">
        <v>325</v>
      </c>
      <c r="F1150" s="180" t="s">
        <v>1574</v>
      </c>
      <c r="G1150" s="40" t="s">
        <v>4</v>
      </c>
      <c r="H1150" s="46" t="s">
        <v>5</v>
      </c>
      <c r="I1150" s="51" t="str">
        <f>"0x"&amp;AE_w_WORK!L125</f>
        <v>0x0000</v>
      </c>
      <c r="J1150" s="41">
        <v>40473</v>
      </c>
      <c r="K1150" s="42"/>
    </row>
    <row r="1151" spans="2:11" s="179" customFormat="1" hidden="1" outlineLevel="1">
      <c r="B1151" s="178">
        <v>1145</v>
      </c>
      <c r="C1151" s="44"/>
      <c r="D1151" s="45"/>
      <c r="E1151" s="39" t="s">
        <v>325</v>
      </c>
      <c r="F1151" s="180" t="s">
        <v>1575</v>
      </c>
      <c r="G1151" s="40" t="s">
        <v>6</v>
      </c>
      <c r="H1151" s="46" t="s">
        <v>7</v>
      </c>
      <c r="I1151" s="51" t="str">
        <f>"0x"&amp;AE_w_WORK!L126</f>
        <v>0x0000</v>
      </c>
      <c r="J1151" s="41">
        <v>40473</v>
      </c>
      <c r="K1151" s="42"/>
    </row>
    <row r="1152" spans="2:11" s="179" customFormat="1" hidden="1" outlineLevel="1">
      <c r="B1152" s="178">
        <v>1146</v>
      </c>
      <c r="C1152" s="44"/>
      <c r="D1152" s="45"/>
      <c r="E1152" s="39" t="s">
        <v>325</v>
      </c>
      <c r="F1152" s="180" t="s">
        <v>1576</v>
      </c>
      <c r="G1152" s="40" t="s">
        <v>8</v>
      </c>
      <c r="H1152" s="46" t="s">
        <v>9</v>
      </c>
      <c r="I1152" s="51" t="str">
        <f>"0x"&amp;AE_w_WORK!L127</f>
        <v>0x0000</v>
      </c>
      <c r="J1152" s="41">
        <v>40473</v>
      </c>
      <c r="K1152" s="42"/>
    </row>
    <row r="1153" spans="2:11" s="179" customFormat="1" hidden="1" outlineLevel="1">
      <c r="B1153" s="178">
        <v>1147</v>
      </c>
      <c r="C1153" s="44"/>
      <c r="D1153" s="45"/>
      <c r="E1153" s="39" t="s">
        <v>325</v>
      </c>
      <c r="F1153" s="180" t="s">
        <v>1577</v>
      </c>
      <c r="G1153" s="40" t="s">
        <v>10</v>
      </c>
      <c r="H1153" s="46" t="s">
        <v>11</v>
      </c>
      <c r="I1153" s="51" t="str">
        <f>"0x"&amp;AE_w_WORK!L128</f>
        <v>0x0000</v>
      </c>
      <c r="J1153" s="41">
        <v>40473</v>
      </c>
      <c r="K1153" s="42"/>
    </row>
    <row r="1154" spans="2:11" s="179" customFormat="1" hidden="1" outlineLevel="1">
      <c r="B1154" s="178">
        <v>1148</v>
      </c>
      <c r="C1154" s="44"/>
      <c r="D1154" s="45"/>
      <c r="E1154" s="39" t="s">
        <v>325</v>
      </c>
      <c r="F1154" s="180" t="s">
        <v>1578</v>
      </c>
      <c r="G1154" s="40" t="s">
        <v>12</v>
      </c>
      <c r="H1154" s="46" t="s">
        <v>13</v>
      </c>
      <c r="I1154" s="51" t="str">
        <f>"0x"&amp;AE_w_WORK!L129</f>
        <v>0x0000</v>
      </c>
      <c r="J1154" s="41">
        <v>40473</v>
      </c>
      <c r="K1154" s="42"/>
    </row>
    <row r="1155" spans="2:11" s="179" customFormat="1" hidden="1" outlineLevel="1">
      <c r="B1155" s="178">
        <v>1149</v>
      </c>
      <c r="C1155" s="44"/>
      <c r="D1155" s="45"/>
      <c r="E1155" s="39" t="s">
        <v>325</v>
      </c>
      <c r="F1155" s="180" t="s">
        <v>1579</v>
      </c>
      <c r="G1155" s="40" t="s">
        <v>14</v>
      </c>
      <c r="H1155" s="46" t="s">
        <v>15</v>
      </c>
      <c r="I1155" s="51" t="str">
        <f>"0x"&amp;AE_w_WORK!L130</f>
        <v>0x0000</v>
      </c>
      <c r="J1155" s="41">
        <v>40473</v>
      </c>
      <c r="K1155" s="42"/>
    </row>
    <row r="1156" spans="2:11" s="179" customFormat="1" hidden="1" outlineLevel="1">
      <c r="B1156" s="178">
        <v>1150</v>
      </c>
      <c r="C1156" s="44"/>
      <c r="D1156" s="45"/>
      <c r="E1156" s="39" t="s">
        <v>325</v>
      </c>
      <c r="F1156" s="180" t="s">
        <v>1580</v>
      </c>
      <c r="G1156" s="40" t="s">
        <v>16</v>
      </c>
      <c r="H1156" s="46" t="s">
        <v>17</v>
      </c>
      <c r="I1156" s="51" t="str">
        <f>"0x"&amp;AE_w_WORK!L131</f>
        <v>0x0000</v>
      </c>
      <c r="J1156" s="41">
        <v>40473</v>
      </c>
      <c r="K1156" s="42"/>
    </row>
    <row r="1157" spans="2:11" s="179" customFormat="1" hidden="1" outlineLevel="1">
      <c r="B1157" s="178">
        <v>1151</v>
      </c>
      <c r="C1157" s="44"/>
      <c r="D1157" s="45"/>
      <c r="E1157" s="39" t="s">
        <v>325</v>
      </c>
      <c r="F1157" s="180" t="s">
        <v>1581</v>
      </c>
      <c r="G1157" s="40" t="s">
        <v>18</v>
      </c>
      <c r="H1157" s="46" t="s">
        <v>19</v>
      </c>
      <c r="I1157" s="51" t="str">
        <f>"0x"&amp;AE_w_WORK!L132</f>
        <v>0x0000</v>
      </c>
      <c r="J1157" s="41">
        <v>40473</v>
      </c>
      <c r="K1157" s="42"/>
    </row>
    <row r="1158" spans="2:11" s="179" customFormat="1" hidden="1" outlineLevel="1">
      <c r="B1158" s="178">
        <v>1152</v>
      </c>
      <c r="C1158" s="44"/>
      <c r="D1158" s="45"/>
      <c r="E1158" s="39" t="s">
        <v>325</v>
      </c>
      <c r="F1158" s="180" t="s">
        <v>1582</v>
      </c>
      <c r="G1158" s="40" t="s">
        <v>20</v>
      </c>
      <c r="H1158" s="46" t="s">
        <v>21</v>
      </c>
      <c r="I1158" s="51" t="str">
        <f>"0x"&amp;AE_w_WORK!L133</f>
        <v>0x0000</v>
      </c>
      <c r="J1158" s="41">
        <v>40473</v>
      </c>
      <c r="K1158" s="42"/>
    </row>
    <row r="1159" spans="2:11" s="179" customFormat="1" collapsed="1">
      <c r="B1159" s="178">
        <v>1153</v>
      </c>
      <c r="C1159" s="44"/>
      <c r="D1159" s="45"/>
      <c r="E1159" s="39" t="s">
        <v>325</v>
      </c>
      <c r="F1159" s="180" t="s">
        <v>1583</v>
      </c>
      <c r="G1159" s="40" t="s">
        <v>79</v>
      </c>
      <c r="H1159" s="46" t="s">
        <v>80</v>
      </c>
      <c r="I1159" s="51" t="str">
        <f>"0x"&amp;AE_w_WORK!M6</f>
        <v>0x0000</v>
      </c>
      <c r="J1159" s="41">
        <v>40473</v>
      </c>
      <c r="K1159" s="42" t="s">
        <v>424</v>
      </c>
    </row>
    <row r="1160" spans="2:11" s="179" customFormat="1" hidden="1" outlineLevel="1">
      <c r="B1160" s="178">
        <v>1154</v>
      </c>
      <c r="C1160" s="44"/>
      <c r="D1160" s="45"/>
      <c r="E1160" s="39" t="s">
        <v>325</v>
      </c>
      <c r="F1160" s="180" t="s">
        <v>1584</v>
      </c>
      <c r="G1160" s="40" t="s">
        <v>77</v>
      </c>
      <c r="H1160" s="46" t="s">
        <v>78</v>
      </c>
      <c r="I1160" s="51" t="str">
        <f>"0x"&amp;AE_w_WORK!M7</f>
        <v>0x0000</v>
      </c>
      <c r="J1160" s="41">
        <v>40473</v>
      </c>
      <c r="K1160" s="42"/>
    </row>
    <row r="1161" spans="2:11" s="179" customFormat="1" hidden="1" outlineLevel="1">
      <c r="B1161" s="178">
        <v>1155</v>
      </c>
      <c r="C1161" s="44"/>
      <c r="D1161" s="45"/>
      <c r="E1161" s="39" t="s">
        <v>325</v>
      </c>
      <c r="F1161" s="180" t="s">
        <v>1585</v>
      </c>
      <c r="G1161" s="40" t="s">
        <v>22</v>
      </c>
      <c r="H1161" s="46" t="s">
        <v>23</v>
      </c>
      <c r="I1161" s="51" t="str">
        <f>"0x"&amp;AE_w_WORK!M8</f>
        <v>0x0000</v>
      </c>
      <c r="J1161" s="41">
        <v>40473</v>
      </c>
      <c r="K1161" s="42"/>
    </row>
    <row r="1162" spans="2:11" s="179" customFormat="1" hidden="1" outlineLevel="1">
      <c r="B1162" s="178">
        <v>1156</v>
      </c>
      <c r="C1162" s="44"/>
      <c r="D1162" s="45"/>
      <c r="E1162" s="39" t="s">
        <v>325</v>
      </c>
      <c r="F1162" s="180" t="s">
        <v>1586</v>
      </c>
      <c r="G1162" s="40" t="s">
        <v>24</v>
      </c>
      <c r="H1162" s="46" t="s">
        <v>25</v>
      </c>
      <c r="I1162" s="51" t="str">
        <f>"0x"&amp;AE_w_WORK!M9</f>
        <v>0x0000</v>
      </c>
      <c r="J1162" s="41">
        <v>40473</v>
      </c>
      <c r="K1162" s="42"/>
    </row>
    <row r="1163" spans="2:11" s="179" customFormat="1" hidden="1" outlineLevel="1">
      <c r="B1163" s="178">
        <v>1157</v>
      </c>
      <c r="C1163" s="44"/>
      <c r="D1163" s="45"/>
      <c r="E1163" s="39" t="s">
        <v>325</v>
      </c>
      <c r="F1163" s="180" t="s">
        <v>1587</v>
      </c>
      <c r="G1163" s="40" t="s">
        <v>26</v>
      </c>
      <c r="H1163" s="46" t="s">
        <v>27</v>
      </c>
      <c r="I1163" s="51" t="str">
        <f>"0x"&amp;AE_w_WORK!M10</f>
        <v>0x0000</v>
      </c>
      <c r="J1163" s="41">
        <v>40473</v>
      </c>
      <c r="K1163" s="42"/>
    </row>
    <row r="1164" spans="2:11" s="179" customFormat="1" hidden="1" outlineLevel="1">
      <c r="B1164" s="178">
        <v>1158</v>
      </c>
      <c r="C1164" s="44"/>
      <c r="D1164" s="45"/>
      <c r="E1164" s="39" t="s">
        <v>325</v>
      </c>
      <c r="F1164" s="180" t="s">
        <v>1588</v>
      </c>
      <c r="G1164" s="40" t="s">
        <v>28</v>
      </c>
      <c r="H1164" s="46" t="s">
        <v>29</v>
      </c>
      <c r="I1164" s="51" t="str">
        <f>"0x"&amp;AE_w_WORK!M11</f>
        <v>0x0000</v>
      </c>
      <c r="J1164" s="41">
        <v>40473</v>
      </c>
      <c r="K1164" s="42"/>
    </row>
    <row r="1165" spans="2:11" s="179" customFormat="1" hidden="1" outlineLevel="1">
      <c r="B1165" s="178">
        <v>1159</v>
      </c>
      <c r="C1165" s="44"/>
      <c r="D1165" s="45"/>
      <c r="E1165" s="39" t="s">
        <v>325</v>
      </c>
      <c r="F1165" s="180" t="s">
        <v>1589</v>
      </c>
      <c r="G1165" s="40" t="s">
        <v>30</v>
      </c>
      <c r="H1165" s="46" t="s">
        <v>31</v>
      </c>
      <c r="I1165" s="51" t="str">
        <f>"0x"&amp;AE_w_WORK!M12</f>
        <v>0x0000</v>
      </c>
      <c r="J1165" s="41">
        <v>40473</v>
      </c>
      <c r="K1165" s="42"/>
    </row>
    <row r="1166" spans="2:11" s="179" customFormat="1" hidden="1" outlineLevel="1">
      <c r="B1166" s="178">
        <v>1160</v>
      </c>
      <c r="C1166" s="44"/>
      <c r="D1166" s="45"/>
      <c r="E1166" s="39" t="s">
        <v>325</v>
      </c>
      <c r="F1166" s="180" t="s">
        <v>1590</v>
      </c>
      <c r="G1166" s="40" t="s">
        <v>32</v>
      </c>
      <c r="H1166" s="46" t="s">
        <v>33</v>
      </c>
      <c r="I1166" s="51" t="str">
        <f>"0x"&amp;AE_w_WORK!M13</f>
        <v>0x0000</v>
      </c>
      <c r="J1166" s="41">
        <v>40473</v>
      </c>
      <c r="K1166" s="42"/>
    </row>
    <row r="1167" spans="2:11" s="179" customFormat="1" hidden="1" outlineLevel="1">
      <c r="B1167" s="178">
        <v>1161</v>
      </c>
      <c r="C1167" s="44"/>
      <c r="D1167" s="45"/>
      <c r="E1167" s="39" t="s">
        <v>325</v>
      </c>
      <c r="F1167" s="180" t="s">
        <v>1591</v>
      </c>
      <c r="G1167" s="40" t="s">
        <v>34</v>
      </c>
      <c r="H1167" s="46" t="s">
        <v>35</v>
      </c>
      <c r="I1167" s="51" t="str">
        <f>"0x"&amp;AE_w_WORK!M14</f>
        <v>0x0000</v>
      </c>
      <c r="J1167" s="41">
        <v>40473</v>
      </c>
      <c r="K1167" s="42"/>
    </row>
    <row r="1168" spans="2:11" s="179" customFormat="1" hidden="1" outlineLevel="1">
      <c r="B1168" s="178">
        <v>1162</v>
      </c>
      <c r="C1168" s="44"/>
      <c r="D1168" s="45"/>
      <c r="E1168" s="39" t="s">
        <v>325</v>
      </c>
      <c r="F1168" s="180" t="s">
        <v>1592</v>
      </c>
      <c r="G1168" s="40" t="s">
        <v>36</v>
      </c>
      <c r="H1168" s="46" t="s">
        <v>37</v>
      </c>
      <c r="I1168" s="51" t="str">
        <f>"0x"&amp;AE_w_WORK!M15</f>
        <v>0x0000</v>
      </c>
      <c r="J1168" s="41">
        <v>40473</v>
      </c>
      <c r="K1168" s="42"/>
    </row>
    <row r="1169" spans="2:11" s="179" customFormat="1" hidden="1" outlineLevel="1">
      <c r="B1169" s="178">
        <v>1163</v>
      </c>
      <c r="C1169" s="44"/>
      <c r="D1169" s="45"/>
      <c r="E1169" s="39" t="s">
        <v>325</v>
      </c>
      <c r="F1169" s="180" t="s">
        <v>1593</v>
      </c>
      <c r="G1169" s="40" t="s">
        <v>38</v>
      </c>
      <c r="H1169" s="46" t="s">
        <v>39</v>
      </c>
      <c r="I1169" s="51" t="str">
        <f>"0x"&amp;AE_w_WORK!M16</f>
        <v>0x0000</v>
      </c>
      <c r="J1169" s="41">
        <v>40473</v>
      </c>
      <c r="K1169" s="42"/>
    </row>
    <row r="1170" spans="2:11" s="179" customFormat="1" hidden="1" outlineLevel="1">
      <c r="B1170" s="178">
        <v>1164</v>
      </c>
      <c r="C1170" s="44"/>
      <c r="D1170" s="45"/>
      <c r="E1170" s="39" t="s">
        <v>325</v>
      </c>
      <c r="F1170" s="180" t="s">
        <v>1594</v>
      </c>
      <c r="G1170" s="40" t="s">
        <v>40</v>
      </c>
      <c r="H1170" s="46" t="s">
        <v>41</v>
      </c>
      <c r="I1170" s="51" t="str">
        <f>"0x"&amp;AE_w_WORK!M17</f>
        <v>0x0000</v>
      </c>
      <c r="J1170" s="41">
        <v>40473</v>
      </c>
      <c r="K1170" s="42"/>
    </row>
    <row r="1171" spans="2:11" s="179" customFormat="1" hidden="1" outlineLevel="1">
      <c r="B1171" s="178">
        <v>1165</v>
      </c>
      <c r="C1171" s="44"/>
      <c r="D1171" s="45"/>
      <c r="E1171" s="39" t="s">
        <v>325</v>
      </c>
      <c r="F1171" s="180" t="s">
        <v>1595</v>
      </c>
      <c r="G1171" s="40" t="s">
        <v>42</v>
      </c>
      <c r="H1171" s="46" t="s">
        <v>43</v>
      </c>
      <c r="I1171" s="51" t="str">
        <f>"0x"&amp;AE_w_WORK!M18</f>
        <v>0x0000</v>
      </c>
      <c r="J1171" s="41">
        <v>40473</v>
      </c>
      <c r="K1171" s="42"/>
    </row>
    <row r="1172" spans="2:11" s="179" customFormat="1" hidden="1" outlineLevel="1">
      <c r="B1172" s="178">
        <v>1166</v>
      </c>
      <c r="C1172" s="44"/>
      <c r="D1172" s="45"/>
      <c r="E1172" s="39" t="s">
        <v>325</v>
      </c>
      <c r="F1172" s="180" t="s">
        <v>1596</v>
      </c>
      <c r="G1172" s="40" t="s">
        <v>44</v>
      </c>
      <c r="H1172" s="46" t="s">
        <v>45</v>
      </c>
      <c r="I1172" s="51" t="str">
        <f>"0x"&amp;AE_w_WORK!M19</f>
        <v>0x0011</v>
      </c>
      <c r="J1172" s="41">
        <v>40473</v>
      </c>
      <c r="K1172" s="42"/>
    </row>
    <row r="1173" spans="2:11" s="179" customFormat="1" hidden="1" outlineLevel="1">
      <c r="B1173" s="178">
        <v>1167</v>
      </c>
      <c r="C1173" s="44"/>
      <c r="D1173" s="45"/>
      <c r="E1173" s="39" t="s">
        <v>325</v>
      </c>
      <c r="F1173" s="180" t="s">
        <v>1597</v>
      </c>
      <c r="G1173" s="40" t="s">
        <v>46</v>
      </c>
      <c r="H1173" s="46" t="s">
        <v>47</v>
      </c>
      <c r="I1173" s="51" t="str">
        <f>"0x"&amp;AE_w_WORK!M20</f>
        <v>0x1100</v>
      </c>
      <c r="J1173" s="41">
        <v>40473</v>
      </c>
      <c r="K1173" s="42"/>
    </row>
    <row r="1174" spans="2:11" s="179" customFormat="1" hidden="1" outlineLevel="1">
      <c r="B1174" s="178">
        <v>1168</v>
      </c>
      <c r="C1174" s="44"/>
      <c r="D1174" s="45"/>
      <c r="E1174" s="39" t="s">
        <v>325</v>
      </c>
      <c r="F1174" s="180" t="s">
        <v>1598</v>
      </c>
      <c r="G1174" s="40" t="s">
        <v>48</v>
      </c>
      <c r="H1174" s="46" t="s">
        <v>49</v>
      </c>
      <c r="I1174" s="51" t="str">
        <f>"0x"&amp;AE_w_WORK!M21</f>
        <v>0x0000</v>
      </c>
      <c r="J1174" s="41">
        <v>40473</v>
      </c>
      <c r="K1174" s="42"/>
    </row>
    <row r="1175" spans="2:11" s="179" customFormat="1" hidden="1" outlineLevel="1">
      <c r="B1175" s="178">
        <v>1169</v>
      </c>
      <c r="C1175" s="44"/>
      <c r="D1175" s="45"/>
      <c r="E1175" s="39" t="s">
        <v>325</v>
      </c>
      <c r="F1175" s="180" t="s">
        <v>1599</v>
      </c>
      <c r="G1175" s="40" t="s">
        <v>50</v>
      </c>
      <c r="H1175" s="46" t="s">
        <v>51</v>
      </c>
      <c r="I1175" s="51" t="str">
        <f>"0x"&amp;AE_w_WORK!M22</f>
        <v>0x0000</v>
      </c>
      <c r="J1175" s="41">
        <v>40473</v>
      </c>
      <c r="K1175" s="42"/>
    </row>
    <row r="1176" spans="2:11" s="179" customFormat="1" hidden="1" outlineLevel="1">
      <c r="B1176" s="178">
        <v>1170</v>
      </c>
      <c r="C1176" s="44"/>
      <c r="D1176" s="45"/>
      <c r="E1176" s="39" t="s">
        <v>325</v>
      </c>
      <c r="F1176" s="180" t="s">
        <v>1600</v>
      </c>
      <c r="G1176" s="40" t="s">
        <v>52</v>
      </c>
      <c r="H1176" s="46" t="s">
        <v>53</v>
      </c>
      <c r="I1176" s="51" t="str">
        <f>"0x"&amp;AE_w_WORK!M23</f>
        <v>0x0111</v>
      </c>
      <c r="J1176" s="41">
        <v>40473</v>
      </c>
      <c r="K1176" s="42"/>
    </row>
    <row r="1177" spans="2:11" s="179" customFormat="1" hidden="1" outlineLevel="1">
      <c r="B1177" s="178">
        <v>1171</v>
      </c>
      <c r="C1177" s="44"/>
      <c r="D1177" s="45"/>
      <c r="E1177" s="39" t="s">
        <v>325</v>
      </c>
      <c r="F1177" s="180" t="s">
        <v>1601</v>
      </c>
      <c r="G1177" s="40" t="s">
        <v>54</v>
      </c>
      <c r="H1177" s="46" t="s">
        <v>55</v>
      </c>
      <c r="I1177" s="51" t="str">
        <f>"0x"&amp;AE_w_WORK!M24</f>
        <v>0x1110</v>
      </c>
      <c r="J1177" s="41">
        <v>40473</v>
      </c>
      <c r="K1177" s="42"/>
    </row>
    <row r="1178" spans="2:11" s="179" customFormat="1" hidden="1" outlineLevel="1">
      <c r="B1178" s="178">
        <v>1172</v>
      </c>
      <c r="C1178" s="44"/>
      <c r="D1178" s="45"/>
      <c r="E1178" s="39" t="s">
        <v>325</v>
      </c>
      <c r="F1178" s="180" t="s">
        <v>1602</v>
      </c>
      <c r="G1178" s="40" t="s">
        <v>56</v>
      </c>
      <c r="H1178" s="46" t="s">
        <v>57</v>
      </c>
      <c r="I1178" s="51" t="str">
        <f>"0x"&amp;AE_w_WORK!M25</f>
        <v>0x0000</v>
      </c>
      <c r="J1178" s="41">
        <v>40473</v>
      </c>
      <c r="K1178" s="42"/>
    </row>
    <row r="1179" spans="2:11" s="179" customFormat="1" hidden="1" outlineLevel="1">
      <c r="B1179" s="178">
        <v>1173</v>
      </c>
      <c r="C1179" s="44"/>
      <c r="D1179" s="45"/>
      <c r="E1179" s="39" t="s">
        <v>325</v>
      </c>
      <c r="F1179" s="180" t="s">
        <v>1603</v>
      </c>
      <c r="G1179" s="40" t="s">
        <v>58</v>
      </c>
      <c r="H1179" s="46" t="s">
        <v>59</v>
      </c>
      <c r="I1179" s="51" t="str">
        <f>"0x"&amp;AE_w_WORK!M26</f>
        <v>0x0000</v>
      </c>
      <c r="J1179" s="41">
        <v>40473</v>
      </c>
      <c r="K1179" s="42"/>
    </row>
    <row r="1180" spans="2:11" s="179" customFormat="1" hidden="1" outlineLevel="1">
      <c r="B1180" s="178">
        <v>1174</v>
      </c>
      <c r="C1180" s="44"/>
      <c r="D1180" s="45"/>
      <c r="E1180" s="39" t="s">
        <v>325</v>
      </c>
      <c r="F1180" s="180" t="s">
        <v>1604</v>
      </c>
      <c r="G1180" s="40" t="s">
        <v>60</v>
      </c>
      <c r="H1180" s="46" t="s">
        <v>61</v>
      </c>
      <c r="I1180" s="51" t="str">
        <f>"0x"&amp;AE_w_WORK!M27</f>
        <v>0x1122</v>
      </c>
      <c r="J1180" s="41">
        <v>40473</v>
      </c>
      <c r="K1180" s="42"/>
    </row>
    <row r="1181" spans="2:11" s="179" customFormat="1" hidden="1" outlineLevel="1">
      <c r="B1181" s="178">
        <v>1175</v>
      </c>
      <c r="C1181" s="44"/>
      <c r="D1181" s="45"/>
      <c r="E1181" s="39" t="s">
        <v>325</v>
      </c>
      <c r="F1181" s="180" t="s">
        <v>1605</v>
      </c>
      <c r="G1181" s="40" t="s">
        <v>62</v>
      </c>
      <c r="H1181" s="46" t="s">
        <v>63</v>
      </c>
      <c r="I1181" s="51" t="str">
        <f>"0x"&amp;AE_w_WORK!M28</f>
        <v>0x2211</v>
      </c>
      <c r="J1181" s="41">
        <v>40473</v>
      </c>
      <c r="K1181" s="42"/>
    </row>
    <row r="1182" spans="2:11" s="179" customFormat="1" hidden="1" outlineLevel="1">
      <c r="B1182" s="178">
        <v>1176</v>
      </c>
      <c r="C1182" s="44"/>
      <c r="D1182" s="45"/>
      <c r="E1182" s="39" t="s">
        <v>325</v>
      </c>
      <c r="F1182" s="180" t="s">
        <v>1606</v>
      </c>
      <c r="G1182" s="40" t="s">
        <v>64</v>
      </c>
      <c r="H1182" s="46" t="s">
        <v>65</v>
      </c>
      <c r="I1182" s="51" t="str">
        <f>"0x"&amp;AE_w_WORK!M29</f>
        <v>0x0000</v>
      </c>
      <c r="J1182" s="41">
        <v>40473</v>
      </c>
      <c r="K1182" s="42"/>
    </row>
    <row r="1183" spans="2:11" s="179" customFormat="1" hidden="1" outlineLevel="1">
      <c r="B1183" s="178">
        <v>1177</v>
      </c>
      <c r="C1183" s="44"/>
      <c r="D1183" s="45"/>
      <c r="E1183" s="39" t="s">
        <v>325</v>
      </c>
      <c r="F1183" s="180" t="s">
        <v>1607</v>
      </c>
      <c r="G1183" s="40" t="s">
        <v>66</v>
      </c>
      <c r="H1183" s="46" t="s">
        <v>67</v>
      </c>
      <c r="I1183" s="51" t="str">
        <f>"0x"&amp;AE_w_WORK!M30</f>
        <v>0x0001</v>
      </c>
      <c r="J1183" s="41">
        <v>40473</v>
      </c>
      <c r="K1183" s="42"/>
    </row>
    <row r="1184" spans="2:11" s="179" customFormat="1" hidden="1" outlineLevel="1">
      <c r="B1184" s="178">
        <v>1178</v>
      </c>
      <c r="C1184" s="44"/>
      <c r="D1184" s="45"/>
      <c r="E1184" s="39" t="s">
        <v>325</v>
      </c>
      <c r="F1184" s="180" t="s">
        <v>1608</v>
      </c>
      <c r="G1184" s="40" t="s">
        <v>68</v>
      </c>
      <c r="H1184" s="46" t="s">
        <v>69</v>
      </c>
      <c r="I1184" s="51" t="str">
        <f>"0x"&amp;AE_w_WORK!M31</f>
        <v>0x1222</v>
      </c>
      <c r="J1184" s="41">
        <v>40473</v>
      </c>
      <c r="K1184" s="42"/>
    </row>
    <row r="1185" spans="2:11" s="179" customFormat="1" hidden="1" outlineLevel="1">
      <c r="B1185" s="178">
        <v>1179</v>
      </c>
      <c r="C1185" s="44"/>
      <c r="D1185" s="45"/>
      <c r="E1185" s="39" t="s">
        <v>325</v>
      </c>
      <c r="F1185" s="180" t="s">
        <v>1609</v>
      </c>
      <c r="G1185" s="40" t="s">
        <v>70</v>
      </c>
      <c r="H1185" s="46" t="s">
        <v>71</v>
      </c>
      <c r="I1185" s="51" t="str">
        <f>"0x"&amp;AE_w_WORK!M32</f>
        <v>0x2221</v>
      </c>
      <c r="J1185" s="41">
        <v>40473</v>
      </c>
      <c r="K1185" s="42"/>
    </row>
    <row r="1186" spans="2:11" s="179" customFormat="1" hidden="1" outlineLevel="1">
      <c r="B1186" s="178">
        <v>1180</v>
      </c>
      <c r="C1186" s="44"/>
      <c r="D1186" s="45"/>
      <c r="E1186" s="39" t="s">
        <v>325</v>
      </c>
      <c r="F1186" s="180" t="s">
        <v>1610</v>
      </c>
      <c r="G1186" s="40" t="s">
        <v>72</v>
      </c>
      <c r="H1186" s="46" t="s">
        <v>73</v>
      </c>
      <c r="I1186" s="51" t="str">
        <f>"0x"&amp;AE_w_WORK!M33</f>
        <v>0x1000</v>
      </c>
      <c r="J1186" s="41">
        <v>40473</v>
      </c>
      <c r="K1186" s="42"/>
    </row>
    <row r="1187" spans="2:11" s="179" customFormat="1" hidden="1" outlineLevel="1">
      <c r="B1187" s="178">
        <v>1181</v>
      </c>
      <c r="C1187" s="44"/>
      <c r="D1187" s="45"/>
      <c r="E1187" s="39" t="s">
        <v>325</v>
      </c>
      <c r="F1187" s="180" t="s">
        <v>1611</v>
      </c>
      <c r="G1187" s="40" t="s">
        <v>74</v>
      </c>
      <c r="H1187" s="46" t="s">
        <v>128</v>
      </c>
      <c r="I1187" s="51" t="str">
        <f>"0x"&amp;AE_w_WORK!M34</f>
        <v>0x0001</v>
      </c>
      <c r="J1187" s="41">
        <v>40473</v>
      </c>
      <c r="K1187" s="42"/>
    </row>
    <row r="1188" spans="2:11" s="179" customFormat="1" hidden="1" outlineLevel="1">
      <c r="B1188" s="178">
        <v>1182</v>
      </c>
      <c r="C1188" s="44"/>
      <c r="D1188" s="45"/>
      <c r="E1188" s="39" t="s">
        <v>325</v>
      </c>
      <c r="F1188" s="180" t="s">
        <v>1612</v>
      </c>
      <c r="G1188" s="40" t="s">
        <v>129</v>
      </c>
      <c r="H1188" s="46" t="s">
        <v>130</v>
      </c>
      <c r="I1188" s="51" t="str">
        <f>"0x"&amp;AE_w_WORK!M35</f>
        <v>0x2223</v>
      </c>
      <c r="J1188" s="41">
        <v>40473</v>
      </c>
      <c r="K1188" s="42"/>
    </row>
    <row r="1189" spans="2:11" s="179" customFormat="1" hidden="1" outlineLevel="1">
      <c r="B1189" s="178">
        <v>1183</v>
      </c>
      <c r="C1189" s="44"/>
      <c r="D1189" s="45"/>
      <c r="E1189" s="39" t="s">
        <v>325</v>
      </c>
      <c r="F1189" s="180" t="s">
        <v>1613</v>
      </c>
      <c r="G1189" s="40" t="s">
        <v>131</v>
      </c>
      <c r="H1189" s="46" t="s">
        <v>132</v>
      </c>
      <c r="I1189" s="51" t="str">
        <f>"0x"&amp;AE_w_WORK!M36</f>
        <v>0x3222</v>
      </c>
      <c r="J1189" s="41">
        <v>40473</v>
      </c>
      <c r="K1189" s="42"/>
    </row>
    <row r="1190" spans="2:11" s="179" customFormat="1" hidden="1" outlineLevel="1">
      <c r="B1190" s="178">
        <v>1184</v>
      </c>
      <c r="C1190" s="44"/>
      <c r="D1190" s="45"/>
      <c r="E1190" s="39" t="s">
        <v>325</v>
      </c>
      <c r="F1190" s="180" t="s">
        <v>1614</v>
      </c>
      <c r="G1190" s="40" t="s">
        <v>133</v>
      </c>
      <c r="H1190" s="46" t="s">
        <v>134</v>
      </c>
      <c r="I1190" s="51" t="str">
        <f>"0x"&amp;AE_w_WORK!M37</f>
        <v>0x1000</v>
      </c>
      <c r="J1190" s="41">
        <v>40473</v>
      </c>
      <c r="K1190" s="42"/>
    </row>
    <row r="1191" spans="2:11" s="179" customFormat="1" hidden="1" outlineLevel="1">
      <c r="B1191" s="178">
        <v>1185</v>
      </c>
      <c r="C1191" s="44"/>
      <c r="D1191" s="45"/>
      <c r="E1191" s="39" t="s">
        <v>325</v>
      </c>
      <c r="F1191" s="180" t="s">
        <v>1615</v>
      </c>
      <c r="G1191" s="40" t="s">
        <v>135</v>
      </c>
      <c r="H1191" s="46" t="s">
        <v>136</v>
      </c>
      <c r="I1191" s="51" t="str">
        <f>"0x"&amp;AE_w_WORK!M38</f>
        <v>0x0011</v>
      </c>
      <c r="J1191" s="41">
        <v>40473</v>
      </c>
      <c r="K1191" s="42"/>
    </row>
    <row r="1192" spans="2:11" s="179" customFormat="1" hidden="1" outlineLevel="1">
      <c r="B1192" s="178">
        <v>1186</v>
      </c>
      <c r="C1192" s="44"/>
      <c r="D1192" s="45"/>
      <c r="E1192" s="39" t="s">
        <v>325</v>
      </c>
      <c r="F1192" s="180" t="s">
        <v>1616</v>
      </c>
      <c r="G1192" s="40" t="s">
        <v>137</v>
      </c>
      <c r="H1192" s="46" t="s">
        <v>138</v>
      </c>
      <c r="I1192" s="51" t="str">
        <f>"0x"&amp;AE_w_WORK!M39</f>
        <v>0x2233</v>
      </c>
      <c r="J1192" s="41">
        <v>40473</v>
      </c>
      <c r="K1192" s="42"/>
    </row>
    <row r="1193" spans="2:11" s="179" customFormat="1" hidden="1" outlineLevel="1">
      <c r="B1193" s="178">
        <v>1187</v>
      </c>
      <c r="C1193" s="44"/>
      <c r="D1193" s="45"/>
      <c r="E1193" s="39" t="s">
        <v>325</v>
      </c>
      <c r="F1193" s="180" t="s">
        <v>1617</v>
      </c>
      <c r="G1193" s="40" t="s">
        <v>139</v>
      </c>
      <c r="H1193" s="46" t="s">
        <v>140</v>
      </c>
      <c r="I1193" s="51" t="str">
        <f>"0x"&amp;AE_w_WORK!M40</f>
        <v>0x3322</v>
      </c>
      <c r="J1193" s="41">
        <v>40473</v>
      </c>
      <c r="K1193" s="42"/>
    </row>
    <row r="1194" spans="2:11" s="179" customFormat="1" hidden="1" outlineLevel="1">
      <c r="B1194" s="178">
        <v>1188</v>
      </c>
      <c r="C1194" s="44"/>
      <c r="D1194" s="45"/>
      <c r="E1194" s="39" t="s">
        <v>325</v>
      </c>
      <c r="F1194" s="180" t="s">
        <v>1618</v>
      </c>
      <c r="G1194" s="40" t="s">
        <v>141</v>
      </c>
      <c r="H1194" s="46" t="s">
        <v>142</v>
      </c>
      <c r="I1194" s="51" t="str">
        <f>"0x"&amp;AE_w_WORK!M41</f>
        <v>0x1100</v>
      </c>
      <c r="J1194" s="41">
        <v>40473</v>
      </c>
      <c r="K1194" s="42"/>
    </row>
    <row r="1195" spans="2:11" s="179" customFormat="1" hidden="1" outlineLevel="1">
      <c r="B1195" s="178">
        <v>1189</v>
      </c>
      <c r="C1195" s="44"/>
      <c r="D1195" s="45"/>
      <c r="E1195" s="39" t="s">
        <v>325</v>
      </c>
      <c r="F1195" s="180" t="s">
        <v>1619</v>
      </c>
      <c r="G1195" s="40" t="s">
        <v>143</v>
      </c>
      <c r="H1195" s="46" t="s">
        <v>144</v>
      </c>
      <c r="I1195" s="51" t="str">
        <f>"0x"&amp;AE_w_WORK!M42</f>
        <v>0x0012</v>
      </c>
      <c r="J1195" s="41">
        <v>40473</v>
      </c>
      <c r="K1195" s="42"/>
    </row>
    <row r="1196" spans="2:11" s="179" customFormat="1" hidden="1" outlineLevel="1">
      <c r="B1196" s="178">
        <v>1190</v>
      </c>
      <c r="C1196" s="44"/>
      <c r="D1196" s="45"/>
      <c r="E1196" s="39" t="s">
        <v>325</v>
      </c>
      <c r="F1196" s="180" t="s">
        <v>1620</v>
      </c>
      <c r="G1196" s="40" t="s">
        <v>145</v>
      </c>
      <c r="H1196" s="46" t="s">
        <v>146</v>
      </c>
      <c r="I1196" s="51" t="str">
        <f>"0x"&amp;AE_w_WORK!M43</f>
        <v>0x2334</v>
      </c>
      <c r="J1196" s="41">
        <v>40473</v>
      </c>
      <c r="K1196" s="42"/>
    </row>
    <row r="1197" spans="2:11" s="179" customFormat="1" hidden="1" outlineLevel="1">
      <c r="B1197" s="178">
        <v>1191</v>
      </c>
      <c r="C1197" s="44"/>
      <c r="D1197" s="45"/>
      <c r="E1197" s="39" t="s">
        <v>325</v>
      </c>
      <c r="F1197" s="180" t="s">
        <v>1621</v>
      </c>
      <c r="G1197" s="40" t="s">
        <v>147</v>
      </c>
      <c r="H1197" s="46" t="s">
        <v>148</v>
      </c>
      <c r="I1197" s="51" t="str">
        <f>"0x"&amp;AE_w_WORK!M44</f>
        <v>0x4332</v>
      </c>
      <c r="J1197" s="41">
        <v>40473</v>
      </c>
      <c r="K1197" s="42"/>
    </row>
    <row r="1198" spans="2:11" s="179" customFormat="1" hidden="1" outlineLevel="1">
      <c r="B1198" s="178">
        <v>1192</v>
      </c>
      <c r="C1198" s="44"/>
      <c r="D1198" s="45"/>
      <c r="E1198" s="39" t="s">
        <v>325</v>
      </c>
      <c r="F1198" s="180" t="s">
        <v>1622</v>
      </c>
      <c r="G1198" s="40" t="s">
        <v>149</v>
      </c>
      <c r="H1198" s="46" t="s">
        <v>150</v>
      </c>
      <c r="I1198" s="51" t="str">
        <f>"0x"&amp;AE_w_WORK!M45</f>
        <v>0x2100</v>
      </c>
      <c r="J1198" s="41">
        <v>40473</v>
      </c>
      <c r="K1198" s="42"/>
    </row>
    <row r="1199" spans="2:11" s="179" customFormat="1" hidden="1" outlineLevel="1">
      <c r="B1199" s="178">
        <v>1193</v>
      </c>
      <c r="C1199" s="44"/>
      <c r="D1199" s="45"/>
      <c r="E1199" s="39" t="s">
        <v>325</v>
      </c>
      <c r="F1199" s="180" t="s">
        <v>1623</v>
      </c>
      <c r="G1199" s="40" t="s">
        <v>151</v>
      </c>
      <c r="H1199" s="46" t="s">
        <v>152</v>
      </c>
      <c r="I1199" s="51" t="str">
        <f>"0x"&amp;AE_w_WORK!M46</f>
        <v>0x0012</v>
      </c>
      <c r="J1199" s="41">
        <v>40473</v>
      </c>
      <c r="K1199" s="42"/>
    </row>
    <row r="1200" spans="2:11" s="179" customFormat="1" hidden="1" outlineLevel="1">
      <c r="B1200" s="178">
        <v>1194</v>
      </c>
      <c r="C1200" s="44"/>
      <c r="D1200" s="45"/>
      <c r="E1200" s="39" t="s">
        <v>325</v>
      </c>
      <c r="F1200" s="180" t="s">
        <v>1624</v>
      </c>
      <c r="G1200" s="40" t="s">
        <v>153</v>
      </c>
      <c r="H1200" s="46" t="s">
        <v>154</v>
      </c>
      <c r="I1200" s="51" t="str">
        <f>"0x"&amp;AE_w_WORK!M47</f>
        <v>0x3345</v>
      </c>
      <c r="J1200" s="41">
        <v>40473</v>
      </c>
      <c r="K1200" s="42"/>
    </row>
    <row r="1201" spans="2:11" s="179" customFormat="1" hidden="1" outlineLevel="1">
      <c r="B1201" s="178">
        <v>1195</v>
      </c>
      <c r="C1201" s="44"/>
      <c r="D1201" s="45"/>
      <c r="E1201" s="39" t="s">
        <v>325</v>
      </c>
      <c r="F1201" s="180" t="s">
        <v>1625</v>
      </c>
      <c r="G1201" s="40" t="s">
        <v>155</v>
      </c>
      <c r="H1201" s="46" t="s">
        <v>156</v>
      </c>
      <c r="I1201" s="51" t="str">
        <f>"0x"&amp;AE_w_WORK!M48</f>
        <v>0x5433</v>
      </c>
      <c r="J1201" s="41">
        <v>40473</v>
      </c>
      <c r="K1201" s="42"/>
    </row>
    <row r="1202" spans="2:11" s="179" customFormat="1" hidden="1" outlineLevel="1">
      <c r="B1202" s="178">
        <v>1196</v>
      </c>
      <c r="C1202" s="44"/>
      <c r="D1202" s="45"/>
      <c r="E1202" s="39" t="s">
        <v>325</v>
      </c>
      <c r="F1202" s="180" t="s">
        <v>1626</v>
      </c>
      <c r="G1202" s="40" t="s">
        <v>157</v>
      </c>
      <c r="H1202" s="46" t="s">
        <v>158</v>
      </c>
      <c r="I1202" s="51" t="str">
        <f>"0x"&amp;AE_w_WORK!M49</f>
        <v>0x2100</v>
      </c>
      <c r="J1202" s="41">
        <v>40473</v>
      </c>
      <c r="K1202" s="42"/>
    </row>
    <row r="1203" spans="2:11" s="179" customFormat="1" hidden="1" outlineLevel="1">
      <c r="B1203" s="178">
        <v>1197</v>
      </c>
      <c r="C1203" s="44"/>
      <c r="D1203" s="45"/>
      <c r="E1203" s="39" t="s">
        <v>325</v>
      </c>
      <c r="F1203" s="180" t="s">
        <v>1627</v>
      </c>
      <c r="G1203" s="40" t="s">
        <v>159</v>
      </c>
      <c r="H1203" s="46" t="s">
        <v>160</v>
      </c>
      <c r="I1203" s="51" t="str">
        <f>"0x"&amp;AE_w_WORK!M50</f>
        <v>0x0122</v>
      </c>
      <c r="J1203" s="41">
        <v>40473</v>
      </c>
      <c r="K1203" s="42"/>
    </row>
    <row r="1204" spans="2:11" s="179" customFormat="1" hidden="1" outlineLevel="1">
      <c r="B1204" s="178">
        <v>1198</v>
      </c>
      <c r="C1204" s="44"/>
      <c r="D1204" s="45"/>
      <c r="E1204" s="39" t="s">
        <v>325</v>
      </c>
      <c r="F1204" s="180" t="s">
        <v>1628</v>
      </c>
      <c r="G1204" s="40" t="s">
        <v>161</v>
      </c>
      <c r="H1204" s="46" t="s">
        <v>162</v>
      </c>
      <c r="I1204" s="51" t="str">
        <f>"0x"&amp;AE_w_WORK!M51</f>
        <v>0x3455</v>
      </c>
      <c r="J1204" s="41">
        <v>40473</v>
      </c>
      <c r="K1204" s="42"/>
    </row>
    <row r="1205" spans="2:11" s="179" customFormat="1" hidden="1" outlineLevel="1">
      <c r="B1205" s="178">
        <v>1199</v>
      </c>
      <c r="C1205" s="44"/>
      <c r="D1205" s="45"/>
      <c r="E1205" s="39" t="s">
        <v>325</v>
      </c>
      <c r="F1205" s="180" t="s">
        <v>1629</v>
      </c>
      <c r="G1205" s="40" t="s">
        <v>163</v>
      </c>
      <c r="H1205" s="46" t="s">
        <v>164</v>
      </c>
      <c r="I1205" s="51" t="str">
        <f>"0x"&amp;AE_w_WORK!M52</f>
        <v>0x5543</v>
      </c>
      <c r="J1205" s="41">
        <v>40473</v>
      </c>
      <c r="K1205" s="42"/>
    </row>
    <row r="1206" spans="2:11" s="179" customFormat="1" hidden="1" outlineLevel="1">
      <c r="B1206" s="178">
        <v>1200</v>
      </c>
      <c r="C1206" s="44"/>
      <c r="D1206" s="45"/>
      <c r="E1206" s="39" t="s">
        <v>325</v>
      </c>
      <c r="F1206" s="180" t="s">
        <v>1630</v>
      </c>
      <c r="G1206" s="40" t="s">
        <v>165</v>
      </c>
      <c r="H1206" s="46" t="s">
        <v>166</v>
      </c>
      <c r="I1206" s="51" t="str">
        <f>"0x"&amp;AE_w_WORK!M53</f>
        <v>0x2210</v>
      </c>
      <c r="J1206" s="41">
        <v>40473</v>
      </c>
      <c r="K1206" s="42"/>
    </row>
    <row r="1207" spans="2:11" s="179" customFormat="1" hidden="1" outlineLevel="1">
      <c r="B1207" s="178">
        <v>1201</v>
      </c>
      <c r="C1207" s="44"/>
      <c r="D1207" s="45"/>
      <c r="E1207" s="39" t="s">
        <v>325</v>
      </c>
      <c r="F1207" s="180" t="s">
        <v>1631</v>
      </c>
      <c r="G1207" s="40" t="s">
        <v>167</v>
      </c>
      <c r="H1207" s="46" t="s">
        <v>168</v>
      </c>
      <c r="I1207" s="51" t="str">
        <f>"0x"&amp;AE_w_WORK!M54</f>
        <v>0x0123</v>
      </c>
      <c r="J1207" s="41">
        <v>40473</v>
      </c>
      <c r="K1207" s="42"/>
    </row>
    <row r="1208" spans="2:11" s="179" customFormat="1" hidden="1" outlineLevel="1">
      <c r="B1208" s="178">
        <v>1202</v>
      </c>
      <c r="C1208" s="44"/>
      <c r="D1208" s="45"/>
      <c r="E1208" s="39" t="s">
        <v>325</v>
      </c>
      <c r="F1208" s="180" t="s">
        <v>1632</v>
      </c>
      <c r="G1208" s="40" t="s">
        <v>169</v>
      </c>
      <c r="H1208" s="46" t="s">
        <v>170</v>
      </c>
      <c r="I1208" s="51" t="str">
        <f>"0x"&amp;AE_w_WORK!M55</f>
        <v>0x3555</v>
      </c>
      <c r="J1208" s="41">
        <v>40473</v>
      </c>
      <c r="K1208" s="42"/>
    </row>
    <row r="1209" spans="2:11" s="179" customFormat="1" hidden="1" outlineLevel="1">
      <c r="B1209" s="178">
        <v>1203</v>
      </c>
      <c r="C1209" s="44"/>
      <c r="D1209" s="45"/>
      <c r="E1209" s="39" t="s">
        <v>325</v>
      </c>
      <c r="F1209" s="180" t="s">
        <v>1633</v>
      </c>
      <c r="G1209" s="40" t="s">
        <v>171</v>
      </c>
      <c r="H1209" s="46" t="s">
        <v>172</v>
      </c>
      <c r="I1209" s="51" t="str">
        <f>"0x"&amp;AE_w_WORK!M56</f>
        <v>0x5553</v>
      </c>
      <c r="J1209" s="41">
        <v>40473</v>
      </c>
      <c r="K1209" s="42"/>
    </row>
    <row r="1210" spans="2:11" s="179" customFormat="1" hidden="1" outlineLevel="1">
      <c r="B1210" s="178">
        <v>1204</v>
      </c>
      <c r="C1210" s="44"/>
      <c r="D1210" s="45"/>
      <c r="E1210" s="39" t="s">
        <v>325</v>
      </c>
      <c r="F1210" s="180" t="s">
        <v>1634</v>
      </c>
      <c r="G1210" s="40" t="s">
        <v>173</v>
      </c>
      <c r="H1210" s="46" t="s">
        <v>174</v>
      </c>
      <c r="I1210" s="51" t="str">
        <f>"0x"&amp;AE_w_WORK!M57</f>
        <v>0x3210</v>
      </c>
      <c r="J1210" s="41">
        <v>40473</v>
      </c>
      <c r="K1210" s="42"/>
    </row>
    <row r="1211" spans="2:11" s="179" customFormat="1" hidden="1" outlineLevel="1">
      <c r="B1211" s="178">
        <v>1205</v>
      </c>
      <c r="C1211" s="44"/>
      <c r="D1211" s="45"/>
      <c r="E1211" s="39" t="s">
        <v>325</v>
      </c>
      <c r="F1211" s="180" t="s">
        <v>1635</v>
      </c>
      <c r="G1211" s="40" t="s">
        <v>175</v>
      </c>
      <c r="H1211" s="46" t="s">
        <v>176</v>
      </c>
      <c r="I1211" s="51" t="str">
        <f>"0x"&amp;AE_w_WORK!M58</f>
        <v>0x0123</v>
      </c>
      <c r="J1211" s="41">
        <v>40473</v>
      </c>
      <c r="K1211" s="42"/>
    </row>
    <row r="1212" spans="2:11" s="179" customFormat="1" hidden="1" outlineLevel="1">
      <c r="B1212" s="178">
        <v>1206</v>
      </c>
      <c r="C1212" s="44"/>
      <c r="D1212" s="45"/>
      <c r="E1212" s="39" t="s">
        <v>325</v>
      </c>
      <c r="F1212" s="180" t="s">
        <v>1636</v>
      </c>
      <c r="G1212" s="40" t="s">
        <v>177</v>
      </c>
      <c r="H1212" s="46" t="s">
        <v>178</v>
      </c>
      <c r="I1212" s="51" t="str">
        <f>"0x"&amp;AE_w_WORK!M59</f>
        <v>0x4556</v>
      </c>
      <c r="J1212" s="41">
        <v>40473</v>
      </c>
      <c r="K1212" s="42"/>
    </row>
    <row r="1213" spans="2:11" s="179" customFormat="1" hidden="1" outlineLevel="1">
      <c r="B1213" s="178">
        <v>1207</v>
      </c>
      <c r="C1213" s="44"/>
      <c r="D1213" s="45"/>
      <c r="E1213" s="39" t="s">
        <v>325</v>
      </c>
      <c r="F1213" s="180" t="s">
        <v>1637</v>
      </c>
      <c r="G1213" s="40" t="s">
        <v>179</v>
      </c>
      <c r="H1213" s="46" t="s">
        <v>180</v>
      </c>
      <c r="I1213" s="51" t="str">
        <f>"0x"&amp;AE_w_WORK!M60</f>
        <v>0x6554</v>
      </c>
      <c r="J1213" s="41">
        <v>40473</v>
      </c>
      <c r="K1213" s="42"/>
    </row>
    <row r="1214" spans="2:11" s="179" customFormat="1" hidden="1" outlineLevel="1">
      <c r="B1214" s="178">
        <v>1208</v>
      </c>
      <c r="C1214" s="44"/>
      <c r="D1214" s="45"/>
      <c r="E1214" s="39" t="s">
        <v>325</v>
      </c>
      <c r="F1214" s="180" t="s">
        <v>1638</v>
      </c>
      <c r="G1214" s="40" t="s">
        <v>181</v>
      </c>
      <c r="H1214" s="46" t="s">
        <v>182</v>
      </c>
      <c r="I1214" s="51" t="str">
        <f>"0x"&amp;AE_w_WORK!M61</f>
        <v>0x3210</v>
      </c>
      <c r="J1214" s="41">
        <v>40473</v>
      </c>
      <c r="K1214" s="42"/>
    </row>
    <row r="1215" spans="2:11" s="179" customFormat="1" hidden="1" outlineLevel="1">
      <c r="B1215" s="178">
        <v>1209</v>
      </c>
      <c r="C1215" s="44"/>
      <c r="D1215" s="45"/>
      <c r="E1215" s="39" t="s">
        <v>325</v>
      </c>
      <c r="F1215" s="180" t="s">
        <v>1639</v>
      </c>
      <c r="G1215" s="40" t="s">
        <v>183</v>
      </c>
      <c r="H1215" s="46" t="s">
        <v>184</v>
      </c>
      <c r="I1215" s="51" t="str">
        <f>"0x"&amp;AE_w_WORK!M62</f>
        <v>0x0123</v>
      </c>
      <c r="J1215" s="41">
        <v>40473</v>
      </c>
      <c r="K1215" s="42"/>
    </row>
    <row r="1216" spans="2:11" s="179" customFormat="1" hidden="1" outlineLevel="1">
      <c r="B1216" s="178">
        <v>1210</v>
      </c>
      <c r="C1216" s="44"/>
      <c r="D1216" s="45"/>
      <c r="E1216" s="39" t="s">
        <v>325</v>
      </c>
      <c r="F1216" s="180" t="s">
        <v>1640</v>
      </c>
      <c r="G1216" s="40" t="s">
        <v>185</v>
      </c>
      <c r="H1216" s="46" t="s">
        <v>186</v>
      </c>
      <c r="I1216" s="51" t="str">
        <f>"0x"&amp;AE_w_WORK!M63</f>
        <v>0x4566</v>
      </c>
      <c r="J1216" s="41">
        <v>40473</v>
      </c>
      <c r="K1216" s="42"/>
    </row>
    <row r="1217" spans="2:11" s="179" customFormat="1" hidden="1" outlineLevel="1">
      <c r="B1217" s="178">
        <v>1211</v>
      </c>
      <c r="C1217" s="44"/>
      <c r="D1217" s="45"/>
      <c r="E1217" s="39" t="s">
        <v>325</v>
      </c>
      <c r="F1217" s="180" t="s">
        <v>1641</v>
      </c>
      <c r="G1217" s="40" t="s">
        <v>187</v>
      </c>
      <c r="H1217" s="46" t="s">
        <v>188</v>
      </c>
      <c r="I1217" s="51" t="str">
        <f>"0x"&amp;AE_w_WORK!M64</f>
        <v>0x6654</v>
      </c>
      <c r="J1217" s="41">
        <v>40473</v>
      </c>
      <c r="K1217" s="42"/>
    </row>
    <row r="1218" spans="2:11" s="179" customFormat="1" hidden="1" outlineLevel="1">
      <c r="B1218" s="178">
        <v>1212</v>
      </c>
      <c r="C1218" s="44"/>
      <c r="D1218" s="45"/>
      <c r="E1218" s="39" t="s">
        <v>325</v>
      </c>
      <c r="F1218" s="180" t="s">
        <v>1642</v>
      </c>
      <c r="G1218" s="40" t="s">
        <v>189</v>
      </c>
      <c r="H1218" s="46" t="s">
        <v>190</v>
      </c>
      <c r="I1218" s="51" t="str">
        <f>"0x"&amp;AE_w_WORK!M65</f>
        <v>0x3210</v>
      </c>
      <c r="J1218" s="41">
        <v>40473</v>
      </c>
      <c r="K1218" s="42"/>
    </row>
    <row r="1219" spans="2:11" s="179" customFormat="1" hidden="1" outlineLevel="1">
      <c r="B1219" s="178">
        <v>1213</v>
      </c>
      <c r="C1219" s="44"/>
      <c r="D1219" s="45"/>
      <c r="E1219" s="39" t="s">
        <v>325</v>
      </c>
      <c r="F1219" s="180" t="s">
        <v>1643</v>
      </c>
      <c r="G1219" s="40" t="s">
        <v>191</v>
      </c>
      <c r="H1219" s="46" t="s">
        <v>192</v>
      </c>
      <c r="I1219" s="51" t="str">
        <f>"0x"&amp;AE_w_WORK!M66</f>
        <v>0x0123</v>
      </c>
      <c r="J1219" s="41">
        <v>40473</v>
      </c>
      <c r="K1219" s="42"/>
    </row>
    <row r="1220" spans="2:11" s="179" customFormat="1" hidden="1" outlineLevel="1">
      <c r="B1220" s="178">
        <v>1214</v>
      </c>
      <c r="C1220" s="44"/>
      <c r="D1220" s="45"/>
      <c r="E1220" s="39" t="s">
        <v>325</v>
      </c>
      <c r="F1220" s="180" t="s">
        <v>1644</v>
      </c>
      <c r="G1220" s="40" t="s">
        <v>193</v>
      </c>
      <c r="H1220" s="46" t="s">
        <v>194</v>
      </c>
      <c r="I1220" s="51" t="str">
        <f>"0x"&amp;AE_w_WORK!M67</f>
        <v>0x4566</v>
      </c>
      <c r="J1220" s="41">
        <v>40473</v>
      </c>
      <c r="K1220" s="42"/>
    </row>
    <row r="1221" spans="2:11" s="179" customFormat="1" hidden="1" outlineLevel="1">
      <c r="B1221" s="178">
        <v>1215</v>
      </c>
      <c r="C1221" s="44"/>
      <c r="D1221" s="45"/>
      <c r="E1221" s="39" t="s">
        <v>325</v>
      </c>
      <c r="F1221" s="180" t="s">
        <v>1645</v>
      </c>
      <c r="G1221" s="40" t="s">
        <v>195</v>
      </c>
      <c r="H1221" s="46" t="s">
        <v>196</v>
      </c>
      <c r="I1221" s="51" t="str">
        <f>"0x"&amp;AE_w_WORK!M68</f>
        <v>0x6654</v>
      </c>
      <c r="J1221" s="41">
        <v>40473</v>
      </c>
      <c r="K1221" s="42"/>
    </row>
    <row r="1222" spans="2:11" s="179" customFormat="1" hidden="1" outlineLevel="1">
      <c r="B1222" s="178">
        <v>1216</v>
      </c>
      <c r="C1222" s="44"/>
      <c r="D1222" s="45"/>
      <c r="E1222" s="39" t="s">
        <v>325</v>
      </c>
      <c r="F1222" s="180" t="s">
        <v>1646</v>
      </c>
      <c r="G1222" s="40" t="s">
        <v>197</v>
      </c>
      <c r="H1222" s="46" t="s">
        <v>198</v>
      </c>
      <c r="I1222" s="51" t="str">
        <f>"0x"&amp;AE_w_WORK!M69</f>
        <v>0x3210</v>
      </c>
      <c r="J1222" s="41">
        <v>40473</v>
      </c>
      <c r="K1222" s="42"/>
    </row>
    <row r="1223" spans="2:11" s="179" customFormat="1" hidden="1" outlineLevel="1">
      <c r="B1223" s="178">
        <v>1217</v>
      </c>
      <c r="C1223" s="44"/>
      <c r="D1223" s="45"/>
      <c r="E1223" s="39" t="s">
        <v>325</v>
      </c>
      <c r="F1223" s="180" t="s">
        <v>1647</v>
      </c>
      <c r="G1223" s="40" t="s">
        <v>199</v>
      </c>
      <c r="H1223" s="46" t="s">
        <v>200</v>
      </c>
      <c r="I1223" s="51" t="str">
        <f>"0x"&amp;AE_w_WORK!M70</f>
        <v>0x0123</v>
      </c>
      <c r="J1223" s="41">
        <v>40473</v>
      </c>
      <c r="K1223" s="42"/>
    </row>
    <row r="1224" spans="2:11" s="179" customFormat="1" hidden="1" outlineLevel="1">
      <c r="B1224" s="178">
        <v>1218</v>
      </c>
      <c r="C1224" s="44"/>
      <c r="D1224" s="45"/>
      <c r="E1224" s="39" t="s">
        <v>325</v>
      </c>
      <c r="F1224" s="180" t="s">
        <v>1648</v>
      </c>
      <c r="G1224" s="40" t="s">
        <v>201</v>
      </c>
      <c r="H1224" s="46" t="s">
        <v>202</v>
      </c>
      <c r="I1224" s="51" t="str">
        <f>"0x"&amp;AE_w_WORK!M71</f>
        <v>0x4566</v>
      </c>
      <c r="J1224" s="41">
        <v>40473</v>
      </c>
      <c r="K1224" s="42"/>
    </row>
    <row r="1225" spans="2:11" s="179" customFormat="1" hidden="1" outlineLevel="1">
      <c r="B1225" s="178">
        <v>1219</v>
      </c>
      <c r="C1225" s="44"/>
      <c r="D1225" s="45"/>
      <c r="E1225" s="39" t="s">
        <v>325</v>
      </c>
      <c r="F1225" s="180" t="s">
        <v>1649</v>
      </c>
      <c r="G1225" s="40" t="s">
        <v>203</v>
      </c>
      <c r="H1225" s="46" t="s">
        <v>204</v>
      </c>
      <c r="I1225" s="51" t="str">
        <f>"0x"&amp;AE_w_WORK!M72</f>
        <v>0x6654</v>
      </c>
      <c r="J1225" s="41">
        <v>40473</v>
      </c>
      <c r="K1225" s="42"/>
    </row>
    <row r="1226" spans="2:11" s="179" customFormat="1" hidden="1" outlineLevel="1">
      <c r="B1226" s="178">
        <v>1220</v>
      </c>
      <c r="C1226" s="44"/>
      <c r="D1226" s="45"/>
      <c r="E1226" s="39" t="s">
        <v>325</v>
      </c>
      <c r="F1226" s="180" t="s">
        <v>1650</v>
      </c>
      <c r="G1226" s="40" t="s">
        <v>205</v>
      </c>
      <c r="H1226" s="46" t="s">
        <v>206</v>
      </c>
      <c r="I1226" s="51" t="str">
        <f>"0x"&amp;AE_w_WORK!M73</f>
        <v>0x3210</v>
      </c>
      <c r="J1226" s="41">
        <v>40473</v>
      </c>
      <c r="K1226" s="42"/>
    </row>
    <row r="1227" spans="2:11" s="179" customFormat="1" hidden="1" outlineLevel="1">
      <c r="B1227" s="178">
        <v>1221</v>
      </c>
      <c r="C1227" s="44"/>
      <c r="D1227" s="45"/>
      <c r="E1227" s="39" t="s">
        <v>325</v>
      </c>
      <c r="F1227" s="180" t="s">
        <v>1651</v>
      </c>
      <c r="G1227" s="40" t="s">
        <v>207</v>
      </c>
      <c r="H1227" s="46" t="s">
        <v>208</v>
      </c>
      <c r="I1227" s="51" t="str">
        <f>"0x"&amp;AE_w_WORK!M74</f>
        <v>0x0123</v>
      </c>
      <c r="J1227" s="41">
        <v>40473</v>
      </c>
      <c r="K1227" s="42"/>
    </row>
    <row r="1228" spans="2:11" s="179" customFormat="1" hidden="1" outlineLevel="1">
      <c r="B1228" s="178">
        <v>1222</v>
      </c>
      <c r="C1228" s="44"/>
      <c r="D1228" s="45"/>
      <c r="E1228" s="39" t="s">
        <v>325</v>
      </c>
      <c r="F1228" s="180" t="s">
        <v>1652</v>
      </c>
      <c r="G1228" s="40" t="s">
        <v>209</v>
      </c>
      <c r="H1228" s="46" t="s">
        <v>210</v>
      </c>
      <c r="I1228" s="51" t="str">
        <f>"0x"&amp;AE_w_WORK!M75</f>
        <v>0x4566</v>
      </c>
      <c r="J1228" s="41">
        <v>40473</v>
      </c>
      <c r="K1228" s="42"/>
    </row>
    <row r="1229" spans="2:11" s="179" customFormat="1" hidden="1" outlineLevel="1">
      <c r="B1229" s="178">
        <v>1223</v>
      </c>
      <c r="C1229" s="44"/>
      <c r="D1229" s="45"/>
      <c r="E1229" s="39" t="s">
        <v>325</v>
      </c>
      <c r="F1229" s="180" t="s">
        <v>1653</v>
      </c>
      <c r="G1229" s="40" t="s">
        <v>211</v>
      </c>
      <c r="H1229" s="46" t="s">
        <v>212</v>
      </c>
      <c r="I1229" s="51" t="str">
        <f>"0x"&amp;AE_w_WORK!M76</f>
        <v>0x6654</v>
      </c>
      <c r="J1229" s="41">
        <v>40473</v>
      </c>
      <c r="K1229" s="42"/>
    </row>
    <row r="1230" spans="2:11" s="179" customFormat="1" hidden="1" outlineLevel="1">
      <c r="B1230" s="178">
        <v>1224</v>
      </c>
      <c r="C1230" s="44"/>
      <c r="D1230" s="45"/>
      <c r="E1230" s="39" t="s">
        <v>325</v>
      </c>
      <c r="F1230" s="180" t="s">
        <v>1654</v>
      </c>
      <c r="G1230" s="40" t="s">
        <v>213</v>
      </c>
      <c r="H1230" s="46" t="s">
        <v>214</v>
      </c>
      <c r="I1230" s="51" t="str">
        <f>"0x"&amp;AE_w_WORK!M77</f>
        <v>0x3210</v>
      </c>
      <c r="J1230" s="41">
        <v>40473</v>
      </c>
      <c r="K1230" s="42"/>
    </row>
    <row r="1231" spans="2:11" s="179" customFormat="1" hidden="1" outlineLevel="1">
      <c r="B1231" s="178">
        <v>1225</v>
      </c>
      <c r="C1231" s="44"/>
      <c r="D1231" s="45"/>
      <c r="E1231" s="39" t="s">
        <v>325</v>
      </c>
      <c r="F1231" s="180" t="s">
        <v>1655</v>
      </c>
      <c r="G1231" s="40" t="s">
        <v>215</v>
      </c>
      <c r="H1231" s="46" t="s">
        <v>216</v>
      </c>
      <c r="I1231" s="51" t="str">
        <f>"0x"&amp;AE_w_WORK!M78</f>
        <v>0x0123</v>
      </c>
      <c r="J1231" s="41">
        <v>40473</v>
      </c>
      <c r="K1231" s="42"/>
    </row>
    <row r="1232" spans="2:11" s="179" customFormat="1" hidden="1" outlineLevel="1">
      <c r="B1232" s="178">
        <v>1226</v>
      </c>
      <c r="C1232" s="44"/>
      <c r="D1232" s="45"/>
      <c r="E1232" s="39" t="s">
        <v>325</v>
      </c>
      <c r="F1232" s="180" t="s">
        <v>1656</v>
      </c>
      <c r="G1232" s="40" t="s">
        <v>217</v>
      </c>
      <c r="H1232" s="46" t="s">
        <v>218</v>
      </c>
      <c r="I1232" s="51" t="str">
        <f>"0x"&amp;AE_w_WORK!M79</f>
        <v>0x4566</v>
      </c>
      <c r="J1232" s="41">
        <v>40473</v>
      </c>
      <c r="K1232" s="42"/>
    </row>
    <row r="1233" spans="2:11" s="179" customFormat="1" hidden="1" outlineLevel="1">
      <c r="B1233" s="178">
        <v>1227</v>
      </c>
      <c r="C1233" s="44"/>
      <c r="D1233" s="45"/>
      <c r="E1233" s="39" t="s">
        <v>325</v>
      </c>
      <c r="F1233" s="180" t="s">
        <v>1657</v>
      </c>
      <c r="G1233" s="40" t="s">
        <v>219</v>
      </c>
      <c r="H1233" s="46" t="s">
        <v>220</v>
      </c>
      <c r="I1233" s="51" t="str">
        <f>"0x"&amp;AE_w_WORK!M80</f>
        <v>0x6654</v>
      </c>
      <c r="J1233" s="41">
        <v>40473</v>
      </c>
      <c r="K1233" s="42"/>
    </row>
    <row r="1234" spans="2:11" s="179" customFormat="1" hidden="1" outlineLevel="1">
      <c r="B1234" s="178">
        <v>1228</v>
      </c>
      <c r="C1234" s="44"/>
      <c r="D1234" s="45"/>
      <c r="E1234" s="39" t="s">
        <v>325</v>
      </c>
      <c r="F1234" s="180" t="s">
        <v>1658</v>
      </c>
      <c r="G1234" s="40" t="s">
        <v>221</v>
      </c>
      <c r="H1234" s="46" t="s">
        <v>222</v>
      </c>
      <c r="I1234" s="51" t="str">
        <f>"0x"&amp;AE_w_WORK!M81</f>
        <v>0x3210</v>
      </c>
      <c r="J1234" s="41">
        <v>40473</v>
      </c>
      <c r="K1234" s="42"/>
    </row>
    <row r="1235" spans="2:11" s="179" customFormat="1" hidden="1" outlineLevel="1">
      <c r="B1235" s="178">
        <v>1229</v>
      </c>
      <c r="C1235" s="44"/>
      <c r="D1235" s="45"/>
      <c r="E1235" s="39" t="s">
        <v>325</v>
      </c>
      <c r="F1235" s="180" t="s">
        <v>1659</v>
      </c>
      <c r="G1235" s="40" t="s">
        <v>223</v>
      </c>
      <c r="H1235" s="46" t="s">
        <v>224</v>
      </c>
      <c r="I1235" s="51" t="str">
        <f>"0x"&amp;AE_w_WORK!M82</f>
        <v>0x0123</v>
      </c>
      <c r="J1235" s="41">
        <v>40473</v>
      </c>
      <c r="K1235" s="42"/>
    </row>
    <row r="1236" spans="2:11" s="179" customFormat="1" hidden="1" outlineLevel="1">
      <c r="B1236" s="178">
        <v>1230</v>
      </c>
      <c r="C1236" s="44"/>
      <c r="D1236" s="45"/>
      <c r="E1236" s="39" t="s">
        <v>325</v>
      </c>
      <c r="F1236" s="180" t="s">
        <v>1660</v>
      </c>
      <c r="G1236" s="40" t="s">
        <v>225</v>
      </c>
      <c r="H1236" s="46" t="s">
        <v>226</v>
      </c>
      <c r="I1236" s="51" t="str">
        <f>"0x"&amp;AE_w_WORK!M83</f>
        <v>0x4566</v>
      </c>
      <c r="J1236" s="41">
        <v>40473</v>
      </c>
      <c r="K1236" s="42"/>
    </row>
    <row r="1237" spans="2:11" s="179" customFormat="1" hidden="1" outlineLevel="1">
      <c r="B1237" s="178">
        <v>1231</v>
      </c>
      <c r="C1237" s="44"/>
      <c r="D1237" s="45"/>
      <c r="E1237" s="39" t="s">
        <v>325</v>
      </c>
      <c r="F1237" s="180" t="s">
        <v>1661</v>
      </c>
      <c r="G1237" s="40" t="s">
        <v>227</v>
      </c>
      <c r="H1237" s="46" t="s">
        <v>228</v>
      </c>
      <c r="I1237" s="51" t="str">
        <f>"0x"&amp;AE_w_WORK!M84</f>
        <v>0x6654</v>
      </c>
      <c r="J1237" s="41">
        <v>40473</v>
      </c>
      <c r="K1237" s="42"/>
    </row>
    <row r="1238" spans="2:11" s="179" customFormat="1" hidden="1" outlineLevel="1">
      <c r="B1238" s="178">
        <v>1232</v>
      </c>
      <c r="C1238" s="44"/>
      <c r="D1238" s="45"/>
      <c r="E1238" s="39" t="s">
        <v>325</v>
      </c>
      <c r="F1238" s="180" t="s">
        <v>1662</v>
      </c>
      <c r="G1238" s="40" t="s">
        <v>229</v>
      </c>
      <c r="H1238" s="46" t="s">
        <v>230</v>
      </c>
      <c r="I1238" s="51" t="str">
        <f>"0x"&amp;AE_w_WORK!M85</f>
        <v>0x3210</v>
      </c>
      <c r="J1238" s="41">
        <v>40473</v>
      </c>
      <c r="K1238" s="42"/>
    </row>
    <row r="1239" spans="2:11" s="179" customFormat="1" hidden="1" outlineLevel="1">
      <c r="B1239" s="178">
        <v>1233</v>
      </c>
      <c r="C1239" s="44"/>
      <c r="D1239" s="45"/>
      <c r="E1239" s="39" t="s">
        <v>325</v>
      </c>
      <c r="F1239" s="180" t="s">
        <v>1663</v>
      </c>
      <c r="G1239" s="40" t="s">
        <v>231</v>
      </c>
      <c r="H1239" s="46" t="s">
        <v>232</v>
      </c>
      <c r="I1239" s="51" t="str">
        <f>"0x"&amp;AE_w_WORK!M86</f>
        <v>0x0123</v>
      </c>
      <c r="J1239" s="41">
        <v>40473</v>
      </c>
      <c r="K1239" s="42"/>
    </row>
    <row r="1240" spans="2:11" s="179" customFormat="1" hidden="1" outlineLevel="1">
      <c r="B1240" s="178">
        <v>1234</v>
      </c>
      <c r="C1240" s="44"/>
      <c r="D1240" s="45"/>
      <c r="E1240" s="39" t="s">
        <v>325</v>
      </c>
      <c r="F1240" s="180" t="s">
        <v>1664</v>
      </c>
      <c r="G1240" s="40" t="s">
        <v>233</v>
      </c>
      <c r="H1240" s="46" t="s">
        <v>234</v>
      </c>
      <c r="I1240" s="51" t="str">
        <f>"0x"&amp;AE_w_WORK!M87</f>
        <v>0x4566</v>
      </c>
      <c r="J1240" s="41">
        <v>40473</v>
      </c>
      <c r="K1240" s="42"/>
    </row>
    <row r="1241" spans="2:11" s="179" customFormat="1" hidden="1" outlineLevel="1">
      <c r="B1241" s="178">
        <v>1235</v>
      </c>
      <c r="C1241" s="44"/>
      <c r="D1241" s="45"/>
      <c r="E1241" s="39" t="s">
        <v>325</v>
      </c>
      <c r="F1241" s="180" t="s">
        <v>1665</v>
      </c>
      <c r="G1241" s="40" t="s">
        <v>235</v>
      </c>
      <c r="H1241" s="46" t="s">
        <v>236</v>
      </c>
      <c r="I1241" s="51" t="str">
        <f>"0x"&amp;AE_w_WORK!M88</f>
        <v>0x6654</v>
      </c>
      <c r="J1241" s="41">
        <v>40473</v>
      </c>
      <c r="K1241" s="42"/>
    </row>
    <row r="1242" spans="2:11" s="179" customFormat="1" hidden="1" outlineLevel="1">
      <c r="B1242" s="178">
        <v>1236</v>
      </c>
      <c r="C1242" s="44"/>
      <c r="D1242" s="45"/>
      <c r="E1242" s="39" t="s">
        <v>325</v>
      </c>
      <c r="F1242" s="180" t="s">
        <v>1666</v>
      </c>
      <c r="G1242" s="40" t="s">
        <v>237</v>
      </c>
      <c r="H1242" s="46" t="s">
        <v>238</v>
      </c>
      <c r="I1242" s="51" t="str">
        <f>"0x"&amp;AE_w_WORK!M89</f>
        <v>0x3210</v>
      </c>
      <c r="J1242" s="41">
        <v>40473</v>
      </c>
      <c r="K1242" s="42"/>
    </row>
    <row r="1243" spans="2:11" s="179" customFormat="1" hidden="1" outlineLevel="1">
      <c r="B1243" s="178">
        <v>1237</v>
      </c>
      <c r="C1243" s="44"/>
      <c r="D1243" s="45"/>
      <c r="E1243" s="39" t="s">
        <v>325</v>
      </c>
      <c r="F1243" s="180" t="s">
        <v>1667</v>
      </c>
      <c r="G1243" s="40" t="s">
        <v>239</v>
      </c>
      <c r="H1243" s="46" t="s">
        <v>240</v>
      </c>
      <c r="I1243" s="51" t="str">
        <f>"0x"&amp;AE_w_WORK!M90</f>
        <v>0x0123</v>
      </c>
      <c r="J1243" s="41">
        <v>40473</v>
      </c>
      <c r="K1243" s="42"/>
    </row>
    <row r="1244" spans="2:11" s="179" customFormat="1" hidden="1" outlineLevel="1">
      <c r="B1244" s="178">
        <v>1238</v>
      </c>
      <c r="C1244" s="44"/>
      <c r="D1244" s="45"/>
      <c r="E1244" s="39" t="s">
        <v>325</v>
      </c>
      <c r="F1244" s="180" t="s">
        <v>1668</v>
      </c>
      <c r="G1244" s="40" t="s">
        <v>241</v>
      </c>
      <c r="H1244" s="46" t="s">
        <v>242</v>
      </c>
      <c r="I1244" s="51" t="str">
        <f>"0x"&amp;AE_w_WORK!M91</f>
        <v>0x4556</v>
      </c>
      <c r="J1244" s="41">
        <v>40473</v>
      </c>
      <c r="K1244" s="42"/>
    </row>
    <row r="1245" spans="2:11" s="179" customFormat="1" hidden="1" outlineLevel="1">
      <c r="B1245" s="178">
        <v>1239</v>
      </c>
      <c r="C1245" s="44"/>
      <c r="D1245" s="45"/>
      <c r="E1245" s="39" t="s">
        <v>325</v>
      </c>
      <c r="F1245" s="180" t="s">
        <v>1669</v>
      </c>
      <c r="G1245" s="40" t="s">
        <v>243</v>
      </c>
      <c r="H1245" s="46" t="s">
        <v>244</v>
      </c>
      <c r="I1245" s="51" t="str">
        <f>"0x"&amp;AE_w_WORK!M92</f>
        <v>0x6554</v>
      </c>
      <c r="J1245" s="41">
        <v>40473</v>
      </c>
      <c r="K1245" s="42"/>
    </row>
    <row r="1246" spans="2:11" s="179" customFormat="1" hidden="1" outlineLevel="1">
      <c r="B1246" s="178">
        <v>1240</v>
      </c>
      <c r="C1246" s="44"/>
      <c r="D1246" s="45"/>
      <c r="E1246" s="39" t="s">
        <v>325</v>
      </c>
      <c r="F1246" s="180" t="s">
        <v>1670</v>
      </c>
      <c r="G1246" s="40" t="s">
        <v>245</v>
      </c>
      <c r="H1246" s="46" t="s">
        <v>246</v>
      </c>
      <c r="I1246" s="51" t="str">
        <f>"0x"&amp;AE_w_WORK!M93</f>
        <v>0x3210</v>
      </c>
      <c r="J1246" s="41">
        <v>40473</v>
      </c>
      <c r="K1246" s="42"/>
    </row>
    <row r="1247" spans="2:11" s="179" customFormat="1" hidden="1" outlineLevel="1">
      <c r="B1247" s="178">
        <v>1241</v>
      </c>
      <c r="C1247" s="44"/>
      <c r="D1247" s="45"/>
      <c r="E1247" s="39" t="s">
        <v>325</v>
      </c>
      <c r="F1247" s="180" t="s">
        <v>1671</v>
      </c>
      <c r="G1247" s="40" t="s">
        <v>247</v>
      </c>
      <c r="H1247" s="46" t="s">
        <v>248</v>
      </c>
      <c r="I1247" s="51" t="str">
        <f>"0x"&amp;AE_w_WORK!M94</f>
        <v>0x0123</v>
      </c>
      <c r="J1247" s="41">
        <v>40473</v>
      </c>
      <c r="K1247" s="42"/>
    </row>
    <row r="1248" spans="2:11" s="179" customFormat="1" hidden="1" outlineLevel="1">
      <c r="B1248" s="178">
        <v>1242</v>
      </c>
      <c r="C1248" s="44"/>
      <c r="D1248" s="45"/>
      <c r="E1248" s="39" t="s">
        <v>325</v>
      </c>
      <c r="F1248" s="180" t="s">
        <v>1672</v>
      </c>
      <c r="G1248" s="40" t="s">
        <v>249</v>
      </c>
      <c r="H1248" s="46" t="s">
        <v>250</v>
      </c>
      <c r="I1248" s="51" t="str">
        <f>"0x"&amp;AE_w_WORK!M95</f>
        <v>0x4556</v>
      </c>
      <c r="J1248" s="41">
        <v>40473</v>
      </c>
      <c r="K1248" s="42"/>
    </row>
    <row r="1249" spans="2:11" s="179" customFormat="1" hidden="1" outlineLevel="1">
      <c r="B1249" s="178">
        <v>1243</v>
      </c>
      <c r="C1249" s="44"/>
      <c r="D1249" s="45"/>
      <c r="E1249" s="39" t="s">
        <v>325</v>
      </c>
      <c r="F1249" s="180" t="s">
        <v>1673</v>
      </c>
      <c r="G1249" s="40" t="s">
        <v>251</v>
      </c>
      <c r="H1249" s="46" t="s">
        <v>252</v>
      </c>
      <c r="I1249" s="51" t="str">
        <f>"0x"&amp;AE_w_WORK!M96</f>
        <v>0x6554</v>
      </c>
      <c r="J1249" s="41">
        <v>40473</v>
      </c>
      <c r="K1249" s="42"/>
    </row>
    <row r="1250" spans="2:11" s="179" customFormat="1" hidden="1" outlineLevel="1">
      <c r="B1250" s="178">
        <v>1244</v>
      </c>
      <c r="C1250" s="44"/>
      <c r="D1250" s="45"/>
      <c r="E1250" s="39" t="s">
        <v>325</v>
      </c>
      <c r="F1250" s="180" t="s">
        <v>1674</v>
      </c>
      <c r="G1250" s="40" t="s">
        <v>253</v>
      </c>
      <c r="H1250" s="46" t="s">
        <v>254</v>
      </c>
      <c r="I1250" s="51" t="str">
        <f>"0x"&amp;AE_w_WORK!M97</f>
        <v>0x3210</v>
      </c>
      <c r="J1250" s="41">
        <v>40473</v>
      </c>
      <c r="K1250" s="42"/>
    </row>
    <row r="1251" spans="2:11" s="179" customFormat="1" hidden="1" outlineLevel="1">
      <c r="B1251" s="178">
        <v>1245</v>
      </c>
      <c r="C1251" s="44"/>
      <c r="D1251" s="45"/>
      <c r="E1251" s="39" t="s">
        <v>325</v>
      </c>
      <c r="F1251" s="180" t="s">
        <v>1675</v>
      </c>
      <c r="G1251" s="40" t="s">
        <v>255</v>
      </c>
      <c r="H1251" s="46" t="s">
        <v>256</v>
      </c>
      <c r="I1251" s="51" t="str">
        <f>"0x"&amp;AE_w_WORK!M98</f>
        <v>0x0123</v>
      </c>
      <c r="J1251" s="41">
        <v>40473</v>
      </c>
      <c r="K1251" s="42"/>
    </row>
    <row r="1252" spans="2:11" s="179" customFormat="1" hidden="1" outlineLevel="1">
      <c r="B1252" s="178">
        <v>1246</v>
      </c>
      <c r="C1252" s="44"/>
      <c r="D1252" s="45"/>
      <c r="E1252" s="39" t="s">
        <v>325</v>
      </c>
      <c r="F1252" s="180" t="s">
        <v>1676</v>
      </c>
      <c r="G1252" s="40" t="s">
        <v>257</v>
      </c>
      <c r="H1252" s="46" t="s">
        <v>258</v>
      </c>
      <c r="I1252" s="51" t="str">
        <f>"0x"&amp;AE_w_WORK!M99</f>
        <v>0x3556</v>
      </c>
      <c r="J1252" s="41">
        <v>40473</v>
      </c>
      <c r="K1252" s="42"/>
    </row>
    <row r="1253" spans="2:11" s="179" customFormat="1" hidden="1" outlineLevel="1">
      <c r="B1253" s="178">
        <v>1247</v>
      </c>
      <c r="C1253" s="44"/>
      <c r="D1253" s="45"/>
      <c r="E1253" s="39" t="s">
        <v>325</v>
      </c>
      <c r="F1253" s="180" t="s">
        <v>1677</v>
      </c>
      <c r="G1253" s="40" t="s">
        <v>259</v>
      </c>
      <c r="H1253" s="46" t="s">
        <v>260</v>
      </c>
      <c r="I1253" s="51" t="str">
        <f>"0x"&amp;AE_w_WORK!M100</f>
        <v>0x6553</v>
      </c>
      <c r="J1253" s="41">
        <v>40473</v>
      </c>
      <c r="K1253" s="42"/>
    </row>
    <row r="1254" spans="2:11" s="179" customFormat="1" hidden="1" outlineLevel="1">
      <c r="B1254" s="178">
        <v>1248</v>
      </c>
      <c r="C1254" s="44"/>
      <c r="D1254" s="45"/>
      <c r="E1254" s="39" t="s">
        <v>325</v>
      </c>
      <c r="F1254" s="180" t="s">
        <v>1678</v>
      </c>
      <c r="G1254" s="40" t="s">
        <v>261</v>
      </c>
      <c r="H1254" s="46" t="s">
        <v>262</v>
      </c>
      <c r="I1254" s="51" t="str">
        <f>"0x"&amp;AE_w_WORK!M101</f>
        <v>0x3210</v>
      </c>
      <c r="J1254" s="41">
        <v>40473</v>
      </c>
      <c r="K1254" s="42"/>
    </row>
    <row r="1255" spans="2:11" s="179" customFormat="1" hidden="1" outlineLevel="1">
      <c r="B1255" s="178">
        <v>1249</v>
      </c>
      <c r="C1255" s="44"/>
      <c r="D1255" s="45"/>
      <c r="E1255" s="39" t="s">
        <v>325</v>
      </c>
      <c r="F1255" s="180" t="s">
        <v>1679</v>
      </c>
      <c r="G1255" s="40" t="s">
        <v>263</v>
      </c>
      <c r="H1255" s="46" t="s">
        <v>81</v>
      </c>
      <c r="I1255" s="51" t="str">
        <f>"0x"&amp;AE_w_WORK!M102</f>
        <v>0x0123</v>
      </c>
      <c r="J1255" s="41">
        <v>40473</v>
      </c>
      <c r="K1255" s="42"/>
    </row>
    <row r="1256" spans="2:11" s="179" customFormat="1" hidden="1" outlineLevel="1">
      <c r="B1256" s="178">
        <v>1250</v>
      </c>
      <c r="C1256" s="44"/>
      <c r="D1256" s="45"/>
      <c r="E1256" s="39" t="s">
        <v>325</v>
      </c>
      <c r="F1256" s="180" t="s">
        <v>1680</v>
      </c>
      <c r="G1256" s="40" t="s">
        <v>82</v>
      </c>
      <c r="H1256" s="46" t="s">
        <v>83</v>
      </c>
      <c r="I1256" s="51" t="str">
        <f>"0x"&amp;AE_w_WORK!M103</f>
        <v>0x3455</v>
      </c>
      <c r="J1256" s="41">
        <v>40473</v>
      </c>
      <c r="K1256" s="42"/>
    </row>
    <row r="1257" spans="2:11" s="179" customFormat="1" hidden="1" outlineLevel="1">
      <c r="B1257" s="178">
        <v>1251</v>
      </c>
      <c r="C1257" s="44"/>
      <c r="D1257" s="45"/>
      <c r="E1257" s="39" t="s">
        <v>325</v>
      </c>
      <c r="F1257" s="180" t="s">
        <v>1681</v>
      </c>
      <c r="G1257" s="40" t="s">
        <v>84</v>
      </c>
      <c r="H1257" s="46" t="s">
        <v>85</v>
      </c>
      <c r="I1257" s="51" t="str">
        <f>"0x"&amp;AE_w_WORK!M104</f>
        <v>0x5543</v>
      </c>
      <c r="J1257" s="41">
        <v>40473</v>
      </c>
      <c r="K1257" s="42"/>
    </row>
    <row r="1258" spans="2:11" s="179" customFormat="1" hidden="1" outlineLevel="1">
      <c r="B1258" s="178">
        <v>1252</v>
      </c>
      <c r="C1258" s="44"/>
      <c r="D1258" s="45"/>
      <c r="E1258" s="39" t="s">
        <v>325</v>
      </c>
      <c r="F1258" s="180" t="s">
        <v>1682</v>
      </c>
      <c r="G1258" s="40" t="s">
        <v>86</v>
      </c>
      <c r="H1258" s="46" t="s">
        <v>87</v>
      </c>
      <c r="I1258" s="51" t="str">
        <f>"0x"&amp;AE_w_WORK!M105</f>
        <v>0x3210</v>
      </c>
      <c r="J1258" s="41">
        <v>40473</v>
      </c>
      <c r="K1258" s="42"/>
    </row>
    <row r="1259" spans="2:11" s="179" customFormat="1" hidden="1" outlineLevel="1">
      <c r="B1259" s="178">
        <v>1253</v>
      </c>
      <c r="C1259" s="44"/>
      <c r="D1259" s="45"/>
      <c r="E1259" s="39" t="s">
        <v>325</v>
      </c>
      <c r="F1259" s="180" t="s">
        <v>1683</v>
      </c>
      <c r="G1259" s="40" t="s">
        <v>88</v>
      </c>
      <c r="H1259" s="46" t="s">
        <v>89</v>
      </c>
      <c r="I1259" s="51" t="str">
        <f>"0x"&amp;AE_w_WORK!M106</f>
        <v>0x0112</v>
      </c>
      <c r="J1259" s="41">
        <v>40473</v>
      </c>
      <c r="K1259" s="42"/>
    </row>
    <row r="1260" spans="2:11" s="179" customFormat="1" hidden="1" outlineLevel="1">
      <c r="B1260" s="178">
        <v>1254</v>
      </c>
      <c r="C1260" s="44"/>
      <c r="D1260" s="45"/>
      <c r="E1260" s="39" t="s">
        <v>325</v>
      </c>
      <c r="F1260" s="180" t="s">
        <v>1684</v>
      </c>
      <c r="G1260" s="40" t="s">
        <v>90</v>
      </c>
      <c r="H1260" s="46" t="s">
        <v>91</v>
      </c>
      <c r="I1260" s="51" t="str">
        <f>"0x"&amp;AE_w_WORK!M107</f>
        <v>0x3455</v>
      </c>
      <c r="J1260" s="41">
        <v>40473</v>
      </c>
      <c r="K1260" s="42"/>
    </row>
    <row r="1261" spans="2:11" s="179" customFormat="1" hidden="1" outlineLevel="1">
      <c r="B1261" s="178">
        <v>1255</v>
      </c>
      <c r="C1261" s="44"/>
      <c r="D1261" s="45"/>
      <c r="E1261" s="39" t="s">
        <v>325</v>
      </c>
      <c r="F1261" s="180" t="s">
        <v>1685</v>
      </c>
      <c r="G1261" s="40" t="s">
        <v>92</v>
      </c>
      <c r="H1261" s="46" t="s">
        <v>93</v>
      </c>
      <c r="I1261" s="51" t="str">
        <f>"0x"&amp;AE_w_WORK!M108</f>
        <v>0x5543</v>
      </c>
      <c r="J1261" s="41">
        <v>40473</v>
      </c>
      <c r="K1261" s="42"/>
    </row>
    <row r="1262" spans="2:11" s="179" customFormat="1" hidden="1" outlineLevel="1">
      <c r="B1262" s="178">
        <v>1256</v>
      </c>
      <c r="C1262" s="44"/>
      <c r="D1262" s="45"/>
      <c r="E1262" s="39" t="s">
        <v>325</v>
      </c>
      <c r="F1262" s="180" t="s">
        <v>1686</v>
      </c>
      <c r="G1262" s="40" t="s">
        <v>94</v>
      </c>
      <c r="H1262" s="46" t="s">
        <v>95</v>
      </c>
      <c r="I1262" s="51" t="str">
        <f>"0x"&amp;AE_w_WORK!M109</f>
        <v>0x2110</v>
      </c>
      <c r="J1262" s="41">
        <v>40473</v>
      </c>
      <c r="K1262" s="42"/>
    </row>
    <row r="1263" spans="2:11" s="179" customFormat="1" hidden="1" outlineLevel="1">
      <c r="B1263" s="178">
        <v>1257</v>
      </c>
      <c r="C1263" s="44"/>
      <c r="D1263" s="45"/>
      <c r="E1263" s="39" t="s">
        <v>325</v>
      </c>
      <c r="F1263" s="180" t="s">
        <v>1687</v>
      </c>
      <c r="G1263" s="40" t="s">
        <v>96</v>
      </c>
      <c r="H1263" s="46" t="s">
        <v>97</v>
      </c>
      <c r="I1263" s="51" t="str">
        <f>"0x"&amp;AE_w_WORK!M110</f>
        <v>0x0112</v>
      </c>
      <c r="J1263" s="41">
        <v>40473</v>
      </c>
      <c r="K1263" s="42"/>
    </row>
    <row r="1264" spans="2:11" s="179" customFormat="1" hidden="1" outlineLevel="1">
      <c r="B1264" s="178">
        <v>1258</v>
      </c>
      <c r="C1264" s="44"/>
      <c r="D1264" s="45"/>
      <c r="E1264" s="39" t="s">
        <v>325</v>
      </c>
      <c r="F1264" s="180" t="s">
        <v>1688</v>
      </c>
      <c r="G1264" s="40" t="s">
        <v>98</v>
      </c>
      <c r="H1264" s="46" t="s">
        <v>99</v>
      </c>
      <c r="I1264" s="51" t="str">
        <f>"0x"&amp;AE_w_WORK!M111</f>
        <v>0x3455</v>
      </c>
      <c r="J1264" s="41">
        <v>40473</v>
      </c>
      <c r="K1264" s="42"/>
    </row>
    <row r="1265" spans="2:11" s="179" customFormat="1" hidden="1" outlineLevel="1">
      <c r="B1265" s="178">
        <v>1259</v>
      </c>
      <c r="C1265" s="44"/>
      <c r="D1265" s="45"/>
      <c r="E1265" s="39" t="s">
        <v>325</v>
      </c>
      <c r="F1265" s="180" t="s">
        <v>1689</v>
      </c>
      <c r="G1265" s="40" t="s">
        <v>100</v>
      </c>
      <c r="H1265" s="46" t="s">
        <v>101</v>
      </c>
      <c r="I1265" s="51" t="str">
        <f>"0x"&amp;AE_w_WORK!M112</f>
        <v>0x5543</v>
      </c>
      <c r="J1265" s="41">
        <v>40473</v>
      </c>
      <c r="K1265" s="42"/>
    </row>
    <row r="1266" spans="2:11" s="179" customFormat="1" hidden="1" outlineLevel="1">
      <c r="B1266" s="178">
        <v>1260</v>
      </c>
      <c r="C1266" s="44"/>
      <c r="D1266" s="45"/>
      <c r="E1266" s="39" t="s">
        <v>325</v>
      </c>
      <c r="F1266" s="180" t="s">
        <v>1690</v>
      </c>
      <c r="G1266" s="40" t="s">
        <v>102</v>
      </c>
      <c r="H1266" s="46" t="s">
        <v>103</v>
      </c>
      <c r="I1266" s="51" t="str">
        <f>"0x"&amp;AE_w_WORK!M113</f>
        <v>0x2110</v>
      </c>
      <c r="J1266" s="41">
        <v>40473</v>
      </c>
      <c r="K1266" s="42"/>
    </row>
    <row r="1267" spans="2:11" s="179" customFormat="1" hidden="1" outlineLevel="1">
      <c r="B1267" s="178">
        <v>1261</v>
      </c>
      <c r="C1267" s="44"/>
      <c r="D1267" s="45"/>
      <c r="E1267" s="39" t="s">
        <v>325</v>
      </c>
      <c r="F1267" s="180" t="s">
        <v>1691</v>
      </c>
      <c r="G1267" s="40" t="s">
        <v>104</v>
      </c>
      <c r="H1267" s="46" t="s">
        <v>105</v>
      </c>
      <c r="I1267" s="51" t="str">
        <f>"0x"&amp;AE_w_WORK!M114</f>
        <v>0x0112</v>
      </c>
      <c r="J1267" s="41">
        <v>40473</v>
      </c>
      <c r="K1267" s="42"/>
    </row>
    <row r="1268" spans="2:11" s="179" customFormat="1" hidden="1" outlineLevel="1">
      <c r="B1268" s="178">
        <v>1262</v>
      </c>
      <c r="C1268" s="44"/>
      <c r="D1268" s="45"/>
      <c r="E1268" s="39" t="s">
        <v>325</v>
      </c>
      <c r="F1268" s="180" t="s">
        <v>1692</v>
      </c>
      <c r="G1268" s="40" t="s">
        <v>106</v>
      </c>
      <c r="H1268" s="46" t="s">
        <v>107</v>
      </c>
      <c r="I1268" s="51" t="str">
        <f>"0x"&amp;AE_w_WORK!M115</f>
        <v>0x3445</v>
      </c>
      <c r="J1268" s="41">
        <v>40473</v>
      </c>
      <c r="K1268" s="42"/>
    </row>
    <row r="1269" spans="2:11" s="179" customFormat="1" hidden="1" outlineLevel="1">
      <c r="B1269" s="178">
        <v>1263</v>
      </c>
      <c r="C1269" s="44"/>
      <c r="D1269" s="45"/>
      <c r="E1269" s="39" t="s">
        <v>325</v>
      </c>
      <c r="F1269" s="180" t="s">
        <v>1693</v>
      </c>
      <c r="G1269" s="40" t="s">
        <v>108</v>
      </c>
      <c r="H1269" s="46" t="s">
        <v>109</v>
      </c>
      <c r="I1269" s="51" t="str">
        <f>"0x"&amp;AE_w_WORK!M116</f>
        <v>0x5443</v>
      </c>
      <c r="J1269" s="41">
        <v>40473</v>
      </c>
      <c r="K1269" s="42"/>
    </row>
    <row r="1270" spans="2:11" s="179" customFormat="1" hidden="1" outlineLevel="1">
      <c r="B1270" s="178">
        <v>1264</v>
      </c>
      <c r="C1270" s="44"/>
      <c r="D1270" s="45"/>
      <c r="E1270" s="39" t="s">
        <v>325</v>
      </c>
      <c r="F1270" s="180" t="s">
        <v>1694</v>
      </c>
      <c r="G1270" s="40" t="s">
        <v>110</v>
      </c>
      <c r="H1270" s="46" t="s">
        <v>111</v>
      </c>
      <c r="I1270" s="51" t="str">
        <f>"0x"&amp;AE_w_WORK!M117</f>
        <v>0x2110</v>
      </c>
      <c r="J1270" s="41">
        <v>40473</v>
      </c>
      <c r="K1270" s="42"/>
    </row>
    <row r="1271" spans="2:11" s="179" customFormat="1" hidden="1" outlineLevel="1">
      <c r="B1271" s="178">
        <v>1265</v>
      </c>
      <c r="C1271" s="44"/>
      <c r="D1271" s="45"/>
      <c r="E1271" s="39" t="s">
        <v>325</v>
      </c>
      <c r="F1271" s="180" t="s">
        <v>1695</v>
      </c>
      <c r="G1271" s="40" t="s">
        <v>112</v>
      </c>
      <c r="H1271" s="46" t="s">
        <v>113</v>
      </c>
      <c r="I1271" s="51" t="str">
        <f>"0x"&amp;AE_w_WORK!M118</f>
        <v>0x0112</v>
      </c>
      <c r="J1271" s="41">
        <v>40473</v>
      </c>
      <c r="K1271" s="42"/>
    </row>
    <row r="1272" spans="2:11" s="179" customFormat="1" hidden="1" outlineLevel="1">
      <c r="B1272" s="178">
        <v>1266</v>
      </c>
      <c r="C1272" s="44"/>
      <c r="D1272" s="45"/>
      <c r="E1272" s="39" t="s">
        <v>325</v>
      </c>
      <c r="F1272" s="180" t="s">
        <v>1696</v>
      </c>
      <c r="G1272" s="40" t="s">
        <v>114</v>
      </c>
      <c r="H1272" s="46" t="s">
        <v>115</v>
      </c>
      <c r="I1272" s="51" t="str">
        <f>"0x"&amp;AE_w_WORK!M119</f>
        <v>0x3444</v>
      </c>
      <c r="J1272" s="41">
        <v>40473</v>
      </c>
      <c r="K1272" s="42"/>
    </row>
    <row r="1273" spans="2:11" s="179" customFormat="1" hidden="1" outlineLevel="1">
      <c r="B1273" s="178">
        <v>1267</v>
      </c>
      <c r="C1273" s="44"/>
      <c r="D1273" s="45"/>
      <c r="E1273" s="39" t="s">
        <v>325</v>
      </c>
      <c r="F1273" s="180" t="s">
        <v>1697</v>
      </c>
      <c r="G1273" s="40" t="s">
        <v>116</v>
      </c>
      <c r="H1273" s="46" t="s">
        <v>117</v>
      </c>
      <c r="I1273" s="51" t="str">
        <f>"0x"&amp;AE_w_WORK!M120</f>
        <v>0x4443</v>
      </c>
      <c r="J1273" s="41">
        <v>40473</v>
      </c>
      <c r="K1273" s="42"/>
    </row>
    <row r="1274" spans="2:11" s="179" customFormat="1" hidden="1" outlineLevel="1">
      <c r="B1274" s="178">
        <v>1268</v>
      </c>
      <c r="C1274" s="44"/>
      <c r="D1274" s="45"/>
      <c r="E1274" s="39" t="s">
        <v>325</v>
      </c>
      <c r="F1274" s="180" t="s">
        <v>1698</v>
      </c>
      <c r="G1274" s="40" t="s">
        <v>118</v>
      </c>
      <c r="H1274" s="46" t="s">
        <v>119</v>
      </c>
      <c r="I1274" s="51" t="str">
        <f>"0x"&amp;AE_w_WORK!M121</f>
        <v>0x2110</v>
      </c>
      <c r="J1274" s="41">
        <v>40473</v>
      </c>
      <c r="K1274" s="42"/>
    </row>
    <row r="1275" spans="2:11" s="179" customFormat="1" hidden="1" outlineLevel="1">
      <c r="B1275" s="178">
        <v>1269</v>
      </c>
      <c r="C1275" s="44"/>
      <c r="D1275" s="45"/>
      <c r="E1275" s="39" t="s">
        <v>325</v>
      </c>
      <c r="F1275" s="180" t="s">
        <v>1699</v>
      </c>
      <c r="G1275" s="40" t="s">
        <v>120</v>
      </c>
      <c r="H1275" s="46" t="s">
        <v>264</v>
      </c>
      <c r="I1275" s="51" t="str">
        <f>"0x"&amp;AE_w_WORK!M122</f>
        <v>0x0112</v>
      </c>
      <c r="J1275" s="41">
        <v>40473</v>
      </c>
      <c r="K1275" s="42"/>
    </row>
    <row r="1276" spans="2:11" s="179" customFormat="1" hidden="1" outlineLevel="1">
      <c r="B1276" s="178">
        <v>1270</v>
      </c>
      <c r="C1276" s="44"/>
      <c r="D1276" s="45"/>
      <c r="E1276" s="39" t="s">
        <v>325</v>
      </c>
      <c r="F1276" s="180" t="s">
        <v>1700</v>
      </c>
      <c r="G1276" s="40" t="s">
        <v>0</v>
      </c>
      <c r="H1276" s="46" t="s">
        <v>1</v>
      </c>
      <c r="I1276" s="51" t="str">
        <f>"0x"&amp;AE_w_WORK!M123</f>
        <v>0x3344</v>
      </c>
      <c r="J1276" s="41">
        <v>40473</v>
      </c>
      <c r="K1276" s="42"/>
    </row>
    <row r="1277" spans="2:11" s="179" customFormat="1" hidden="1" outlineLevel="1">
      <c r="B1277" s="178">
        <v>1271</v>
      </c>
      <c r="C1277" s="44"/>
      <c r="D1277" s="45"/>
      <c r="E1277" s="39" t="s">
        <v>325</v>
      </c>
      <c r="F1277" s="180" t="s">
        <v>1701</v>
      </c>
      <c r="G1277" s="40" t="s">
        <v>2</v>
      </c>
      <c r="H1277" s="46" t="s">
        <v>3</v>
      </c>
      <c r="I1277" s="51" t="str">
        <f>"0x"&amp;AE_w_WORK!M124</f>
        <v>0x4433</v>
      </c>
      <c r="J1277" s="41">
        <v>40473</v>
      </c>
      <c r="K1277" s="42"/>
    </row>
    <row r="1278" spans="2:11" s="179" customFormat="1" hidden="1" outlineLevel="1">
      <c r="B1278" s="178">
        <v>1272</v>
      </c>
      <c r="C1278" s="44"/>
      <c r="D1278" s="45"/>
      <c r="E1278" s="39" t="s">
        <v>325</v>
      </c>
      <c r="F1278" s="180" t="s">
        <v>1702</v>
      </c>
      <c r="G1278" s="40" t="s">
        <v>4</v>
      </c>
      <c r="H1278" s="46" t="s">
        <v>5</v>
      </c>
      <c r="I1278" s="51" t="str">
        <f>"0x"&amp;AE_w_WORK!M125</f>
        <v>0x2110</v>
      </c>
      <c r="J1278" s="41">
        <v>40473</v>
      </c>
      <c r="K1278" s="42"/>
    </row>
    <row r="1279" spans="2:11" s="179" customFormat="1" hidden="1" outlineLevel="1">
      <c r="B1279" s="178">
        <v>1273</v>
      </c>
      <c r="C1279" s="44"/>
      <c r="D1279" s="45"/>
      <c r="E1279" s="39" t="s">
        <v>325</v>
      </c>
      <c r="F1279" s="180" t="s">
        <v>1703</v>
      </c>
      <c r="G1279" s="40" t="s">
        <v>6</v>
      </c>
      <c r="H1279" s="46" t="s">
        <v>7</v>
      </c>
      <c r="I1279" s="51" t="str">
        <f>"0x"&amp;AE_w_WORK!M126</f>
        <v>0x0112</v>
      </c>
      <c r="J1279" s="41">
        <v>40473</v>
      </c>
      <c r="K1279" s="42"/>
    </row>
    <row r="1280" spans="2:11" s="179" customFormat="1" hidden="1" outlineLevel="1">
      <c r="B1280" s="178">
        <v>1274</v>
      </c>
      <c r="C1280" s="44"/>
      <c r="D1280" s="45"/>
      <c r="E1280" s="39" t="s">
        <v>325</v>
      </c>
      <c r="F1280" s="180" t="s">
        <v>1704</v>
      </c>
      <c r="G1280" s="40" t="s">
        <v>8</v>
      </c>
      <c r="H1280" s="46" t="s">
        <v>9</v>
      </c>
      <c r="I1280" s="51" t="str">
        <f>"0x"&amp;AE_w_WORK!M127</f>
        <v>0x3344</v>
      </c>
      <c r="J1280" s="41">
        <v>40473</v>
      </c>
      <c r="K1280" s="42"/>
    </row>
    <row r="1281" spans="2:11" s="179" customFormat="1" hidden="1" outlineLevel="1">
      <c r="B1281" s="178">
        <v>1275</v>
      </c>
      <c r="C1281" s="44"/>
      <c r="D1281" s="45"/>
      <c r="E1281" s="39" t="s">
        <v>325</v>
      </c>
      <c r="F1281" s="180" t="s">
        <v>1705</v>
      </c>
      <c r="G1281" s="40" t="s">
        <v>10</v>
      </c>
      <c r="H1281" s="46" t="s">
        <v>11</v>
      </c>
      <c r="I1281" s="51" t="str">
        <f>"0x"&amp;AE_w_WORK!M128</f>
        <v>0x4433</v>
      </c>
      <c r="J1281" s="41">
        <v>40473</v>
      </c>
      <c r="K1281" s="42"/>
    </row>
    <row r="1282" spans="2:11" s="179" customFormat="1" hidden="1" outlineLevel="1">
      <c r="B1282" s="178">
        <v>1276</v>
      </c>
      <c r="C1282" s="44"/>
      <c r="D1282" s="45"/>
      <c r="E1282" s="39" t="s">
        <v>325</v>
      </c>
      <c r="F1282" s="180" t="s">
        <v>1706</v>
      </c>
      <c r="G1282" s="40" t="s">
        <v>12</v>
      </c>
      <c r="H1282" s="46" t="s">
        <v>13</v>
      </c>
      <c r="I1282" s="51" t="str">
        <f>"0x"&amp;AE_w_WORK!M129</f>
        <v>0x2110</v>
      </c>
      <c r="J1282" s="41">
        <v>40473</v>
      </c>
      <c r="K1282" s="42"/>
    </row>
    <row r="1283" spans="2:11" s="179" customFormat="1" hidden="1" outlineLevel="1">
      <c r="B1283" s="178">
        <v>1277</v>
      </c>
      <c r="C1283" s="44"/>
      <c r="D1283" s="45"/>
      <c r="E1283" s="39" t="s">
        <v>325</v>
      </c>
      <c r="F1283" s="180" t="s">
        <v>1707</v>
      </c>
      <c r="G1283" s="40" t="s">
        <v>14</v>
      </c>
      <c r="H1283" s="46" t="s">
        <v>15</v>
      </c>
      <c r="I1283" s="51" t="str">
        <f>"0x"&amp;AE_w_WORK!M130</f>
        <v>0x0112</v>
      </c>
      <c r="J1283" s="41">
        <v>40473</v>
      </c>
      <c r="K1283" s="42"/>
    </row>
    <row r="1284" spans="2:11" s="179" customFormat="1" hidden="1" outlineLevel="1">
      <c r="B1284" s="178">
        <v>1278</v>
      </c>
      <c r="C1284" s="44"/>
      <c r="D1284" s="45"/>
      <c r="E1284" s="39" t="s">
        <v>325</v>
      </c>
      <c r="F1284" s="180" t="s">
        <v>1708</v>
      </c>
      <c r="G1284" s="40" t="s">
        <v>16</v>
      </c>
      <c r="H1284" s="46" t="s">
        <v>17</v>
      </c>
      <c r="I1284" s="51" t="str">
        <f>"0x"&amp;AE_w_WORK!M131</f>
        <v>0x3334</v>
      </c>
      <c r="J1284" s="41">
        <v>40473</v>
      </c>
      <c r="K1284" s="42"/>
    </row>
    <row r="1285" spans="2:11" s="179" customFormat="1" hidden="1" outlineLevel="1">
      <c r="B1285" s="178">
        <v>1279</v>
      </c>
      <c r="C1285" s="44"/>
      <c r="D1285" s="45"/>
      <c r="E1285" s="39" t="s">
        <v>325</v>
      </c>
      <c r="F1285" s="180" t="s">
        <v>1709</v>
      </c>
      <c r="G1285" s="40" t="s">
        <v>18</v>
      </c>
      <c r="H1285" s="46" t="s">
        <v>19</v>
      </c>
      <c r="I1285" s="51" t="str">
        <f>"0x"&amp;AE_w_WORK!M132</f>
        <v>0x4333</v>
      </c>
      <c r="J1285" s="41">
        <v>40473</v>
      </c>
      <c r="K1285" s="42"/>
    </row>
    <row r="1286" spans="2:11" s="179" customFormat="1" hidden="1" outlineLevel="1">
      <c r="B1286" s="178">
        <v>1280</v>
      </c>
      <c r="C1286" s="44"/>
      <c r="D1286" s="45"/>
      <c r="E1286" s="39" t="s">
        <v>325</v>
      </c>
      <c r="F1286" s="180" t="s">
        <v>1710</v>
      </c>
      <c r="G1286" s="40" t="s">
        <v>20</v>
      </c>
      <c r="H1286" s="46" t="s">
        <v>21</v>
      </c>
      <c r="I1286" s="51" t="str">
        <f>"0x"&amp;AE_w_WORK!M133</f>
        <v>0x2110</v>
      </c>
      <c r="J1286" s="41">
        <v>40473</v>
      </c>
      <c r="K1286" s="42"/>
    </row>
    <row r="1287" spans="2:11" s="179" customFormat="1" collapsed="1">
      <c r="B1287" s="178">
        <v>1281</v>
      </c>
      <c r="C1287" s="44"/>
      <c r="D1287" s="45"/>
      <c r="E1287" s="39" t="s">
        <v>325</v>
      </c>
      <c r="F1287" s="180" t="s">
        <v>1711</v>
      </c>
      <c r="G1287" s="40" t="s">
        <v>79</v>
      </c>
      <c r="H1287" s="46" t="s">
        <v>80</v>
      </c>
      <c r="I1287" s="51" t="str">
        <f>"0x"&amp;AE_w_WORK!N6</f>
        <v>0x0000</v>
      </c>
      <c r="J1287" s="41">
        <v>40473</v>
      </c>
      <c r="K1287" s="42" t="s">
        <v>425</v>
      </c>
    </row>
    <row r="1288" spans="2:11" s="179" customFormat="1" hidden="1" outlineLevel="1">
      <c r="B1288" s="178">
        <v>1282</v>
      </c>
      <c r="C1288" s="44"/>
      <c r="D1288" s="45"/>
      <c r="E1288" s="39" t="s">
        <v>325</v>
      </c>
      <c r="F1288" s="180" t="s">
        <v>1712</v>
      </c>
      <c r="G1288" s="40" t="s">
        <v>77</v>
      </c>
      <c r="H1288" s="46" t="s">
        <v>78</v>
      </c>
      <c r="I1288" s="51" t="str">
        <f>"0x"&amp;AE_w_WORK!N7</f>
        <v>0x0000</v>
      </c>
      <c r="J1288" s="41">
        <v>40473</v>
      </c>
      <c r="K1288" s="42"/>
    </row>
    <row r="1289" spans="2:11" s="179" customFormat="1" hidden="1" outlineLevel="1">
      <c r="B1289" s="178">
        <v>1283</v>
      </c>
      <c r="C1289" s="44"/>
      <c r="D1289" s="45"/>
      <c r="E1289" s="39" t="s">
        <v>325</v>
      </c>
      <c r="F1289" s="180" t="s">
        <v>1713</v>
      </c>
      <c r="G1289" s="40" t="s">
        <v>22</v>
      </c>
      <c r="H1289" s="46" t="s">
        <v>23</v>
      </c>
      <c r="I1289" s="51" t="str">
        <f>"0x"&amp;AE_w_WORK!N8</f>
        <v>0x0000</v>
      </c>
      <c r="J1289" s="41">
        <v>40473</v>
      </c>
      <c r="K1289" s="42"/>
    </row>
    <row r="1290" spans="2:11" s="179" customFormat="1" hidden="1" outlineLevel="1">
      <c r="B1290" s="178">
        <v>1284</v>
      </c>
      <c r="C1290" s="44"/>
      <c r="D1290" s="45"/>
      <c r="E1290" s="39" t="s">
        <v>325</v>
      </c>
      <c r="F1290" s="180" t="s">
        <v>1714</v>
      </c>
      <c r="G1290" s="40" t="s">
        <v>24</v>
      </c>
      <c r="H1290" s="46" t="s">
        <v>25</v>
      </c>
      <c r="I1290" s="51" t="str">
        <f>"0x"&amp;AE_w_WORK!N9</f>
        <v>0x0000</v>
      </c>
      <c r="J1290" s="41">
        <v>40473</v>
      </c>
      <c r="K1290" s="42"/>
    </row>
    <row r="1291" spans="2:11" s="179" customFormat="1" hidden="1" outlineLevel="1">
      <c r="B1291" s="178">
        <v>1285</v>
      </c>
      <c r="C1291" s="44"/>
      <c r="D1291" s="45"/>
      <c r="E1291" s="39" t="s">
        <v>325</v>
      </c>
      <c r="F1291" s="180" t="s">
        <v>1715</v>
      </c>
      <c r="G1291" s="40" t="s">
        <v>26</v>
      </c>
      <c r="H1291" s="46" t="s">
        <v>27</v>
      </c>
      <c r="I1291" s="51" t="str">
        <f>"0x"&amp;AE_w_WORK!N10</f>
        <v>0x0000</v>
      </c>
      <c r="J1291" s="41">
        <v>40473</v>
      </c>
      <c r="K1291" s="42"/>
    </row>
    <row r="1292" spans="2:11" s="179" customFormat="1" hidden="1" outlineLevel="1">
      <c r="B1292" s="178">
        <v>1286</v>
      </c>
      <c r="C1292" s="44"/>
      <c r="D1292" s="45"/>
      <c r="E1292" s="39" t="s">
        <v>325</v>
      </c>
      <c r="F1292" s="180" t="s">
        <v>1716</v>
      </c>
      <c r="G1292" s="40" t="s">
        <v>28</v>
      </c>
      <c r="H1292" s="46" t="s">
        <v>29</v>
      </c>
      <c r="I1292" s="51" t="str">
        <f>"0x"&amp;AE_w_WORK!N11</f>
        <v>0x0000</v>
      </c>
      <c r="J1292" s="41">
        <v>40473</v>
      </c>
      <c r="K1292" s="42"/>
    </row>
    <row r="1293" spans="2:11" s="179" customFormat="1" hidden="1" outlineLevel="1">
      <c r="B1293" s="178">
        <v>1287</v>
      </c>
      <c r="C1293" s="44"/>
      <c r="D1293" s="45"/>
      <c r="E1293" s="39" t="s">
        <v>325</v>
      </c>
      <c r="F1293" s="180" t="s">
        <v>1717</v>
      </c>
      <c r="G1293" s="40" t="s">
        <v>30</v>
      </c>
      <c r="H1293" s="46" t="s">
        <v>31</v>
      </c>
      <c r="I1293" s="51" t="str">
        <f>"0x"&amp;AE_w_WORK!N12</f>
        <v>0x0000</v>
      </c>
      <c r="J1293" s="41">
        <v>40473</v>
      </c>
      <c r="K1293" s="42"/>
    </row>
    <row r="1294" spans="2:11" s="179" customFormat="1" hidden="1" outlineLevel="1">
      <c r="B1294" s="178">
        <v>1288</v>
      </c>
      <c r="C1294" s="44"/>
      <c r="D1294" s="45"/>
      <c r="E1294" s="39" t="s">
        <v>325</v>
      </c>
      <c r="F1294" s="180" t="s">
        <v>1718</v>
      </c>
      <c r="G1294" s="40" t="s">
        <v>32</v>
      </c>
      <c r="H1294" s="46" t="s">
        <v>33</v>
      </c>
      <c r="I1294" s="51" t="str">
        <f>"0x"&amp;AE_w_WORK!N13</f>
        <v>0x0000</v>
      </c>
      <c r="J1294" s="41">
        <v>40473</v>
      </c>
      <c r="K1294" s="42"/>
    </row>
    <row r="1295" spans="2:11" s="179" customFormat="1" hidden="1" outlineLevel="1">
      <c r="B1295" s="178">
        <v>1289</v>
      </c>
      <c r="C1295" s="44"/>
      <c r="D1295" s="45"/>
      <c r="E1295" s="39" t="s">
        <v>325</v>
      </c>
      <c r="F1295" s="180" t="s">
        <v>1719</v>
      </c>
      <c r="G1295" s="40" t="s">
        <v>34</v>
      </c>
      <c r="H1295" s="46" t="s">
        <v>35</v>
      </c>
      <c r="I1295" s="51" t="str">
        <f>"0x"&amp;AE_w_WORK!N14</f>
        <v>0x0000</v>
      </c>
      <c r="J1295" s="41">
        <v>40473</v>
      </c>
      <c r="K1295" s="42"/>
    </row>
    <row r="1296" spans="2:11" s="179" customFormat="1" hidden="1" outlineLevel="1">
      <c r="B1296" s="178">
        <v>1290</v>
      </c>
      <c r="C1296" s="44"/>
      <c r="D1296" s="45"/>
      <c r="E1296" s="39" t="s">
        <v>325</v>
      </c>
      <c r="F1296" s="180" t="s">
        <v>1720</v>
      </c>
      <c r="G1296" s="40" t="s">
        <v>36</v>
      </c>
      <c r="H1296" s="46" t="s">
        <v>37</v>
      </c>
      <c r="I1296" s="51" t="str">
        <f>"0x"&amp;AE_w_WORK!N15</f>
        <v>0x0011</v>
      </c>
      <c r="J1296" s="41">
        <v>40473</v>
      </c>
      <c r="K1296" s="42"/>
    </row>
    <row r="1297" spans="2:11" s="179" customFormat="1" hidden="1" outlineLevel="1">
      <c r="B1297" s="178">
        <v>1291</v>
      </c>
      <c r="C1297" s="44"/>
      <c r="D1297" s="45"/>
      <c r="E1297" s="39" t="s">
        <v>325</v>
      </c>
      <c r="F1297" s="180" t="s">
        <v>1721</v>
      </c>
      <c r="G1297" s="40" t="s">
        <v>38</v>
      </c>
      <c r="H1297" s="46" t="s">
        <v>39</v>
      </c>
      <c r="I1297" s="51" t="str">
        <f>"0x"&amp;AE_w_WORK!N16</f>
        <v>0x1111</v>
      </c>
      <c r="J1297" s="41">
        <v>40473</v>
      </c>
      <c r="K1297" s="42"/>
    </row>
    <row r="1298" spans="2:11" s="179" customFormat="1" hidden="1" outlineLevel="1">
      <c r="B1298" s="178">
        <v>1292</v>
      </c>
      <c r="C1298" s="44"/>
      <c r="D1298" s="45"/>
      <c r="E1298" s="39" t="s">
        <v>325</v>
      </c>
      <c r="F1298" s="180" t="s">
        <v>1722</v>
      </c>
      <c r="G1298" s="40" t="s">
        <v>40</v>
      </c>
      <c r="H1298" s="46" t="s">
        <v>41</v>
      </c>
      <c r="I1298" s="51" t="str">
        <f>"0x"&amp;AE_w_WORK!N17</f>
        <v>0x1111</v>
      </c>
      <c r="J1298" s="41">
        <v>40473</v>
      </c>
      <c r="K1298" s="42"/>
    </row>
    <row r="1299" spans="2:11" s="179" customFormat="1" hidden="1" outlineLevel="1">
      <c r="B1299" s="178">
        <v>1293</v>
      </c>
      <c r="C1299" s="44"/>
      <c r="D1299" s="45"/>
      <c r="E1299" s="39" t="s">
        <v>325</v>
      </c>
      <c r="F1299" s="180" t="s">
        <v>1723</v>
      </c>
      <c r="G1299" s="40" t="s">
        <v>42</v>
      </c>
      <c r="H1299" s="46" t="s">
        <v>43</v>
      </c>
      <c r="I1299" s="51" t="str">
        <f>"0x"&amp;AE_w_WORK!N18</f>
        <v>0x0000</v>
      </c>
      <c r="J1299" s="41">
        <v>40473</v>
      </c>
      <c r="K1299" s="42"/>
    </row>
    <row r="1300" spans="2:11" s="179" customFormat="1" hidden="1" outlineLevel="1">
      <c r="B1300" s="178">
        <v>1294</v>
      </c>
      <c r="C1300" s="44"/>
      <c r="D1300" s="45"/>
      <c r="E1300" s="39" t="s">
        <v>325</v>
      </c>
      <c r="F1300" s="180" t="s">
        <v>1724</v>
      </c>
      <c r="G1300" s="40" t="s">
        <v>44</v>
      </c>
      <c r="H1300" s="46" t="s">
        <v>45</v>
      </c>
      <c r="I1300" s="51" t="str">
        <f>"0x"&amp;AE_w_WORK!N19</f>
        <v>0x0111</v>
      </c>
      <c r="J1300" s="41">
        <v>40473</v>
      </c>
      <c r="K1300" s="42"/>
    </row>
    <row r="1301" spans="2:11" s="179" customFormat="1" hidden="1" outlineLevel="1">
      <c r="B1301" s="178">
        <v>1295</v>
      </c>
      <c r="C1301" s="44"/>
      <c r="D1301" s="45"/>
      <c r="E1301" s="39" t="s">
        <v>325</v>
      </c>
      <c r="F1301" s="180" t="s">
        <v>1725</v>
      </c>
      <c r="G1301" s="40" t="s">
        <v>46</v>
      </c>
      <c r="H1301" s="46" t="s">
        <v>47</v>
      </c>
      <c r="I1301" s="51" t="str">
        <f>"0x"&amp;AE_w_WORK!N20</f>
        <v>0x1111</v>
      </c>
      <c r="J1301" s="41">
        <v>40473</v>
      </c>
      <c r="K1301" s="42"/>
    </row>
    <row r="1302" spans="2:11" s="179" customFormat="1" hidden="1" outlineLevel="1">
      <c r="B1302" s="178">
        <v>1296</v>
      </c>
      <c r="C1302" s="44"/>
      <c r="D1302" s="45"/>
      <c r="E1302" s="39" t="s">
        <v>325</v>
      </c>
      <c r="F1302" s="180" t="s">
        <v>1726</v>
      </c>
      <c r="G1302" s="40" t="s">
        <v>48</v>
      </c>
      <c r="H1302" s="46" t="s">
        <v>49</v>
      </c>
      <c r="I1302" s="51" t="str">
        <f>"0x"&amp;AE_w_WORK!N21</f>
        <v>0x1111</v>
      </c>
      <c r="J1302" s="41">
        <v>40473</v>
      </c>
      <c r="K1302" s="42"/>
    </row>
    <row r="1303" spans="2:11" s="179" customFormat="1" hidden="1" outlineLevel="1">
      <c r="B1303" s="178">
        <v>1297</v>
      </c>
      <c r="C1303" s="44"/>
      <c r="D1303" s="45"/>
      <c r="E1303" s="39" t="s">
        <v>325</v>
      </c>
      <c r="F1303" s="180" t="s">
        <v>1727</v>
      </c>
      <c r="G1303" s="40" t="s">
        <v>50</v>
      </c>
      <c r="H1303" s="46" t="s">
        <v>51</v>
      </c>
      <c r="I1303" s="51" t="str">
        <f>"0x"&amp;AE_w_WORK!N22</f>
        <v>0x0000</v>
      </c>
      <c r="J1303" s="41">
        <v>40473</v>
      </c>
      <c r="K1303" s="42"/>
    </row>
    <row r="1304" spans="2:11" s="179" customFormat="1" hidden="1" outlineLevel="1">
      <c r="B1304" s="178">
        <v>1298</v>
      </c>
      <c r="C1304" s="44"/>
      <c r="D1304" s="45"/>
      <c r="E1304" s="39" t="s">
        <v>325</v>
      </c>
      <c r="F1304" s="180" t="s">
        <v>1728</v>
      </c>
      <c r="G1304" s="40" t="s">
        <v>52</v>
      </c>
      <c r="H1304" s="46" t="s">
        <v>53</v>
      </c>
      <c r="I1304" s="51" t="str">
        <f>"0x"&amp;AE_w_WORK!N23</f>
        <v>0x1122</v>
      </c>
      <c r="J1304" s="41">
        <v>40473</v>
      </c>
      <c r="K1304" s="42"/>
    </row>
    <row r="1305" spans="2:11" s="179" customFormat="1" hidden="1" outlineLevel="1">
      <c r="B1305" s="178">
        <v>1299</v>
      </c>
      <c r="C1305" s="44"/>
      <c r="D1305" s="45"/>
      <c r="E1305" s="39" t="s">
        <v>325</v>
      </c>
      <c r="F1305" s="180" t="s">
        <v>1729</v>
      </c>
      <c r="G1305" s="40" t="s">
        <v>54</v>
      </c>
      <c r="H1305" s="46" t="s">
        <v>55</v>
      </c>
      <c r="I1305" s="51" t="str">
        <f>"0x"&amp;AE_w_WORK!N24</f>
        <v>0x2222</v>
      </c>
      <c r="J1305" s="41">
        <v>40473</v>
      </c>
      <c r="K1305" s="42"/>
    </row>
    <row r="1306" spans="2:11" s="179" customFormat="1" hidden="1" outlineLevel="1">
      <c r="B1306" s="178">
        <v>1300</v>
      </c>
      <c r="C1306" s="44"/>
      <c r="D1306" s="45"/>
      <c r="E1306" s="39" t="s">
        <v>325</v>
      </c>
      <c r="F1306" s="180" t="s">
        <v>1730</v>
      </c>
      <c r="G1306" s="40" t="s">
        <v>56</v>
      </c>
      <c r="H1306" s="46" t="s">
        <v>57</v>
      </c>
      <c r="I1306" s="51" t="str">
        <f>"0x"&amp;AE_w_WORK!N25</f>
        <v>0x2111</v>
      </c>
      <c r="J1306" s="41">
        <v>40473</v>
      </c>
      <c r="K1306" s="42"/>
    </row>
    <row r="1307" spans="2:11" s="179" customFormat="1" hidden="1" outlineLevel="1">
      <c r="B1307" s="178">
        <v>1301</v>
      </c>
      <c r="C1307" s="44"/>
      <c r="D1307" s="45"/>
      <c r="E1307" s="39" t="s">
        <v>325</v>
      </c>
      <c r="F1307" s="180" t="s">
        <v>1731</v>
      </c>
      <c r="G1307" s="40" t="s">
        <v>58</v>
      </c>
      <c r="H1307" s="46" t="s">
        <v>59</v>
      </c>
      <c r="I1307" s="51" t="str">
        <f>"0x"&amp;AE_w_WORK!N26</f>
        <v>0x0000</v>
      </c>
      <c r="J1307" s="41">
        <v>40473</v>
      </c>
      <c r="K1307" s="42"/>
    </row>
    <row r="1308" spans="2:11" s="179" customFormat="1" hidden="1" outlineLevel="1">
      <c r="B1308" s="178">
        <v>1302</v>
      </c>
      <c r="C1308" s="44"/>
      <c r="D1308" s="45"/>
      <c r="E1308" s="39" t="s">
        <v>325</v>
      </c>
      <c r="F1308" s="180" t="s">
        <v>1732</v>
      </c>
      <c r="G1308" s="40" t="s">
        <v>60</v>
      </c>
      <c r="H1308" s="46" t="s">
        <v>61</v>
      </c>
      <c r="I1308" s="51" t="str">
        <f>"0x"&amp;AE_w_WORK!N27</f>
        <v>0x1222</v>
      </c>
      <c r="J1308" s="41">
        <v>40473</v>
      </c>
      <c r="K1308" s="42"/>
    </row>
    <row r="1309" spans="2:11" s="179" customFormat="1" hidden="1" outlineLevel="1">
      <c r="B1309" s="178">
        <v>1303</v>
      </c>
      <c r="C1309" s="44"/>
      <c r="D1309" s="45"/>
      <c r="E1309" s="39" t="s">
        <v>325</v>
      </c>
      <c r="F1309" s="180" t="s">
        <v>1733</v>
      </c>
      <c r="G1309" s="40" t="s">
        <v>62</v>
      </c>
      <c r="H1309" s="46" t="s">
        <v>63</v>
      </c>
      <c r="I1309" s="51" t="str">
        <f>"0x"&amp;AE_w_WORK!N28</f>
        <v>0x2222</v>
      </c>
      <c r="J1309" s="41">
        <v>40473</v>
      </c>
      <c r="K1309" s="42"/>
    </row>
    <row r="1310" spans="2:11" s="179" customFormat="1" hidden="1" outlineLevel="1">
      <c r="B1310" s="178">
        <v>1304</v>
      </c>
      <c r="C1310" s="44"/>
      <c r="D1310" s="45"/>
      <c r="E1310" s="39" t="s">
        <v>325</v>
      </c>
      <c r="F1310" s="180" t="s">
        <v>1734</v>
      </c>
      <c r="G1310" s="40" t="s">
        <v>64</v>
      </c>
      <c r="H1310" s="46" t="s">
        <v>65</v>
      </c>
      <c r="I1310" s="51" t="str">
        <f>"0x"&amp;AE_w_WORK!N29</f>
        <v>0x2222</v>
      </c>
      <c r="J1310" s="41">
        <v>40473</v>
      </c>
      <c r="K1310" s="42"/>
    </row>
    <row r="1311" spans="2:11" s="179" customFormat="1" hidden="1" outlineLevel="1">
      <c r="B1311" s="178">
        <v>1305</v>
      </c>
      <c r="C1311" s="44"/>
      <c r="D1311" s="45"/>
      <c r="E1311" s="39" t="s">
        <v>325</v>
      </c>
      <c r="F1311" s="180" t="s">
        <v>1735</v>
      </c>
      <c r="G1311" s="40" t="s">
        <v>66</v>
      </c>
      <c r="H1311" s="46" t="s">
        <v>67</v>
      </c>
      <c r="I1311" s="51" t="str">
        <f>"0x"&amp;AE_w_WORK!N30</f>
        <v>0x0001</v>
      </c>
      <c r="J1311" s="41">
        <v>40473</v>
      </c>
      <c r="K1311" s="42"/>
    </row>
    <row r="1312" spans="2:11" s="179" customFormat="1" hidden="1" outlineLevel="1">
      <c r="B1312" s="178">
        <v>1306</v>
      </c>
      <c r="C1312" s="44"/>
      <c r="D1312" s="45"/>
      <c r="E1312" s="39" t="s">
        <v>325</v>
      </c>
      <c r="F1312" s="180" t="s">
        <v>1736</v>
      </c>
      <c r="G1312" s="40" t="s">
        <v>68</v>
      </c>
      <c r="H1312" s="46" t="s">
        <v>69</v>
      </c>
      <c r="I1312" s="51" t="str">
        <f>"0x"&amp;AE_w_WORK!N31</f>
        <v>0x2223</v>
      </c>
      <c r="J1312" s="41">
        <v>40473</v>
      </c>
      <c r="K1312" s="42"/>
    </row>
    <row r="1313" spans="2:11" s="179" customFormat="1" hidden="1" outlineLevel="1">
      <c r="B1313" s="178">
        <v>1307</v>
      </c>
      <c r="C1313" s="44"/>
      <c r="D1313" s="45"/>
      <c r="E1313" s="39" t="s">
        <v>325</v>
      </c>
      <c r="F1313" s="180" t="s">
        <v>1737</v>
      </c>
      <c r="G1313" s="40" t="s">
        <v>70</v>
      </c>
      <c r="H1313" s="46" t="s">
        <v>71</v>
      </c>
      <c r="I1313" s="51" t="str">
        <f>"0x"&amp;AE_w_WORK!N32</f>
        <v>0x3333</v>
      </c>
      <c r="J1313" s="41">
        <v>40473</v>
      </c>
      <c r="K1313" s="42"/>
    </row>
    <row r="1314" spans="2:11" s="179" customFormat="1" hidden="1" outlineLevel="1">
      <c r="B1314" s="178">
        <v>1308</v>
      </c>
      <c r="C1314" s="44"/>
      <c r="D1314" s="45"/>
      <c r="E1314" s="39" t="s">
        <v>325</v>
      </c>
      <c r="F1314" s="180" t="s">
        <v>1738</v>
      </c>
      <c r="G1314" s="40" t="s">
        <v>72</v>
      </c>
      <c r="H1314" s="46" t="s">
        <v>73</v>
      </c>
      <c r="I1314" s="51" t="str">
        <f>"0x"&amp;AE_w_WORK!N33</f>
        <v>0x3222</v>
      </c>
      <c r="J1314" s="41">
        <v>40473</v>
      </c>
      <c r="K1314" s="42"/>
    </row>
    <row r="1315" spans="2:11" s="179" customFormat="1" hidden="1" outlineLevel="1">
      <c r="B1315" s="178">
        <v>1309</v>
      </c>
      <c r="C1315" s="44"/>
      <c r="D1315" s="45"/>
      <c r="E1315" s="39" t="s">
        <v>325</v>
      </c>
      <c r="F1315" s="180" t="s">
        <v>1739</v>
      </c>
      <c r="G1315" s="40" t="s">
        <v>74</v>
      </c>
      <c r="H1315" s="46" t="s">
        <v>128</v>
      </c>
      <c r="I1315" s="51" t="str">
        <f>"0x"&amp;AE_w_WORK!N34</f>
        <v>0x0001</v>
      </c>
      <c r="J1315" s="41">
        <v>40473</v>
      </c>
      <c r="K1315" s="42"/>
    </row>
    <row r="1316" spans="2:11" s="179" customFormat="1" hidden="1" outlineLevel="1">
      <c r="B1316" s="178">
        <v>1310</v>
      </c>
      <c r="C1316" s="44"/>
      <c r="D1316" s="45"/>
      <c r="E1316" s="39" t="s">
        <v>325</v>
      </c>
      <c r="F1316" s="180" t="s">
        <v>1740</v>
      </c>
      <c r="G1316" s="40" t="s">
        <v>129</v>
      </c>
      <c r="H1316" s="46" t="s">
        <v>130</v>
      </c>
      <c r="I1316" s="51" t="str">
        <f>"0x"&amp;AE_w_WORK!N35</f>
        <v>0x2233</v>
      </c>
      <c r="J1316" s="41">
        <v>40473</v>
      </c>
      <c r="K1316" s="42"/>
    </row>
    <row r="1317" spans="2:11" s="179" customFormat="1" hidden="1" outlineLevel="1">
      <c r="B1317" s="178">
        <v>1311</v>
      </c>
      <c r="C1317" s="44"/>
      <c r="D1317" s="45"/>
      <c r="E1317" s="39" t="s">
        <v>325</v>
      </c>
      <c r="F1317" s="180" t="s">
        <v>1741</v>
      </c>
      <c r="G1317" s="40" t="s">
        <v>131</v>
      </c>
      <c r="H1317" s="46" t="s">
        <v>132</v>
      </c>
      <c r="I1317" s="51" t="str">
        <f>"0x"&amp;AE_w_WORK!N36</f>
        <v>0x3333</v>
      </c>
      <c r="J1317" s="41">
        <v>40473</v>
      </c>
      <c r="K1317" s="42"/>
    </row>
    <row r="1318" spans="2:11" s="179" customFormat="1" hidden="1" outlineLevel="1">
      <c r="B1318" s="178">
        <v>1312</v>
      </c>
      <c r="C1318" s="44"/>
      <c r="D1318" s="45"/>
      <c r="E1318" s="39" t="s">
        <v>325</v>
      </c>
      <c r="F1318" s="180" t="s">
        <v>1742</v>
      </c>
      <c r="G1318" s="40" t="s">
        <v>133</v>
      </c>
      <c r="H1318" s="46" t="s">
        <v>134</v>
      </c>
      <c r="I1318" s="51" t="str">
        <f>"0x"&amp;AE_w_WORK!N37</f>
        <v>0x3333</v>
      </c>
      <c r="J1318" s="41">
        <v>40473</v>
      </c>
      <c r="K1318" s="42"/>
    </row>
    <row r="1319" spans="2:11" s="179" customFormat="1" hidden="1" outlineLevel="1">
      <c r="B1319" s="178">
        <v>1313</v>
      </c>
      <c r="C1319" s="44"/>
      <c r="D1319" s="45"/>
      <c r="E1319" s="39" t="s">
        <v>325</v>
      </c>
      <c r="F1319" s="180" t="s">
        <v>1743</v>
      </c>
      <c r="G1319" s="40" t="s">
        <v>135</v>
      </c>
      <c r="H1319" s="46" t="s">
        <v>136</v>
      </c>
      <c r="I1319" s="51" t="str">
        <f>"0x"&amp;AE_w_WORK!N38</f>
        <v>0x0012</v>
      </c>
      <c r="J1319" s="41">
        <v>40473</v>
      </c>
      <c r="K1319" s="42"/>
    </row>
    <row r="1320" spans="2:11" s="179" customFormat="1" hidden="1" outlineLevel="1">
      <c r="B1320" s="178">
        <v>1314</v>
      </c>
      <c r="C1320" s="44"/>
      <c r="D1320" s="45"/>
      <c r="E1320" s="39" t="s">
        <v>325</v>
      </c>
      <c r="F1320" s="180" t="s">
        <v>1744</v>
      </c>
      <c r="G1320" s="40" t="s">
        <v>137</v>
      </c>
      <c r="H1320" s="46" t="s">
        <v>138</v>
      </c>
      <c r="I1320" s="51" t="str">
        <f>"0x"&amp;AE_w_WORK!N39</f>
        <v>0x2334</v>
      </c>
      <c r="J1320" s="41">
        <v>40473</v>
      </c>
      <c r="K1320" s="42"/>
    </row>
    <row r="1321" spans="2:11" s="179" customFormat="1" hidden="1" outlineLevel="1">
      <c r="B1321" s="178">
        <v>1315</v>
      </c>
      <c r="C1321" s="44"/>
      <c r="D1321" s="45"/>
      <c r="E1321" s="39" t="s">
        <v>325</v>
      </c>
      <c r="F1321" s="180" t="s">
        <v>1745</v>
      </c>
      <c r="G1321" s="40" t="s">
        <v>139</v>
      </c>
      <c r="H1321" s="46" t="s">
        <v>140</v>
      </c>
      <c r="I1321" s="51" t="str">
        <f>"0x"&amp;AE_w_WORK!N40</f>
        <v>0x4444</v>
      </c>
      <c r="J1321" s="41">
        <v>40473</v>
      </c>
      <c r="K1321" s="42"/>
    </row>
    <row r="1322" spans="2:11" s="179" customFormat="1" hidden="1" outlineLevel="1">
      <c r="B1322" s="178">
        <v>1316</v>
      </c>
      <c r="C1322" s="44"/>
      <c r="D1322" s="45"/>
      <c r="E1322" s="39" t="s">
        <v>325</v>
      </c>
      <c r="F1322" s="180" t="s">
        <v>1746</v>
      </c>
      <c r="G1322" s="40" t="s">
        <v>141</v>
      </c>
      <c r="H1322" s="46" t="s">
        <v>142</v>
      </c>
      <c r="I1322" s="51" t="str">
        <f>"0x"&amp;AE_w_WORK!N41</f>
        <v>0x3333</v>
      </c>
      <c r="J1322" s="41">
        <v>40473</v>
      </c>
      <c r="K1322" s="42"/>
    </row>
    <row r="1323" spans="2:11" s="179" customFormat="1" hidden="1" outlineLevel="1">
      <c r="B1323" s="178">
        <v>1317</v>
      </c>
      <c r="C1323" s="44"/>
      <c r="D1323" s="45"/>
      <c r="E1323" s="39" t="s">
        <v>325</v>
      </c>
      <c r="F1323" s="180" t="s">
        <v>1747</v>
      </c>
      <c r="G1323" s="40" t="s">
        <v>143</v>
      </c>
      <c r="H1323" s="46" t="s">
        <v>144</v>
      </c>
      <c r="I1323" s="51" t="str">
        <f>"0x"&amp;AE_w_WORK!N42</f>
        <v>0x0012</v>
      </c>
      <c r="J1323" s="41">
        <v>40473</v>
      </c>
      <c r="K1323" s="42"/>
    </row>
    <row r="1324" spans="2:11" s="179" customFormat="1" hidden="1" outlineLevel="1">
      <c r="B1324" s="178">
        <v>1318</v>
      </c>
      <c r="C1324" s="44"/>
      <c r="D1324" s="45"/>
      <c r="E1324" s="39" t="s">
        <v>325</v>
      </c>
      <c r="F1324" s="180" t="s">
        <v>1748</v>
      </c>
      <c r="G1324" s="40" t="s">
        <v>145</v>
      </c>
      <c r="H1324" s="46" t="s">
        <v>146</v>
      </c>
      <c r="I1324" s="51" t="str">
        <f>"0x"&amp;AE_w_WORK!N43</f>
        <v>0x3344</v>
      </c>
      <c r="J1324" s="41">
        <v>40473</v>
      </c>
      <c r="K1324" s="42"/>
    </row>
    <row r="1325" spans="2:11" s="179" customFormat="1" hidden="1" outlineLevel="1">
      <c r="B1325" s="178">
        <v>1319</v>
      </c>
      <c r="C1325" s="44"/>
      <c r="D1325" s="45"/>
      <c r="E1325" s="39" t="s">
        <v>325</v>
      </c>
      <c r="F1325" s="180" t="s">
        <v>1749</v>
      </c>
      <c r="G1325" s="40" t="s">
        <v>147</v>
      </c>
      <c r="H1325" s="46" t="s">
        <v>148</v>
      </c>
      <c r="I1325" s="51" t="str">
        <f>"0x"&amp;AE_w_WORK!N44</f>
        <v>0x4444</v>
      </c>
      <c r="J1325" s="41">
        <v>40473</v>
      </c>
      <c r="K1325" s="42"/>
    </row>
    <row r="1326" spans="2:11" s="179" customFormat="1" hidden="1" outlineLevel="1">
      <c r="B1326" s="178">
        <v>1320</v>
      </c>
      <c r="C1326" s="44"/>
      <c r="D1326" s="45"/>
      <c r="E1326" s="39" t="s">
        <v>325</v>
      </c>
      <c r="F1326" s="180" t="s">
        <v>1750</v>
      </c>
      <c r="G1326" s="40" t="s">
        <v>149</v>
      </c>
      <c r="H1326" s="46" t="s">
        <v>150</v>
      </c>
      <c r="I1326" s="51" t="str">
        <f>"0x"&amp;AE_w_WORK!N45</f>
        <v>0x4333</v>
      </c>
      <c r="J1326" s="41">
        <v>40473</v>
      </c>
      <c r="K1326" s="42"/>
    </row>
    <row r="1327" spans="2:11" s="179" customFormat="1" hidden="1" outlineLevel="1">
      <c r="B1327" s="178">
        <v>1321</v>
      </c>
      <c r="C1327" s="44"/>
      <c r="D1327" s="45"/>
      <c r="E1327" s="39" t="s">
        <v>325</v>
      </c>
      <c r="F1327" s="180" t="s">
        <v>1751</v>
      </c>
      <c r="G1327" s="40" t="s">
        <v>151</v>
      </c>
      <c r="H1327" s="46" t="s">
        <v>152</v>
      </c>
      <c r="I1327" s="51" t="str">
        <f>"0x"&amp;AE_w_WORK!N46</f>
        <v>0x0122</v>
      </c>
      <c r="J1327" s="41">
        <v>40473</v>
      </c>
      <c r="K1327" s="42"/>
    </row>
    <row r="1328" spans="2:11" s="179" customFormat="1" hidden="1" outlineLevel="1">
      <c r="B1328" s="178">
        <v>1322</v>
      </c>
      <c r="C1328" s="44"/>
      <c r="D1328" s="45"/>
      <c r="E1328" s="39" t="s">
        <v>325</v>
      </c>
      <c r="F1328" s="180" t="s">
        <v>1752</v>
      </c>
      <c r="G1328" s="40" t="s">
        <v>153</v>
      </c>
      <c r="H1328" s="46" t="s">
        <v>154</v>
      </c>
      <c r="I1328" s="51" t="str">
        <f>"0x"&amp;AE_w_WORK!N47</f>
        <v>0x3445</v>
      </c>
      <c r="J1328" s="41">
        <v>40473</v>
      </c>
      <c r="K1328" s="42"/>
    </row>
    <row r="1329" spans="2:11" s="179" customFormat="1" hidden="1" outlineLevel="1">
      <c r="B1329" s="178">
        <v>1323</v>
      </c>
      <c r="C1329" s="44"/>
      <c r="D1329" s="45"/>
      <c r="E1329" s="39" t="s">
        <v>325</v>
      </c>
      <c r="F1329" s="180" t="s">
        <v>1753</v>
      </c>
      <c r="G1329" s="40" t="s">
        <v>155</v>
      </c>
      <c r="H1329" s="46" t="s">
        <v>156</v>
      </c>
      <c r="I1329" s="51" t="str">
        <f>"0x"&amp;AE_w_WORK!N48</f>
        <v>0x5554</v>
      </c>
      <c r="J1329" s="41">
        <v>40473</v>
      </c>
      <c r="K1329" s="42"/>
    </row>
    <row r="1330" spans="2:11" s="179" customFormat="1" hidden="1" outlineLevel="1">
      <c r="B1330" s="178">
        <v>1324</v>
      </c>
      <c r="C1330" s="44"/>
      <c r="D1330" s="45"/>
      <c r="E1330" s="39" t="s">
        <v>325</v>
      </c>
      <c r="F1330" s="180" t="s">
        <v>1754</v>
      </c>
      <c r="G1330" s="40" t="s">
        <v>157</v>
      </c>
      <c r="H1330" s="46" t="s">
        <v>158</v>
      </c>
      <c r="I1330" s="51" t="str">
        <f>"0x"&amp;AE_w_WORK!N49</f>
        <v>0x4433</v>
      </c>
      <c r="J1330" s="41">
        <v>40473</v>
      </c>
      <c r="K1330" s="42"/>
    </row>
    <row r="1331" spans="2:11" s="179" customFormat="1" hidden="1" outlineLevel="1">
      <c r="B1331" s="178">
        <v>1325</v>
      </c>
      <c r="C1331" s="44"/>
      <c r="D1331" s="45"/>
      <c r="E1331" s="39" t="s">
        <v>325</v>
      </c>
      <c r="F1331" s="180" t="s">
        <v>1755</v>
      </c>
      <c r="G1331" s="40" t="s">
        <v>159</v>
      </c>
      <c r="H1331" s="46" t="s">
        <v>160</v>
      </c>
      <c r="I1331" s="51" t="str">
        <f>"0x"&amp;AE_w_WORK!N50</f>
        <v>0x0123</v>
      </c>
      <c r="J1331" s="41">
        <v>40473</v>
      </c>
      <c r="K1331" s="42"/>
    </row>
    <row r="1332" spans="2:11" s="179" customFormat="1" hidden="1" outlineLevel="1">
      <c r="B1332" s="178">
        <v>1326</v>
      </c>
      <c r="C1332" s="44"/>
      <c r="D1332" s="45"/>
      <c r="E1332" s="39" t="s">
        <v>325</v>
      </c>
      <c r="F1332" s="180" t="s">
        <v>1756</v>
      </c>
      <c r="G1332" s="40" t="s">
        <v>161</v>
      </c>
      <c r="H1332" s="46" t="s">
        <v>162</v>
      </c>
      <c r="I1332" s="51" t="str">
        <f>"0x"&amp;AE_w_WORK!N51</f>
        <v>0x3455</v>
      </c>
      <c r="J1332" s="41">
        <v>40473</v>
      </c>
      <c r="K1332" s="42"/>
    </row>
    <row r="1333" spans="2:11" s="179" customFormat="1" hidden="1" outlineLevel="1">
      <c r="B1333" s="178">
        <v>1327</v>
      </c>
      <c r="C1333" s="44"/>
      <c r="D1333" s="45"/>
      <c r="E1333" s="39" t="s">
        <v>325</v>
      </c>
      <c r="F1333" s="180" t="s">
        <v>1757</v>
      </c>
      <c r="G1333" s="40" t="s">
        <v>163</v>
      </c>
      <c r="H1333" s="46" t="s">
        <v>164</v>
      </c>
      <c r="I1333" s="51" t="str">
        <f>"0x"&amp;AE_w_WORK!N52</f>
        <v>0x5555</v>
      </c>
      <c r="J1333" s="41">
        <v>40473</v>
      </c>
      <c r="K1333" s="42"/>
    </row>
    <row r="1334" spans="2:11" s="179" customFormat="1" hidden="1" outlineLevel="1">
      <c r="B1334" s="178">
        <v>1328</v>
      </c>
      <c r="C1334" s="44"/>
      <c r="D1334" s="45"/>
      <c r="E1334" s="39" t="s">
        <v>325</v>
      </c>
      <c r="F1334" s="180" t="s">
        <v>1758</v>
      </c>
      <c r="G1334" s="40" t="s">
        <v>165</v>
      </c>
      <c r="H1334" s="46" t="s">
        <v>166</v>
      </c>
      <c r="I1334" s="51" t="str">
        <f>"0x"&amp;AE_w_WORK!N53</f>
        <v>0x4443</v>
      </c>
      <c r="J1334" s="41">
        <v>40473</v>
      </c>
      <c r="K1334" s="42"/>
    </row>
    <row r="1335" spans="2:11" s="179" customFormat="1" hidden="1" outlineLevel="1">
      <c r="B1335" s="178">
        <v>1329</v>
      </c>
      <c r="C1335" s="44"/>
      <c r="D1335" s="45"/>
      <c r="E1335" s="39" t="s">
        <v>325</v>
      </c>
      <c r="F1335" s="180" t="s">
        <v>1759</v>
      </c>
      <c r="G1335" s="40" t="s">
        <v>167</v>
      </c>
      <c r="H1335" s="46" t="s">
        <v>168</v>
      </c>
      <c r="I1335" s="51" t="str">
        <f>"0x"&amp;AE_w_WORK!N54</f>
        <v>0x0123</v>
      </c>
      <c r="J1335" s="41">
        <v>40473</v>
      </c>
      <c r="K1335" s="42"/>
    </row>
    <row r="1336" spans="2:11" s="179" customFormat="1" hidden="1" outlineLevel="1">
      <c r="B1336" s="178">
        <v>1330</v>
      </c>
      <c r="C1336" s="44"/>
      <c r="D1336" s="45"/>
      <c r="E1336" s="39" t="s">
        <v>325</v>
      </c>
      <c r="F1336" s="180" t="s">
        <v>1760</v>
      </c>
      <c r="G1336" s="40" t="s">
        <v>169</v>
      </c>
      <c r="H1336" s="46" t="s">
        <v>170</v>
      </c>
      <c r="I1336" s="51" t="str">
        <f>"0x"&amp;AE_w_WORK!N55</f>
        <v>0x4556</v>
      </c>
      <c r="J1336" s="41">
        <v>40473</v>
      </c>
      <c r="K1336" s="42"/>
    </row>
    <row r="1337" spans="2:11" s="179" customFormat="1" hidden="1" outlineLevel="1">
      <c r="B1337" s="178">
        <v>1331</v>
      </c>
      <c r="C1337" s="44"/>
      <c r="D1337" s="45"/>
      <c r="E1337" s="39" t="s">
        <v>325</v>
      </c>
      <c r="F1337" s="180" t="s">
        <v>1761</v>
      </c>
      <c r="G1337" s="40" t="s">
        <v>171</v>
      </c>
      <c r="H1337" s="46" t="s">
        <v>172</v>
      </c>
      <c r="I1337" s="51" t="str">
        <f>"0x"&amp;AE_w_WORK!N56</f>
        <v>0x6655</v>
      </c>
      <c r="J1337" s="41">
        <v>40473</v>
      </c>
      <c r="K1337" s="42"/>
    </row>
    <row r="1338" spans="2:11" s="179" customFormat="1" hidden="1" outlineLevel="1">
      <c r="B1338" s="178">
        <v>1332</v>
      </c>
      <c r="C1338" s="44"/>
      <c r="D1338" s="45"/>
      <c r="E1338" s="39" t="s">
        <v>325</v>
      </c>
      <c r="F1338" s="180" t="s">
        <v>1762</v>
      </c>
      <c r="G1338" s="40" t="s">
        <v>173</v>
      </c>
      <c r="H1338" s="46" t="s">
        <v>174</v>
      </c>
      <c r="I1338" s="51" t="str">
        <f>"0x"&amp;AE_w_WORK!N57</f>
        <v>0x5443</v>
      </c>
      <c r="J1338" s="41">
        <v>40473</v>
      </c>
      <c r="K1338" s="42"/>
    </row>
    <row r="1339" spans="2:11" s="179" customFormat="1" hidden="1" outlineLevel="1">
      <c r="B1339" s="178">
        <v>1333</v>
      </c>
      <c r="C1339" s="44"/>
      <c r="D1339" s="45"/>
      <c r="E1339" s="39" t="s">
        <v>325</v>
      </c>
      <c r="F1339" s="180" t="s">
        <v>1763</v>
      </c>
      <c r="G1339" s="40" t="s">
        <v>175</v>
      </c>
      <c r="H1339" s="46" t="s">
        <v>176</v>
      </c>
      <c r="I1339" s="51" t="str">
        <f>"0x"&amp;AE_w_WORK!N58</f>
        <v>0x0123</v>
      </c>
      <c r="J1339" s="41">
        <v>40473</v>
      </c>
      <c r="K1339" s="42"/>
    </row>
    <row r="1340" spans="2:11" s="179" customFormat="1" hidden="1" outlineLevel="1">
      <c r="B1340" s="178">
        <v>1334</v>
      </c>
      <c r="C1340" s="44"/>
      <c r="D1340" s="45"/>
      <c r="E1340" s="39" t="s">
        <v>325</v>
      </c>
      <c r="F1340" s="180" t="s">
        <v>1764</v>
      </c>
      <c r="G1340" s="40" t="s">
        <v>177</v>
      </c>
      <c r="H1340" s="46" t="s">
        <v>178</v>
      </c>
      <c r="I1340" s="51" t="str">
        <f>"0x"&amp;AE_w_WORK!N59</f>
        <v>0x4556</v>
      </c>
      <c r="J1340" s="41">
        <v>40473</v>
      </c>
      <c r="K1340" s="42"/>
    </row>
    <row r="1341" spans="2:11" s="179" customFormat="1" hidden="1" outlineLevel="1">
      <c r="B1341" s="178">
        <v>1335</v>
      </c>
      <c r="C1341" s="44"/>
      <c r="D1341" s="45"/>
      <c r="E1341" s="39" t="s">
        <v>325</v>
      </c>
      <c r="F1341" s="180" t="s">
        <v>1765</v>
      </c>
      <c r="G1341" s="40" t="s">
        <v>179</v>
      </c>
      <c r="H1341" s="46" t="s">
        <v>180</v>
      </c>
      <c r="I1341" s="51" t="str">
        <f>"0x"&amp;AE_w_WORK!N60</f>
        <v>0x6665</v>
      </c>
      <c r="J1341" s="41">
        <v>40473</v>
      </c>
      <c r="K1341" s="42"/>
    </row>
    <row r="1342" spans="2:11" s="179" customFormat="1" hidden="1" outlineLevel="1">
      <c r="B1342" s="178">
        <v>1336</v>
      </c>
      <c r="C1342" s="44"/>
      <c r="D1342" s="45"/>
      <c r="E1342" s="39" t="s">
        <v>325</v>
      </c>
      <c r="F1342" s="180" t="s">
        <v>1766</v>
      </c>
      <c r="G1342" s="40" t="s">
        <v>181</v>
      </c>
      <c r="H1342" s="46" t="s">
        <v>182</v>
      </c>
      <c r="I1342" s="51" t="str">
        <f>"0x"&amp;AE_w_WORK!N61</f>
        <v>0x5544</v>
      </c>
      <c r="J1342" s="41">
        <v>40473</v>
      </c>
      <c r="K1342" s="42"/>
    </row>
    <row r="1343" spans="2:11" s="179" customFormat="1" hidden="1" outlineLevel="1">
      <c r="B1343" s="178">
        <v>1337</v>
      </c>
      <c r="C1343" s="44"/>
      <c r="D1343" s="45"/>
      <c r="E1343" s="39" t="s">
        <v>325</v>
      </c>
      <c r="F1343" s="180" t="s">
        <v>1767</v>
      </c>
      <c r="G1343" s="40" t="s">
        <v>183</v>
      </c>
      <c r="H1343" s="46" t="s">
        <v>184</v>
      </c>
      <c r="I1343" s="51" t="str">
        <f>"0x"&amp;AE_w_WORK!N62</f>
        <v>0x0123</v>
      </c>
      <c r="J1343" s="41">
        <v>40473</v>
      </c>
      <c r="K1343" s="42"/>
    </row>
    <row r="1344" spans="2:11" s="179" customFormat="1" hidden="1" outlineLevel="1">
      <c r="B1344" s="178">
        <v>1338</v>
      </c>
      <c r="C1344" s="44"/>
      <c r="D1344" s="45"/>
      <c r="E1344" s="39" t="s">
        <v>325</v>
      </c>
      <c r="F1344" s="180" t="s">
        <v>1768</v>
      </c>
      <c r="G1344" s="40" t="s">
        <v>185</v>
      </c>
      <c r="H1344" s="46" t="s">
        <v>186</v>
      </c>
      <c r="I1344" s="51" t="str">
        <f>"0x"&amp;AE_w_WORK!N63</f>
        <v>0x4566</v>
      </c>
      <c r="J1344" s="41">
        <v>40473</v>
      </c>
      <c r="K1344" s="42"/>
    </row>
    <row r="1345" spans="2:11" s="179" customFormat="1" hidden="1" outlineLevel="1">
      <c r="B1345" s="178">
        <v>1339</v>
      </c>
      <c r="C1345" s="44"/>
      <c r="D1345" s="45"/>
      <c r="E1345" s="39" t="s">
        <v>325</v>
      </c>
      <c r="F1345" s="180" t="s">
        <v>1769</v>
      </c>
      <c r="G1345" s="40" t="s">
        <v>187</v>
      </c>
      <c r="H1345" s="46" t="s">
        <v>188</v>
      </c>
      <c r="I1345" s="51" t="str">
        <f>"0x"&amp;AE_w_WORK!N64</f>
        <v>0x6666</v>
      </c>
      <c r="J1345" s="41">
        <v>40473</v>
      </c>
      <c r="K1345" s="42"/>
    </row>
    <row r="1346" spans="2:11" s="179" customFormat="1" hidden="1" outlineLevel="1">
      <c r="B1346" s="178">
        <v>1340</v>
      </c>
      <c r="C1346" s="44"/>
      <c r="D1346" s="45"/>
      <c r="E1346" s="39" t="s">
        <v>325</v>
      </c>
      <c r="F1346" s="180" t="s">
        <v>1770</v>
      </c>
      <c r="G1346" s="40" t="s">
        <v>189</v>
      </c>
      <c r="H1346" s="46" t="s">
        <v>190</v>
      </c>
      <c r="I1346" s="51" t="str">
        <f>"0x"&amp;AE_w_WORK!N65</f>
        <v>0x5544</v>
      </c>
      <c r="J1346" s="41">
        <v>40473</v>
      </c>
      <c r="K1346" s="42"/>
    </row>
    <row r="1347" spans="2:11" s="179" customFormat="1" hidden="1" outlineLevel="1">
      <c r="B1347" s="178">
        <v>1341</v>
      </c>
      <c r="C1347" s="44"/>
      <c r="D1347" s="45"/>
      <c r="E1347" s="39" t="s">
        <v>325</v>
      </c>
      <c r="F1347" s="180" t="s">
        <v>1771</v>
      </c>
      <c r="G1347" s="40" t="s">
        <v>191</v>
      </c>
      <c r="H1347" s="46" t="s">
        <v>192</v>
      </c>
      <c r="I1347" s="51" t="str">
        <f>"0x"&amp;AE_w_WORK!N66</f>
        <v>0x0123</v>
      </c>
      <c r="J1347" s="41">
        <v>40473</v>
      </c>
      <c r="K1347" s="42"/>
    </row>
    <row r="1348" spans="2:11" s="179" customFormat="1" hidden="1" outlineLevel="1">
      <c r="B1348" s="178">
        <v>1342</v>
      </c>
      <c r="C1348" s="44"/>
      <c r="D1348" s="45"/>
      <c r="E1348" s="39" t="s">
        <v>325</v>
      </c>
      <c r="F1348" s="180" t="s">
        <v>1772</v>
      </c>
      <c r="G1348" s="40" t="s">
        <v>193</v>
      </c>
      <c r="H1348" s="46" t="s">
        <v>194</v>
      </c>
      <c r="I1348" s="51" t="str">
        <f>"0x"&amp;AE_w_WORK!N67</f>
        <v>0x4566</v>
      </c>
      <c r="J1348" s="41">
        <v>40473</v>
      </c>
      <c r="K1348" s="42"/>
    </row>
    <row r="1349" spans="2:11" s="179" customFormat="1" hidden="1" outlineLevel="1">
      <c r="B1349" s="178">
        <v>1343</v>
      </c>
      <c r="C1349" s="44"/>
      <c r="D1349" s="45"/>
      <c r="E1349" s="39" t="s">
        <v>325</v>
      </c>
      <c r="F1349" s="180" t="s">
        <v>1773</v>
      </c>
      <c r="G1349" s="40" t="s">
        <v>195</v>
      </c>
      <c r="H1349" s="46" t="s">
        <v>196</v>
      </c>
      <c r="I1349" s="51" t="str">
        <f>"0x"&amp;AE_w_WORK!N68</f>
        <v>0x6666</v>
      </c>
      <c r="J1349" s="41">
        <v>40473</v>
      </c>
      <c r="K1349" s="42"/>
    </row>
    <row r="1350" spans="2:11" s="179" customFormat="1" hidden="1" outlineLevel="1">
      <c r="B1350" s="178">
        <v>1344</v>
      </c>
      <c r="C1350" s="44"/>
      <c r="D1350" s="45"/>
      <c r="E1350" s="39" t="s">
        <v>325</v>
      </c>
      <c r="F1350" s="180" t="s">
        <v>1774</v>
      </c>
      <c r="G1350" s="40" t="s">
        <v>197</v>
      </c>
      <c r="H1350" s="46" t="s">
        <v>198</v>
      </c>
      <c r="I1350" s="51" t="str">
        <f>"0x"&amp;AE_w_WORK!N69</f>
        <v>0x5544</v>
      </c>
      <c r="J1350" s="41">
        <v>40473</v>
      </c>
      <c r="K1350" s="42"/>
    </row>
    <row r="1351" spans="2:11" s="179" customFormat="1" hidden="1" outlineLevel="1">
      <c r="B1351" s="178">
        <v>1345</v>
      </c>
      <c r="C1351" s="44"/>
      <c r="D1351" s="45"/>
      <c r="E1351" s="39" t="s">
        <v>325</v>
      </c>
      <c r="F1351" s="180" t="s">
        <v>1775</v>
      </c>
      <c r="G1351" s="40" t="s">
        <v>199</v>
      </c>
      <c r="H1351" s="46" t="s">
        <v>200</v>
      </c>
      <c r="I1351" s="51" t="str">
        <f>"0x"&amp;AE_w_WORK!N70</f>
        <v>0x0123</v>
      </c>
      <c r="J1351" s="41">
        <v>40473</v>
      </c>
      <c r="K1351" s="42"/>
    </row>
    <row r="1352" spans="2:11" s="179" customFormat="1" hidden="1" outlineLevel="1">
      <c r="B1352" s="178">
        <v>1346</v>
      </c>
      <c r="C1352" s="44"/>
      <c r="D1352" s="45"/>
      <c r="E1352" s="39" t="s">
        <v>325</v>
      </c>
      <c r="F1352" s="180" t="s">
        <v>1776</v>
      </c>
      <c r="G1352" s="40" t="s">
        <v>201</v>
      </c>
      <c r="H1352" s="46" t="s">
        <v>202</v>
      </c>
      <c r="I1352" s="51" t="str">
        <f>"0x"&amp;AE_w_WORK!N71</f>
        <v>0x4566</v>
      </c>
      <c r="J1352" s="41">
        <v>40473</v>
      </c>
      <c r="K1352" s="42"/>
    </row>
    <row r="1353" spans="2:11" s="179" customFormat="1" hidden="1" outlineLevel="1">
      <c r="B1353" s="178">
        <v>1347</v>
      </c>
      <c r="C1353" s="44"/>
      <c r="D1353" s="45"/>
      <c r="E1353" s="39" t="s">
        <v>325</v>
      </c>
      <c r="F1353" s="180" t="s">
        <v>1777</v>
      </c>
      <c r="G1353" s="40" t="s">
        <v>203</v>
      </c>
      <c r="H1353" s="46" t="s">
        <v>204</v>
      </c>
      <c r="I1353" s="51" t="str">
        <f>"0x"&amp;AE_w_WORK!N72</f>
        <v>0x6666</v>
      </c>
      <c r="J1353" s="41">
        <v>40473</v>
      </c>
      <c r="K1353" s="42"/>
    </row>
    <row r="1354" spans="2:11" s="179" customFormat="1" hidden="1" outlineLevel="1">
      <c r="B1354" s="178">
        <v>1348</v>
      </c>
      <c r="C1354" s="44"/>
      <c r="D1354" s="45"/>
      <c r="E1354" s="39" t="s">
        <v>325</v>
      </c>
      <c r="F1354" s="180" t="s">
        <v>1778</v>
      </c>
      <c r="G1354" s="40" t="s">
        <v>205</v>
      </c>
      <c r="H1354" s="46" t="s">
        <v>206</v>
      </c>
      <c r="I1354" s="51" t="str">
        <f>"0x"&amp;AE_w_WORK!N73</f>
        <v>0x5544</v>
      </c>
      <c r="J1354" s="41">
        <v>40473</v>
      </c>
      <c r="K1354" s="42"/>
    </row>
    <row r="1355" spans="2:11" s="179" customFormat="1" hidden="1" outlineLevel="1">
      <c r="B1355" s="178">
        <v>1349</v>
      </c>
      <c r="C1355" s="44"/>
      <c r="D1355" s="45"/>
      <c r="E1355" s="39" t="s">
        <v>325</v>
      </c>
      <c r="F1355" s="180" t="s">
        <v>1779</v>
      </c>
      <c r="G1355" s="40" t="s">
        <v>207</v>
      </c>
      <c r="H1355" s="46" t="s">
        <v>208</v>
      </c>
      <c r="I1355" s="51" t="str">
        <f>"0x"&amp;AE_w_WORK!N74</f>
        <v>0x0123</v>
      </c>
      <c r="J1355" s="41">
        <v>40473</v>
      </c>
      <c r="K1355" s="42"/>
    </row>
    <row r="1356" spans="2:11" s="179" customFormat="1" hidden="1" outlineLevel="1">
      <c r="B1356" s="178">
        <v>1350</v>
      </c>
      <c r="C1356" s="44"/>
      <c r="D1356" s="45"/>
      <c r="E1356" s="39" t="s">
        <v>325</v>
      </c>
      <c r="F1356" s="180" t="s">
        <v>1780</v>
      </c>
      <c r="G1356" s="40" t="s">
        <v>209</v>
      </c>
      <c r="H1356" s="46" t="s">
        <v>210</v>
      </c>
      <c r="I1356" s="51" t="str">
        <f>"0x"&amp;AE_w_WORK!N75</f>
        <v>0x4566</v>
      </c>
      <c r="J1356" s="41">
        <v>40473</v>
      </c>
      <c r="K1356" s="42"/>
    </row>
    <row r="1357" spans="2:11" s="179" customFormat="1" hidden="1" outlineLevel="1">
      <c r="B1357" s="178">
        <v>1351</v>
      </c>
      <c r="C1357" s="44"/>
      <c r="D1357" s="45"/>
      <c r="E1357" s="39" t="s">
        <v>325</v>
      </c>
      <c r="F1357" s="180" t="s">
        <v>1781</v>
      </c>
      <c r="G1357" s="40" t="s">
        <v>211</v>
      </c>
      <c r="H1357" s="46" t="s">
        <v>212</v>
      </c>
      <c r="I1357" s="51" t="str">
        <f>"0x"&amp;AE_w_WORK!N76</f>
        <v>0x6666</v>
      </c>
      <c r="J1357" s="41">
        <v>40473</v>
      </c>
      <c r="K1357" s="42"/>
    </row>
    <row r="1358" spans="2:11" s="179" customFormat="1" hidden="1" outlineLevel="1">
      <c r="B1358" s="178">
        <v>1352</v>
      </c>
      <c r="C1358" s="44"/>
      <c r="D1358" s="45"/>
      <c r="E1358" s="39" t="s">
        <v>325</v>
      </c>
      <c r="F1358" s="180" t="s">
        <v>1782</v>
      </c>
      <c r="G1358" s="40" t="s">
        <v>213</v>
      </c>
      <c r="H1358" s="46" t="s">
        <v>214</v>
      </c>
      <c r="I1358" s="51" t="str">
        <f>"0x"&amp;AE_w_WORK!N77</f>
        <v>0x5544</v>
      </c>
      <c r="J1358" s="41">
        <v>40473</v>
      </c>
      <c r="K1358" s="42"/>
    </row>
    <row r="1359" spans="2:11" s="179" customFormat="1" hidden="1" outlineLevel="1">
      <c r="B1359" s="178">
        <v>1353</v>
      </c>
      <c r="C1359" s="44"/>
      <c r="D1359" s="45"/>
      <c r="E1359" s="39" t="s">
        <v>325</v>
      </c>
      <c r="F1359" s="180" t="s">
        <v>1783</v>
      </c>
      <c r="G1359" s="40" t="s">
        <v>215</v>
      </c>
      <c r="H1359" s="46" t="s">
        <v>216</v>
      </c>
      <c r="I1359" s="51" t="str">
        <f>"0x"&amp;AE_w_WORK!N78</f>
        <v>0x0123</v>
      </c>
      <c r="J1359" s="41">
        <v>40473</v>
      </c>
      <c r="K1359" s="42"/>
    </row>
    <row r="1360" spans="2:11" s="179" customFormat="1" hidden="1" outlineLevel="1">
      <c r="B1360" s="178">
        <v>1354</v>
      </c>
      <c r="C1360" s="44"/>
      <c r="D1360" s="45"/>
      <c r="E1360" s="39" t="s">
        <v>325</v>
      </c>
      <c r="F1360" s="180" t="s">
        <v>1784</v>
      </c>
      <c r="G1360" s="40" t="s">
        <v>217</v>
      </c>
      <c r="H1360" s="46" t="s">
        <v>218</v>
      </c>
      <c r="I1360" s="51" t="str">
        <f>"0x"&amp;AE_w_WORK!N79</f>
        <v>0x4556</v>
      </c>
      <c r="J1360" s="41">
        <v>40473</v>
      </c>
      <c r="K1360" s="42"/>
    </row>
    <row r="1361" spans="2:11" s="179" customFormat="1" hidden="1" outlineLevel="1">
      <c r="B1361" s="178">
        <v>1355</v>
      </c>
      <c r="C1361" s="44"/>
      <c r="D1361" s="45"/>
      <c r="E1361" s="39" t="s">
        <v>325</v>
      </c>
      <c r="F1361" s="180" t="s">
        <v>1785</v>
      </c>
      <c r="G1361" s="40" t="s">
        <v>219</v>
      </c>
      <c r="H1361" s="46" t="s">
        <v>220</v>
      </c>
      <c r="I1361" s="51" t="str">
        <f>"0x"&amp;AE_w_WORK!N80</f>
        <v>0x6665</v>
      </c>
      <c r="J1361" s="41">
        <v>40473</v>
      </c>
      <c r="K1361" s="42"/>
    </row>
    <row r="1362" spans="2:11" s="179" customFormat="1" hidden="1" outlineLevel="1">
      <c r="B1362" s="178">
        <v>1356</v>
      </c>
      <c r="C1362" s="44"/>
      <c r="D1362" s="45"/>
      <c r="E1362" s="39" t="s">
        <v>325</v>
      </c>
      <c r="F1362" s="180" t="s">
        <v>1786</v>
      </c>
      <c r="G1362" s="40" t="s">
        <v>221</v>
      </c>
      <c r="H1362" s="46" t="s">
        <v>222</v>
      </c>
      <c r="I1362" s="51" t="str">
        <f>"0x"&amp;AE_w_WORK!N81</f>
        <v>0x5544</v>
      </c>
      <c r="J1362" s="41">
        <v>40473</v>
      </c>
      <c r="K1362" s="42"/>
    </row>
    <row r="1363" spans="2:11" s="179" customFormat="1" hidden="1" outlineLevel="1">
      <c r="B1363" s="178">
        <v>1357</v>
      </c>
      <c r="C1363" s="44"/>
      <c r="D1363" s="45"/>
      <c r="E1363" s="39" t="s">
        <v>325</v>
      </c>
      <c r="F1363" s="180" t="s">
        <v>1787</v>
      </c>
      <c r="G1363" s="40" t="s">
        <v>223</v>
      </c>
      <c r="H1363" s="46" t="s">
        <v>224</v>
      </c>
      <c r="I1363" s="51" t="str">
        <f>"0x"&amp;AE_w_WORK!N82</f>
        <v>0x0123</v>
      </c>
      <c r="J1363" s="41">
        <v>40473</v>
      </c>
      <c r="K1363" s="42"/>
    </row>
    <row r="1364" spans="2:11" s="179" customFormat="1" hidden="1" outlineLevel="1">
      <c r="B1364" s="178">
        <v>1358</v>
      </c>
      <c r="C1364" s="44"/>
      <c r="D1364" s="45"/>
      <c r="E1364" s="39" t="s">
        <v>325</v>
      </c>
      <c r="F1364" s="180" t="s">
        <v>1788</v>
      </c>
      <c r="G1364" s="40" t="s">
        <v>225</v>
      </c>
      <c r="H1364" s="46" t="s">
        <v>226</v>
      </c>
      <c r="I1364" s="51" t="str">
        <f>"0x"&amp;AE_w_WORK!N83</f>
        <v>0x4556</v>
      </c>
      <c r="J1364" s="41">
        <v>40473</v>
      </c>
      <c r="K1364" s="42"/>
    </row>
    <row r="1365" spans="2:11" s="179" customFormat="1" hidden="1" outlineLevel="1">
      <c r="B1365" s="178">
        <v>1359</v>
      </c>
      <c r="C1365" s="44"/>
      <c r="D1365" s="45"/>
      <c r="E1365" s="39" t="s">
        <v>325</v>
      </c>
      <c r="F1365" s="180" t="s">
        <v>1789</v>
      </c>
      <c r="G1365" s="40" t="s">
        <v>227</v>
      </c>
      <c r="H1365" s="46" t="s">
        <v>228</v>
      </c>
      <c r="I1365" s="51" t="str">
        <f>"0x"&amp;AE_w_WORK!N84</f>
        <v>0x6655</v>
      </c>
      <c r="J1365" s="41">
        <v>40473</v>
      </c>
      <c r="K1365" s="42"/>
    </row>
    <row r="1366" spans="2:11" s="179" customFormat="1" hidden="1" outlineLevel="1">
      <c r="B1366" s="178">
        <v>1360</v>
      </c>
      <c r="C1366" s="44"/>
      <c r="D1366" s="45"/>
      <c r="E1366" s="39" t="s">
        <v>325</v>
      </c>
      <c r="F1366" s="180" t="s">
        <v>1790</v>
      </c>
      <c r="G1366" s="40" t="s">
        <v>229</v>
      </c>
      <c r="H1366" s="46" t="s">
        <v>230</v>
      </c>
      <c r="I1366" s="51" t="str">
        <f>"0x"&amp;AE_w_WORK!N85</f>
        <v>0x5443</v>
      </c>
      <c r="J1366" s="41">
        <v>40473</v>
      </c>
      <c r="K1366" s="42"/>
    </row>
    <row r="1367" spans="2:11" s="179" customFormat="1" hidden="1" outlineLevel="1">
      <c r="B1367" s="178">
        <v>1361</v>
      </c>
      <c r="C1367" s="44"/>
      <c r="D1367" s="45"/>
      <c r="E1367" s="39" t="s">
        <v>325</v>
      </c>
      <c r="F1367" s="180" t="s">
        <v>1791</v>
      </c>
      <c r="G1367" s="40" t="s">
        <v>231</v>
      </c>
      <c r="H1367" s="46" t="s">
        <v>232</v>
      </c>
      <c r="I1367" s="51" t="str">
        <f>"0x"&amp;AE_w_WORK!N86</f>
        <v>0x0123</v>
      </c>
      <c r="J1367" s="41">
        <v>40473</v>
      </c>
      <c r="K1367" s="42"/>
    </row>
    <row r="1368" spans="2:11" s="179" customFormat="1" hidden="1" outlineLevel="1">
      <c r="B1368" s="178">
        <v>1362</v>
      </c>
      <c r="C1368" s="44"/>
      <c r="D1368" s="45"/>
      <c r="E1368" s="39" t="s">
        <v>325</v>
      </c>
      <c r="F1368" s="180" t="s">
        <v>1792</v>
      </c>
      <c r="G1368" s="40" t="s">
        <v>233</v>
      </c>
      <c r="H1368" s="46" t="s">
        <v>234</v>
      </c>
      <c r="I1368" s="51" t="str">
        <f>"0x"&amp;AE_w_WORK!N87</f>
        <v>0x3455</v>
      </c>
      <c r="J1368" s="41">
        <v>40473</v>
      </c>
      <c r="K1368" s="42"/>
    </row>
    <row r="1369" spans="2:11" s="179" customFormat="1" hidden="1" outlineLevel="1">
      <c r="B1369" s="178">
        <v>1363</v>
      </c>
      <c r="C1369" s="44"/>
      <c r="D1369" s="45"/>
      <c r="E1369" s="39" t="s">
        <v>325</v>
      </c>
      <c r="F1369" s="180" t="s">
        <v>1793</v>
      </c>
      <c r="G1369" s="40" t="s">
        <v>235</v>
      </c>
      <c r="H1369" s="46" t="s">
        <v>236</v>
      </c>
      <c r="I1369" s="51" t="str">
        <f>"0x"&amp;AE_w_WORK!N88</f>
        <v>0x5555</v>
      </c>
      <c r="J1369" s="41">
        <v>40473</v>
      </c>
      <c r="K1369" s="42"/>
    </row>
    <row r="1370" spans="2:11" s="179" customFormat="1" hidden="1" outlineLevel="1">
      <c r="B1370" s="178">
        <v>1364</v>
      </c>
      <c r="C1370" s="44"/>
      <c r="D1370" s="45"/>
      <c r="E1370" s="39" t="s">
        <v>325</v>
      </c>
      <c r="F1370" s="180" t="s">
        <v>1794</v>
      </c>
      <c r="G1370" s="40" t="s">
        <v>237</v>
      </c>
      <c r="H1370" s="46" t="s">
        <v>238</v>
      </c>
      <c r="I1370" s="51" t="str">
        <f>"0x"&amp;AE_w_WORK!N89</f>
        <v>0x4443</v>
      </c>
      <c r="J1370" s="41">
        <v>40473</v>
      </c>
      <c r="K1370" s="42"/>
    </row>
    <row r="1371" spans="2:11" s="179" customFormat="1" hidden="1" outlineLevel="1">
      <c r="B1371" s="178">
        <v>1365</v>
      </c>
      <c r="C1371" s="44"/>
      <c r="D1371" s="45"/>
      <c r="E1371" s="39" t="s">
        <v>325</v>
      </c>
      <c r="F1371" s="180" t="s">
        <v>1795</v>
      </c>
      <c r="G1371" s="40" t="s">
        <v>239</v>
      </c>
      <c r="H1371" s="46" t="s">
        <v>240</v>
      </c>
      <c r="I1371" s="51" t="str">
        <f>"0x"&amp;AE_w_WORK!N90</f>
        <v>0x0122</v>
      </c>
      <c r="J1371" s="41">
        <v>40473</v>
      </c>
      <c r="K1371" s="42"/>
    </row>
    <row r="1372" spans="2:11" s="179" customFormat="1" hidden="1" outlineLevel="1">
      <c r="B1372" s="178">
        <v>1366</v>
      </c>
      <c r="C1372" s="44"/>
      <c r="D1372" s="45"/>
      <c r="E1372" s="39" t="s">
        <v>325</v>
      </c>
      <c r="F1372" s="180" t="s">
        <v>1796</v>
      </c>
      <c r="G1372" s="40" t="s">
        <v>241</v>
      </c>
      <c r="H1372" s="46" t="s">
        <v>242</v>
      </c>
      <c r="I1372" s="51" t="str">
        <f>"0x"&amp;AE_w_WORK!N91</f>
        <v>0x3445</v>
      </c>
      <c r="J1372" s="41">
        <v>40473</v>
      </c>
      <c r="K1372" s="42"/>
    </row>
    <row r="1373" spans="2:11" s="179" customFormat="1" hidden="1" outlineLevel="1">
      <c r="B1373" s="178">
        <v>1367</v>
      </c>
      <c r="C1373" s="44"/>
      <c r="D1373" s="45"/>
      <c r="E1373" s="39" t="s">
        <v>325</v>
      </c>
      <c r="F1373" s="180" t="s">
        <v>1797</v>
      </c>
      <c r="G1373" s="40" t="s">
        <v>243</v>
      </c>
      <c r="H1373" s="46" t="s">
        <v>244</v>
      </c>
      <c r="I1373" s="51" t="str">
        <f>"0x"&amp;AE_w_WORK!N92</f>
        <v>0x5554</v>
      </c>
      <c r="J1373" s="41">
        <v>40473</v>
      </c>
      <c r="K1373" s="42"/>
    </row>
    <row r="1374" spans="2:11" s="179" customFormat="1" hidden="1" outlineLevel="1">
      <c r="B1374" s="178">
        <v>1368</v>
      </c>
      <c r="C1374" s="44"/>
      <c r="D1374" s="45"/>
      <c r="E1374" s="39" t="s">
        <v>325</v>
      </c>
      <c r="F1374" s="180" t="s">
        <v>1798</v>
      </c>
      <c r="G1374" s="40" t="s">
        <v>245</v>
      </c>
      <c r="H1374" s="46" t="s">
        <v>246</v>
      </c>
      <c r="I1374" s="51" t="str">
        <f>"0x"&amp;AE_w_WORK!N93</f>
        <v>0x4433</v>
      </c>
      <c r="J1374" s="41">
        <v>40473</v>
      </c>
      <c r="K1374" s="42"/>
    </row>
    <row r="1375" spans="2:11" s="179" customFormat="1" hidden="1" outlineLevel="1">
      <c r="B1375" s="178">
        <v>1369</v>
      </c>
      <c r="C1375" s="44"/>
      <c r="D1375" s="45"/>
      <c r="E1375" s="39" t="s">
        <v>325</v>
      </c>
      <c r="F1375" s="180" t="s">
        <v>1799</v>
      </c>
      <c r="G1375" s="40" t="s">
        <v>247</v>
      </c>
      <c r="H1375" s="46" t="s">
        <v>248</v>
      </c>
      <c r="I1375" s="51" t="str">
        <f>"0x"&amp;AE_w_WORK!N94</f>
        <v>0x0012</v>
      </c>
      <c r="J1375" s="41">
        <v>40473</v>
      </c>
      <c r="K1375" s="42"/>
    </row>
    <row r="1376" spans="2:11" s="179" customFormat="1" hidden="1" outlineLevel="1">
      <c r="B1376" s="178">
        <v>1370</v>
      </c>
      <c r="C1376" s="44"/>
      <c r="D1376" s="45"/>
      <c r="E1376" s="39" t="s">
        <v>325</v>
      </c>
      <c r="F1376" s="180" t="s">
        <v>1800</v>
      </c>
      <c r="G1376" s="40" t="s">
        <v>249</v>
      </c>
      <c r="H1376" s="46" t="s">
        <v>250</v>
      </c>
      <c r="I1376" s="51" t="str">
        <f>"0x"&amp;AE_w_WORK!N95</f>
        <v>0x3344</v>
      </c>
      <c r="J1376" s="41">
        <v>40473</v>
      </c>
      <c r="K1376" s="42"/>
    </row>
    <row r="1377" spans="2:11" s="179" customFormat="1" hidden="1" outlineLevel="1">
      <c r="B1377" s="178">
        <v>1371</v>
      </c>
      <c r="C1377" s="44"/>
      <c r="D1377" s="45"/>
      <c r="E1377" s="39" t="s">
        <v>325</v>
      </c>
      <c r="F1377" s="180" t="s">
        <v>1801</v>
      </c>
      <c r="G1377" s="40" t="s">
        <v>251</v>
      </c>
      <c r="H1377" s="46" t="s">
        <v>252</v>
      </c>
      <c r="I1377" s="51" t="str">
        <f>"0x"&amp;AE_w_WORK!N96</f>
        <v>0x4444</v>
      </c>
      <c r="J1377" s="41">
        <v>40473</v>
      </c>
      <c r="K1377" s="42"/>
    </row>
    <row r="1378" spans="2:11" s="179" customFormat="1" hidden="1" outlineLevel="1">
      <c r="B1378" s="178">
        <v>1372</v>
      </c>
      <c r="C1378" s="44"/>
      <c r="D1378" s="45"/>
      <c r="E1378" s="39" t="s">
        <v>325</v>
      </c>
      <c r="F1378" s="180" t="s">
        <v>1802</v>
      </c>
      <c r="G1378" s="40" t="s">
        <v>253</v>
      </c>
      <c r="H1378" s="46" t="s">
        <v>254</v>
      </c>
      <c r="I1378" s="51" t="str">
        <f>"0x"&amp;AE_w_WORK!N97</f>
        <v>0x4333</v>
      </c>
      <c r="J1378" s="41">
        <v>40473</v>
      </c>
      <c r="K1378" s="42"/>
    </row>
    <row r="1379" spans="2:11" s="179" customFormat="1" hidden="1" outlineLevel="1">
      <c r="B1379" s="178">
        <v>1373</v>
      </c>
      <c r="C1379" s="44"/>
      <c r="D1379" s="45"/>
      <c r="E1379" s="39" t="s">
        <v>325</v>
      </c>
      <c r="F1379" s="180" t="s">
        <v>1803</v>
      </c>
      <c r="G1379" s="40" t="s">
        <v>255</v>
      </c>
      <c r="H1379" s="46" t="s">
        <v>256</v>
      </c>
      <c r="I1379" s="51" t="str">
        <f>"0x"&amp;AE_w_WORK!N98</f>
        <v>0x0012</v>
      </c>
      <c r="J1379" s="41">
        <v>40473</v>
      </c>
      <c r="K1379" s="42"/>
    </row>
    <row r="1380" spans="2:11" s="179" customFormat="1" hidden="1" outlineLevel="1">
      <c r="B1380" s="178">
        <v>1374</v>
      </c>
      <c r="C1380" s="44"/>
      <c r="D1380" s="45"/>
      <c r="E1380" s="39" t="s">
        <v>325</v>
      </c>
      <c r="F1380" s="180" t="s">
        <v>1804</v>
      </c>
      <c r="G1380" s="40" t="s">
        <v>257</v>
      </c>
      <c r="H1380" s="46" t="s">
        <v>258</v>
      </c>
      <c r="I1380" s="51" t="str">
        <f>"0x"&amp;AE_w_WORK!N99</f>
        <v>0x2334</v>
      </c>
      <c r="J1380" s="41">
        <v>40473</v>
      </c>
      <c r="K1380" s="42"/>
    </row>
    <row r="1381" spans="2:11" s="179" customFormat="1" hidden="1" outlineLevel="1">
      <c r="B1381" s="178">
        <v>1375</v>
      </c>
      <c r="C1381" s="44"/>
      <c r="D1381" s="45"/>
      <c r="E1381" s="39" t="s">
        <v>325</v>
      </c>
      <c r="F1381" s="180" t="s">
        <v>1805</v>
      </c>
      <c r="G1381" s="40" t="s">
        <v>259</v>
      </c>
      <c r="H1381" s="46" t="s">
        <v>260</v>
      </c>
      <c r="I1381" s="51" t="str">
        <f>"0x"&amp;AE_w_WORK!N100</f>
        <v>0x4444</v>
      </c>
      <c r="J1381" s="41">
        <v>40473</v>
      </c>
      <c r="K1381" s="42"/>
    </row>
    <row r="1382" spans="2:11" s="179" customFormat="1" hidden="1" outlineLevel="1">
      <c r="B1382" s="178">
        <v>1376</v>
      </c>
      <c r="C1382" s="44"/>
      <c r="D1382" s="45"/>
      <c r="E1382" s="39" t="s">
        <v>325</v>
      </c>
      <c r="F1382" s="180" t="s">
        <v>1806</v>
      </c>
      <c r="G1382" s="40" t="s">
        <v>261</v>
      </c>
      <c r="H1382" s="46" t="s">
        <v>262</v>
      </c>
      <c r="I1382" s="51" t="str">
        <f>"0x"&amp;AE_w_WORK!N101</f>
        <v>0x3333</v>
      </c>
      <c r="J1382" s="41">
        <v>40473</v>
      </c>
      <c r="K1382" s="42"/>
    </row>
    <row r="1383" spans="2:11" s="179" customFormat="1" hidden="1" outlineLevel="1">
      <c r="B1383" s="178">
        <v>1377</v>
      </c>
      <c r="C1383" s="44"/>
      <c r="D1383" s="45"/>
      <c r="E1383" s="39" t="s">
        <v>325</v>
      </c>
      <c r="F1383" s="180" t="s">
        <v>1807</v>
      </c>
      <c r="G1383" s="40" t="s">
        <v>263</v>
      </c>
      <c r="H1383" s="46" t="s">
        <v>81</v>
      </c>
      <c r="I1383" s="51" t="str">
        <f>"0x"&amp;AE_w_WORK!N102</f>
        <v>0x0001</v>
      </c>
      <c r="J1383" s="41">
        <v>40473</v>
      </c>
      <c r="K1383" s="42"/>
    </row>
    <row r="1384" spans="2:11" s="179" customFormat="1" hidden="1" outlineLevel="1">
      <c r="B1384" s="178">
        <v>1378</v>
      </c>
      <c r="C1384" s="44"/>
      <c r="D1384" s="45"/>
      <c r="E1384" s="39" t="s">
        <v>325</v>
      </c>
      <c r="F1384" s="180" t="s">
        <v>1808</v>
      </c>
      <c r="G1384" s="40" t="s">
        <v>82</v>
      </c>
      <c r="H1384" s="46" t="s">
        <v>83</v>
      </c>
      <c r="I1384" s="51" t="str">
        <f>"0x"&amp;AE_w_WORK!N103</f>
        <v>0x2233</v>
      </c>
      <c r="J1384" s="41">
        <v>40473</v>
      </c>
      <c r="K1384" s="42"/>
    </row>
    <row r="1385" spans="2:11" s="179" customFormat="1" hidden="1" outlineLevel="1">
      <c r="B1385" s="178">
        <v>1379</v>
      </c>
      <c r="C1385" s="44"/>
      <c r="D1385" s="45"/>
      <c r="E1385" s="39" t="s">
        <v>325</v>
      </c>
      <c r="F1385" s="180" t="s">
        <v>1809</v>
      </c>
      <c r="G1385" s="40" t="s">
        <v>84</v>
      </c>
      <c r="H1385" s="46" t="s">
        <v>85</v>
      </c>
      <c r="I1385" s="51" t="str">
        <f>"0x"&amp;AE_w_WORK!N104</f>
        <v>0x3333</v>
      </c>
      <c r="J1385" s="41">
        <v>40473</v>
      </c>
      <c r="K1385" s="42"/>
    </row>
    <row r="1386" spans="2:11" s="179" customFormat="1" hidden="1" outlineLevel="1">
      <c r="B1386" s="178">
        <v>1380</v>
      </c>
      <c r="C1386" s="44"/>
      <c r="D1386" s="45"/>
      <c r="E1386" s="39" t="s">
        <v>325</v>
      </c>
      <c r="F1386" s="180" t="s">
        <v>1810</v>
      </c>
      <c r="G1386" s="40" t="s">
        <v>86</v>
      </c>
      <c r="H1386" s="46" t="s">
        <v>87</v>
      </c>
      <c r="I1386" s="51" t="str">
        <f>"0x"&amp;AE_w_WORK!N105</f>
        <v>0x3333</v>
      </c>
      <c r="J1386" s="41">
        <v>40473</v>
      </c>
      <c r="K1386" s="42"/>
    </row>
    <row r="1387" spans="2:11" s="179" customFormat="1" hidden="1" outlineLevel="1">
      <c r="B1387" s="178">
        <v>1381</v>
      </c>
      <c r="C1387" s="44"/>
      <c r="D1387" s="45"/>
      <c r="E1387" s="39" t="s">
        <v>325</v>
      </c>
      <c r="F1387" s="180" t="s">
        <v>1811</v>
      </c>
      <c r="G1387" s="40" t="s">
        <v>88</v>
      </c>
      <c r="H1387" s="46" t="s">
        <v>89</v>
      </c>
      <c r="I1387" s="51" t="str">
        <f>"0x"&amp;AE_w_WORK!N106</f>
        <v>0x0001</v>
      </c>
      <c r="J1387" s="41">
        <v>40473</v>
      </c>
      <c r="K1387" s="42"/>
    </row>
    <row r="1388" spans="2:11" s="179" customFormat="1" hidden="1" outlineLevel="1">
      <c r="B1388" s="178">
        <v>1382</v>
      </c>
      <c r="C1388" s="44"/>
      <c r="D1388" s="45"/>
      <c r="E1388" s="39" t="s">
        <v>325</v>
      </c>
      <c r="F1388" s="180" t="s">
        <v>1812</v>
      </c>
      <c r="G1388" s="40" t="s">
        <v>90</v>
      </c>
      <c r="H1388" s="46" t="s">
        <v>91</v>
      </c>
      <c r="I1388" s="51" t="str">
        <f>"0x"&amp;AE_w_WORK!N107</f>
        <v>0x2223</v>
      </c>
      <c r="J1388" s="41">
        <v>40473</v>
      </c>
      <c r="K1388" s="42"/>
    </row>
    <row r="1389" spans="2:11" s="179" customFormat="1" hidden="1" outlineLevel="1">
      <c r="B1389" s="178">
        <v>1383</v>
      </c>
      <c r="C1389" s="44"/>
      <c r="D1389" s="45"/>
      <c r="E1389" s="39" t="s">
        <v>325</v>
      </c>
      <c r="F1389" s="180" t="s">
        <v>1813</v>
      </c>
      <c r="G1389" s="40" t="s">
        <v>92</v>
      </c>
      <c r="H1389" s="46" t="s">
        <v>93</v>
      </c>
      <c r="I1389" s="51" t="str">
        <f>"0x"&amp;AE_w_WORK!N108</f>
        <v>0x3333</v>
      </c>
      <c r="J1389" s="41">
        <v>40473</v>
      </c>
      <c r="K1389" s="42"/>
    </row>
    <row r="1390" spans="2:11" s="179" customFormat="1" hidden="1" outlineLevel="1">
      <c r="B1390" s="178">
        <v>1384</v>
      </c>
      <c r="C1390" s="44"/>
      <c r="D1390" s="45"/>
      <c r="E1390" s="39" t="s">
        <v>325</v>
      </c>
      <c r="F1390" s="180" t="s">
        <v>1814</v>
      </c>
      <c r="G1390" s="40" t="s">
        <v>94</v>
      </c>
      <c r="H1390" s="46" t="s">
        <v>95</v>
      </c>
      <c r="I1390" s="51" t="str">
        <f>"0x"&amp;AE_w_WORK!N109</f>
        <v>0x3222</v>
      </c>
      <c r="J1390" s="41">
        <v>40473</v>
      </c>
      <c r="K1390" s="42"/>
    </row>
    <row r="1391" spans="2:11" s="179" customFormat="1" hidden="1" outlineLevel="1">
      <c r="B1391" s="178">
        <v>1385</v>
      </c>
      <c r="C1391" s="44"/>
      <c r="D1391" s="45"/>
      <c r="E1391" s="39" t="s">
        <v>325</v>
      </c>
      <c r="F1391" s="180" t="s">
        <v>1815</v>
      </c>
      <c r="G1391" s="40" t="s">
        <v>96</v>
      </c>
      <c r="H1391" s="46" t="s">
        <v>97</v>
      </c>
      <c r="I1391" s="51" t="str">
        <f>"0x"&amp;AE_w_WORK!N110</f>
        <v>0x0000</v>
      </c>
      <c r="J1391" s="41">
        <v>40473</v>
      </c>
      <c r="K1391" s="42"/>
    </row>
    <row r="1392" spans="2:11" s="179" customFormat="1" hidden="1" outlineLevel="1">
      <c r="B1392" s="178">
        <v>1386</v>
      </c>
      <c r="C1392" s="44"/>
      <c r="D1392" s="45"/>
      <c r="E1392" s="39" t="s">
        <v>325</v>
      </c>
      <c r="F1392" s="180" t="s">
        <v>1816</v>
      </c>
      <c r="G1392" s="40" t="s">
        <v>98</v>
      </c>
      <c r="H1392" s="46" t="s">
        <v>99</v>
      </c>
      <c r="I1392" s="51" t="str">
        <f>"0x"&amp;AE_w_WORK!N111</f>
        <v>0x1222</v>
      </c>
      <c r="J1392" s="41">
        <v>40473</v>
      </c>
      <c r="K1392" s="42"/>
    </row>
    <row r="1393" spans="2:11" s="179" customFormat="1" hidden="1" outlineLevel="1">
      <c r="B1393" s="178">
        <v>1387</v>
      </c>
      <c r="C1393" s="44"/>
      <c r="D1393" s="45"/>
      <c r="E1393" s="39" t="s">
        <v>325</v>
      </c>
      <c r="F1393" s="180" t="s">
        <v>1817</v>
      </c>
      <c r="G1393" s="40" t="s">
        <v>100</v>
      </c>
      <c r="H1393" s="46" t="s">
        <v>101</v>
      </c>
      <c r="I1393" s="51" t="str">
        <f>"0x"&amp;AE_w_WORK!N112</f>
        <v>0x2222</v>
      </c>
      <c r="J1393" s="41">
        <v>40473</v>
      </c>
      <c r="K1393" s="42"/>
    </row>
    <row r="1394" spans="2:11" s="179" customFormat="1" hidden="1" outlineLevel="1">
      <c r="B1394" s="178">
        <v>1388</v>
      </c>
      <c r="C1394" s="44"/>
      <c r="D1394" s="45"/>
      <c r="E1394" s="39" t="s">
        <v>325</v>
      </c>
      <c r="F1394" s="180" t="s">
        <v>1818</v>
      </c>
      <c r="G1394" s="40" t="s">
        <v>102</v>
      </c>
      <c r="H1394" s="46" t="s">
        <v>103</v>
      </c>
      <c r="I1394" s="51" t="str">
        <f>"0x"&amp;AE_w_WORK!N113</f>
        <v>0x2222</v>
      </c>
      <c r="J1394" s="41">
        <v>40473</v>
      </c>
      <c r="K1394" s="42"/>
    </row>
    <row r="1395" spans="2:11" s="179" customFormat="1" hidden="1" outlineLevel="1">
      <c r="B1395" s="178">
        <v>1389</v>
      </c>
      <c r="C1395" s="44"/>
      <c r="D1395" s="45"/>
      <c r="E1395" s="39" t="s">
        <v>325</v>
      </c>
      <c r="F1395" s="180" t="s">
        <v>1819</v>
      </c>
      <c r="G1395" s="40" t="s">
        <v>104</v>
      </c>
      <c r="H1395" s="46" t="s">
        <v>105</v>
      </c>
      <c r="I1395" s="51" t="str">
        <f>"0x"&amp;AE_w_WORK!N114</f>
        <v>0x0000</v>
      </c>
      <c r="J1395" s="41">
        <v>40473</v>
      </c>
      <c r="K1395" s="42"/>
    </row>
    <row r="1396" spans="2:11" s="179" customFormat="1" hidden="1" outlineLevel="1">
      <c r="B1396" s="178">
        <v>1390</v>
      </c>
      <c r="C1396" s="44"/>
      <c r="D1396" s="45"/>
      <c r="E1396" s="39" t="s">
        <v>325</v>
      </c>
      <c r="F1396" s="180" t="s">
        <v>1820</v>
      </c>
      <c r="G1396" s="40" t="s">
        <v>106</v>
      </c>
      <c r="H1396" s="46" t="s">
        <v>107</v>
      </c>
      <c r="I1396" s="51" t="str">
        <f>"0x"&amp;AE_w_WORK!N115</f>
        <v>0x1122</v>
      </c>
      <c r="J1396" s="41">
        <v>40473</v>
      </c>
      <c r="K1396" s="42"/>
    </row>
    <row r="1397" spans="2:11" s="179" customFormat="1" hidden="1" outlineLevel="1">
      <c r="B1397" s="178">
        <v>1391</v>
      </c>
      <c r="C1397" s="44"/>
      <c r="D1397" s="45"/>
      <c r="E1397" s="39" t="s">
        <v>325</v>
      </c>
      <c r="F1397" s="180" t="s">
        <v>1821</v>
      </c>
      <c r="G1397" s="40" t="s">
        <v>108</v>
      </c>
      <c r="H1397" s="46" t="s">
        <v>109</v>
      </c>
      <c r="I1397" s="51" t="str">
        <f>"0x"&amp;AE_w_WORK!N116</f>
        <v>0x2222</v>
      </c>
      <c r="J1397" s="41">
        <v>40473</v>
      </c>
      <c r="K1397" s="42"/>
    </row>
    <row r="1398" spans="2:11" s="179" customFormat="1" hidden="1" outlineLevel="1">
      <c r="B1398" s="178">
        <v>1392</v>
      </c>
      <c r="C1398" s="44"/>
      <c r="D1398" s="45"/>
      <c r="E1398" s="39" t="s">
        <v>325</v>
      </c>
      <c r="F1398" s="180" t="s">
        <v>1822</v>
      </c>
      <c r="G1398" s="40" t="s">
        <v>110</v>
      </c>
      <c r="H1398" s="46" t="s">
        <v>111</v>
      </c>
      <c r="I1398" s="51" t="str">
        <f>"0x"&amp;AE_w_WORK!N117</f>
        <v>0x2111</v>
      </c>
      <c r="J1398" s="41">
        <v>40473</v>
      </c>
      <c r="K1398" s="42"/>
    </row>
    <row r="1399" spans="2:11" s="179" customFormat="1" hidden="1" outlineLevel="1">
      <c r="B1399" s="178">
        <v>1393</v>
      </c>
      <c r="C1399" s="44"/>
      <c r="D1399" s="45"/>
      <c r="E1399" s="39" t="s">
        <v>325</v>
      </c>
      <c r="F1399" s="180" t="s">
        <v>1823</v>
      </c>
      <c r="G1399" s="40" t="s">
        <v>112</v>
      </c>
      <c r="H1399" s="46" t="s">
        <v>113</v>
      </c>
      <c r="I1399" s="51" t="str">
        <f>"0x"&amp;AE_w_WORK!N118</f>
        <v>0x0000</v>
      </c>
      <c r="J1399" s="41">
        <v>40473</v>
      </c>
      <c r="K1399" s="42"/>
    </row>
    <row r="1400" spans="2:11" s="179" customFormat="1" hidden="1" outlineLevel="1">
      <c r="B1400" s="178">
        <v>1394</v>
      </c>
      <c r="C1400" s="44"/>
      <c r="D1400" s="45"/>
      <c r="E1400" s="39" t="s">
        <v>325</v>
      </c>
      <c r="F1400" s="180" t="s">
        <v>1824</v>
      </c>
      <c r="G1400" s="40" t="s">
        <v>114</v>
      </c>
      <c r="H1400" s="46" t="s">
        <v>115</v>
      </c>
      <c r="I1400" s="51" t="str">
        <f>"0x"&amp;AE_w_WORK!N119</f>
        <v>0x0111</v>
      </c>
      <c r="J1400" s="41">
        <v>40473</v>
      </c>
      <c r="K1400" s="42"/>
    </row>
    <row r="1401" spans="2:11" s="179" customFormat="1" hidden="1" outlineLevel="1">
      <c r="B1401" s="178">
        <v>1395</v>
      </c>
      <c r="C1401" s="44"/>
      <c r="D1401" s="45"/>
      <c r="E1401" s="39" t="s">
        <v>325</v>
      </c>
      <c r="F1401" s="180" t="s">
        <v>1825</v>
      </c>
      <c r="G1401" s="40" t="s">
        <v>116</v>
      </c>
      <c r="H1401" s="46" t="s">
        <v>117</v>
      </c>
      <c r="I1401" s="51" t="str">
        <f>"0x"&amp;AE_w_WORK!N120</f>
        <v>0x1111</v>
      </c>
      <c r="J1401" s="41">
        <v>40473</v>
      </c>
      <c r="K1401" s="42"/>
    </row>
    <row r="1402" spans="2:11" s="179" customFormat="1" hidden="1" outlineLevel="1">
      <c r="B1402" s="178">
        <v>1396</v>
      </c>
      <c r="C1402" s="44"/>
      <c r="D1402" s="45"/>
      <c r="E1402" s="39" t="s">
        <v>325</v>
      </c>
      <c r="F1402" s="180" t="s">
        <v>1826</v>
      </c>
      <c r="G1402" s="40" t="s">
        <v>118</v>
      </c>
      <c r="H1402" s="46" t="s">
        <v>119</v>
      </c>
      <c r="I1402" s="51" t="str">
        <f>"0x"&amp;AE_w_WORK!N121</f>
        <v>0x1111</v>
      </c>
      <c r="J1402" s="41">
        <v>40473</v>
      </c>
      <c r="K1402" s="42"/>
    </row>
    <row r="1403" spans="2:11" s="179" customFormat="1" hidden="1" outlineLevel="1">
      <c r="B1403" s="178">
        <v>1397</v>
      </c>
      <c r="C1403" s="44"/>
      <c r="D1403" s="45"/>
      <c r="E1403" s="39" t="s">
        <v>325</v>
      </c>
      <c r="F1403" s="180" t="s">
        <v>1827</v>
      </c>
      <c r="G1403" s="40" t="s">
        <v>120</v>
      </c>
      <c r="H1403" s="46" t="s">
        <v>264</v>
      </c>
      <c r="I1403" s="51" t="str">
        <f>"0x"&amp;AE_w_WORK!N122</f>
        <v>0x0000</v>
      </c>
      <c r="J1403" s="41">
        <v>40473</v>
      </c>
      <c r="K1403" s="42"/>
    </row>
    <row r="1404" spans="2:11" s="179" customFormat="1" hidden="1" outlineLevel="1">
      <c r="B1404" s="178">
        <v>1398</v>
      </c>
      <c r="C1404" s="44"/>
      <c r="D1404" s="45"/>
      <c r="E1404" s="39" t="s">
        <v>325</v>
      </c>
      <c r="F1404" s="180" t="s">
        <v>1828</v>
      </c>
      <c r="G1404" s="40" t="s">
        <v>0</v>
      </c>
      <c r="H1404" s="46" t="s">
        <v>1</v>
      </c>
      <c r="I1404" s="51" t="str">
        <f>"0x"&amp;AE_w_WORK!N123</f>
        <v>0x0011</v>
      </c>
      <c r="J1404" s="41">
        <v>40473</v>
      </c>
      <c r="K1404" s="42"/>
    </row>
    <row r="1405" spans="2:11" s="179" customFormat="1" hidden="1" outlineLevel="1">
      <c r="B1405" s="178">
        <v>1399</v>
      </c>
      <c r="C1405" s="44"/>
      <c r="D1405" s="45"/>
      <c r="E1405" s="39" t="s">
        <v>325</v>
      </c>
      <c r="F1405" s="180" t="s">
        <v>1829</v>
      </c>
      <c r="G1405" s="40" t="s">
        <v>2</v>
      </c>
      <c r="H1405" s="46" t="s">
        <v>3</v>
      </c>
      <c r="I1405" s="51" t="str">
        <f>"0x"&amp;AE_w_WORK!N124</f>
        <v>0x1111</v>
      </c>
      <c r="J1405" s="41">
        <v>40473</v>
      </c>
      <c r="K1405" s="42"/>
    </row>
    <row r="1406" spans="2:11" s="179" customFormat="1" hidden="1" outlineLevel="1">
      <c r="B1406" s="178">
        <v>1400</v>
      </c>
      <c r="C1406" s="44"/>
      <c r="D1406" s="45"/>
      <c r="E1406" s="39" t="s">
        <v>325</v>
      </c>
      <c r="F1406" s="180" t="s">
        <v>1830</v>
      </c>
      <c r="G1406" s="40" t="s">
        <v>4</v>
      </c>
      <c r="H1406" s="46" t="s">
        <v>5</v>
      </c>
      <c r="I1406" s="51" t="str">
        <f>"0x"&amp;AE_w_WORK!N125</f>
        <v>0x1111</v>
      </c>
      <c r="J1406" s="41">
        <v>40473</v>
      </c>
      <c r="K1406" s="42"/>
    </row>
    <row r="1407" spans="2:11" s="179" customFormat="1" hidden="1" outlineLevel="1">
      <c r="B1407" s="178">
        <v>1401</v>
      </c>
      <c r="C1407" s="44"/>
      <c r="D1407" s="45"/>
      <c r="E1407" s="39" t="s">
        <v>325</v>
      </c>
      <c r="F1407" s="180" t="s">
        <v>1831</v>
      </c>
      <c r="G1407" s="40" t="s">
        <v>6</v>
      </c>
      <c r="H1407" s="46" t="s">
        <v>7</v>
      </c>
      <c r="I1407" s="51" t="str">
        <f>"0x"&amp;AE_w_WORK!N126</f>
        <v>0x0000</v>
      </c>
      <c r="J1407" s="41">
        <v>40473</v>
      </c>
      <c r="K1407" s="42"/>
    </row>
    <row r="1408" spans="2:11" s="179" customFormat="1" hidden="1" outlineLevel="1">
      <c r="B1408" s="178">
        <v>1402</v>
      </c>
      <c r="C1408" s="44"/>
      <c r="D1408" s="45"/>
      <c r="E1408" s="39" t="s">
        <v>325</v>
      </c>
      <c r="F1408" s="180" t="s">
        <v>1832</v>
      </c>
      <c r="G1408" s="40" t="s">
        <v>8</v>
      </c>
      <c r="H1408" s="46" t="s">
        <v>9</v>
      </c>
      <c r="I1408" s="51" t="str">
        <f>"0x"&amp;AE_w_WORK!N127</f>
        <v>0x0000</v>
      </c>
      <c r="J1408" s="41">
        <v>40473</v>
      </c>
      <c r="K1408" s="42"/>
    </row>
    <row r="1409" spans="2:11" s="179" customFormat="1" hidden="1" outlineLevel="1">
      <c r="B1409" s="178">
        <v>1403</v>
      </c>
      <c r="C1409" s="44"/>
      <c r="D1409" s="45"/>
      <c r="E1409" s="39" t="s">
        <v>325</v>
      </c>
      <c r="F1409" s="180" t="s">
        <v>1833</v>
      </c>
      <c r="G1409" s="40" t="s">
        <v>10</v>
      </c>
      <c r="H1409" s="46" t="s">
        <v>11</v>
      </c>
      <c r="I1409" s="51" t="str">
        <f>"0x"&amp;AE_w_WORK!N128</f>
        <v>0x0000</v>
      </c>
      <c r="J1409" s="41">
        <v>40473</v>
      </c>
      <c r="K1409" s="42"/>
    </row>
    <row r="1410" spans="2:11" s="179" customFormat="1" hidden="1" outlineLevel="1">
      <c r="B1410" s="178">
        <v>1404</v>
      </c>
      <c r="C1410" s="44"/>
      <c r="D1410" s="45"/>
      <c r="E1410" s="39" t="s">
        <v>325</v>
      </c>
      <c r="F1410" s="180" t="s">
        <v>1834</v>
      </c>
      <c r="G1410" s="40" t="s">
        <v>12</v>
      </c>
      <c r="H1410" s="46" t="s">
        <v>13</v>
      </c>
      <c r="I1410" s="51" t="str">
        <f>"0x"&amp;AE_w_WORK!N129</f>
        <v>0x0000</v>
      </c>
      <c r="J1410" s="41">
        <v>40473</v>
      </c>
      <c r="K1410" s="42"/>
    </row>
    <row r="1411" spans="2:11" s="179" customFormat="1" hidden="1" outlineLevel="1">
      <c r="B1411" s="178">
        <v>1405</v>
      </c>
      <c r="C1411" s="44"/>
      <c r="D1411" s="45"/>
      <c r="E1411" s="39" t="s">
        <v>325</v>
      </c>
      <c r="F1411" s="180" t="s">
        <v>1835</v>
      </c>
      <c r="G1411" s="40" t="s">
        <v>14</v>
      </c>
      <c r="H1411" s="46" t="s">
        <v>15</v>
      </c>
      <c r="I1411" s="51" t="str">
        <f>"0x"&amp;AE_w_WORK!N130</f>
        <v>0x0000</v>
      </c>
      <c r="J1411" s="41">
        <v>40473</v>
      </c>
      <c r="K1411" s="42"/>
    </row>
    <row r="1412" spans="2:11" s="179" customFormat="1" hidden="1" outlineLevel="1">
      <c r="B1412" s="178">
        <v>1406</v>
      </c>
      <c r="C1412" s="44"/>
      <c r="D1412" s="45"/>
      <c r="E1412" s="39" t="s">
        <v>325</v>
      </c>
      <c r="F1412" s="180" t="s">
        <v>1836</v>
      </c>
      <c r="G1412" s="40" t="s">
        <v>16</v>
      </c>
      <c r="H1412" s="46" t="s">
        <v>17</v>
      </c>
      <c r="I1412" s="51" t="str">
        <f>"0x"&amp;AE_w_WORK!N131</f>
        <v>0x0000</v>
      </c>
      <c r="J1412" s="41">
        <v>40473</v>
      </c>
      <c r="K1412" s="42"/>
    </row>
    <row r="1413" spans="2:11" s="179" customFormat="1" hidden="1" outlineLevel="1">
      <c r="B1413" s="178">
        <v>1407</v>
      </c>
      <c r="C1413" s="44"/>
      <c r="D1413" s="45"/>
      <c r="E1413" s="39" t="s">
        <v>325</v>
      </c>
      <c r="F1413" s="180" t="s">
        <v>1837</v>
      </c>
      <c r="G1413" s="40" t="s">
        <v>18</v>
      </c>
      <c r="H1413" s="46" t="s">
        <v>19</v>
      </c>
      <c r="I1413" s="51" t="str">
        <f>"0x"&amp;AE_w_WORK!N132</f>
        <v>0x0000</v>
      </c>
      <c r="J1413" s="41">
        <v>40473</v>
      </c>
      <c r="K1413" s="42"/>
    </row>
    <row r="1414" spans="2:11" s="179" customFormat="1" hidden="1" outlineLevel="1">
      <c r="B1414" s="178">
        <v>1408</v>
      </c>
      <c r="C1414" s="44"/>
      <c r="D1414" s="45"/>
      <c r="E1414" s="39" t="s">
        <v>325</v>
      </c>
      <c r="F1414" s="180" t="s">
        <v>1838</v>
      </c>
      <c r="G1414" s="40" t="s">
        <v>20</v>
      </c>
      <c r="H1414" s="46" t="s">
        <v>21</v>
      </c>
      <c r="I1414" s="51" t="str">
        <f>"0x"&amp;AE_w_WORK!N133</f>
        <v>0x0000</v>
      </c>
      <c r="J1414" s="41">
        <v>40473</v>
      </c>
      <c r="K1414" s="42"/>
    </row>
    <row r="1415" spans="2:11" s="179" customFormat="1" collapsed="1">
      <c r="B1415" s="178">
        <v>1409</v>
      </c>
      <c r="C1415" s="44"/>
      <c r="D1415" s="45"/>
      <c r="E1415" s="39" t="s">
        <v>325</v>
      </c>
      <c r="F1415" s="180" t="s">
        <v>1839</v>
      </c>
      <c r="G1415" s="40" t="s">
        <v>79</v>
      </c>
      <c r="H1415" s="46" t="s">
        <v>80</v>
      </c>
      <c r="I1415" s="51" t="str">
        <f>"0x"&amp;AE_w_WORK!O6</f>
        <v>0x0112</v>
      </c>
      <c r="J1415" s="41">
        <v>40473</v>
      </c>
      <c r="K1415" s="42" t="s">
        <v>426</v>
      </c>
    </row>
    <row r="1416" spans="2:11" s="179" customFormat="1" hidden="1" outlineLevel="1">
      <c r="B1416" s="178">
        <v>1410</v>
      </c>
      <c r="C1416" s="44"/>
      <c r="D1416" s="45"/>
      <c r="E1416" s="39" t="s">
        <v>325</v>
      </c>
      <c r="F1416" s="180" t="s">
        <v>1840</v>
      </c>
      <c r="G1416" s="40" t="s">
        <v>77</v>
      </c>
      <c r="H1416" s="46" t="s">
        <v>78</v>
      </c>
      <c r="I1416" s="51" t="str">
        <f>"0x"&amp;AE_w_WORK!O7</f>
        <v>0x3334</v>
      </c>
      <c r="J1416" s="41">
        <v>40473</v>
      </c>
      <c r="K1416" s="42"/>
    </row>
    <row r="1417" spans="2:11" s="179" customFormat="1" hidden="1" outlineLevel="1">
      <c r="B1417" s="178">
        <v>1411</v>
      </c>
      <c r="C1417" s="44"/>
      <c r="D1417" s="45"/>
      <c r="E1417" s="39" t="s">
        <v>325</v>
      </c>
      <c r="F1417" s="180" t="s">
        <v>1841</v>
      </c>
      <c r="G1417" s="40" t="s">
        <v>22</v>
      </c>
      <c r="H1417" s="46" t="s">
        <v>23</v>
      </c>
      <c r="I1417" s="51" t="str">
        <f>"0x"&amp;AE_w_WORK!O8</f>
        <v>0x4333</v>
      </c>
      <c r="J1417" s="41">
        <v>40473</v>
      </c>
      <c r="K1417" s="42"/>
    </row>
    <row r="1418" spans="2:11" s="179" customFormat="1" hidden="1" outlineLevel="1">
      <c r="B1418" s="178">
        <v>1412</v>
      </c>
      <c r="C1418" s="44"/>
      <c r="D1418" s="45"/>
      <c r="E1418" s="39" t="s">
        <v>325</v>
      </c>
      <c r="F1418" s="180" t="s">
        <v>1842</v>
      </c>
      <c r="G1418" s="40" t="s">
        <v>24</v>
      </c>
      <c r="H1418" s="46" t="s">
        <v>25</v>
      </c>
      <c r="I1418" s="51" t="str">
        <f>"0x"&amp;AE_w_WORK!O9</f>
        <v>0x2110</v>
      </c>
      <c r="J1418" s="41">
        <v>40473</v>
      </c>
      <c r="K1418" s="42"/>
    </row>
    <row r="1419" spans="2:11" s="179" customFormat="1" hidden="1" outlineLevel="1">
      <c r="B1419" s="178">
        <v>1413</v>
      </c>
      <c r="C1419" s="44"/>
      <c r="D1419" s="45"/>
      <c r="E1419" s="39" t="s">
        <v>325</v>
      </c>
      <c r="F1419" s="180" t="s">
        <v>1843</v>
      </c>
      <c r="G1419" s="40" t="s">
        <v>26</v>
      </c>
      <c r="H1419" s="46" t="s">
        <v>27</v>
      </c>
      <c r="I1419" s="51" t="str">
        <f>"0x"&amp;AE_w_WORK!O10</f>
        <v>0x0112</v>
      </c>
      <c r="J1419" s="41">
        <v>40473</v>
      </c>
      <c r="K1419" s="42"/>
    </row>
    <row r="1420" spans="2:11" s="179" customFormat="1" hidden="1" outlineLevel="1">
      <c r="B1420" s="178">
        <v>1414</v>
      </c>
      <c r="C1420" s="44"/>
      <c r="D1420" s="45"/>
      <c r="E1420" s="39" t="s">
        <v>325</v>
      </c>
      <c r="F1420" s="180" t="s">
        <v>1844</v>
      </c>
      <c r="G1420" s="40" t="s">
        <v>28</v>
      </c>
      <c r="H1420" s="46" t="s">
        <v>29</v>
      </c>
      <c r="I1420" s="51" t="str">
        <f>"0x"&amp;AE_w_WORK!O11</f>
        <v>0x3344</v>
      </c>
      <c r="J1420" s="41">
        <v>40473</v>
      </c>
      <c r="K1420" s="42"/>
    </row>
    <row r="1421" spans="2:11" s="179" customFormat="1" hidden="1" outlineLevel="1">
      <c r="B1421" s="178">
        <v>1415</v>
      </c>
      <c r="C1421" s="44"/>
      <c r="D1421" s="45"/>
      <c r="E1421" s="39" t="s">
        <v>325</v>
      </c>
      <c r="F1421" s="180" t="s">
        <v>1845</v>
      </c>
      <c r="G1421" s="40" t="s">
        <v>30</v>
      </c>
      <c r="H1421" s="46" t="s">
        <v>31</v>
      </c>
      <c r="I1421" s="51" t="str">
        <f>"0x"&amp;AE_w_WORK!O12</f>
        <v>0x4433</v>
      </c>
      <c r="J1421" s="41">
        <v>40473</v>
      </c>
      <c r="K1421" s="42"/>
    </row>
    <row r="1422" spans="2:11" s="179" customFormat="1" hidden="1" outlineLevel="1">
      <c r="B1422" s="178">
        <v>1416</v>
      </c>
      <c r="C1422" s="44"/>
      <c r="D1422" s="45"/>
      <c r="E1422" s="39" t="s">
        <v>325</v>
      </c>
      <c r="F1422" s="180" t="s">
        <v>1846</v>
      </c>
      <c r="G1422" s="40" t="s">
        <v>32</v>
      </c>
      <c r="H1422" s="46" t="s">
        <v>33</v>
      </c>
      <c r="I1422" s="51" t="str">
        <f>"0x"&amp;AE_w_WORK!O13</f>
        <v>0x2110</v>
      </c>
      <c r="J1422" s="41">
        <v>40473</v>
      </c>
      <c r="K1422" s="42"/>
    </row>
    <row r="1423" spans="2:11" s="179" customFormat="1" hidden="1" outlineLevel="1">
      <c r="B1423" s="178">
        <v>1417</v>
      </c>
      <c r="C1423" s="44"/>
      <c r="D1423" s="45"/>
      <c r="E1423" s="39" t="s">
        <v>325</v>
      </c>
      <c r="F1423" s="180" t="s">
        <v>1847</v>
      </c>
      <c r="G1423" s="40" t="s">
        <v>34</v>
      </c>
      <c r="H1423" s="46" t="s">
        <v>35</v>
      </c>
      <c r="I1423" s="51" t="str">
        <f>"0x"&amp;AE_w_WORK!O14</f>
        <v>0x0112</v>
      </c>
      <c r="J1423" s="41">
        <v>40473</v>
      </c>
      <c r="K1423" s="42"/>
    </row>
    <row r="1424" spans="2:11" s="179" customFormat="1" hidden="1" outlineLevel="1">
      <c r="B1424" s="178">
        <v>1418</v>
      </c>
      <c r="C1424" s="44"/>
      <c r="D1424" s="45"/>
      <c r="E1424" s="39" t="s">
        <v>325</v>
      </c>
      <c r="F1424" s="180" t="s">
        <v>1848</v>
      </c>
      <c r="G1424" s="40" t="s">
        <v>36</v>
      </c>
      <c r="H1424" s="46" t="s">
        <v>37</v>
      </c>
      <c r="I1424" s="51" t="str">
        <f>"0x"&amp;AE_w_WORK!O15</f>
        <v>0x3344</v>
      </c>
      <c r="J1424" s="41">
        <v>40473</v>
      </c>
      <c r="K1424" s="42"/>
    </row>
    <row r="1425" spans="2:11" s="179" customFormat="1" hidden="1" outlineLevel="1">
      <c r="B1425" s="178">
        <v>1419</v>
      </c>
      <c r="C1425" s="44"/>
      <c r="D1425" s="45"/>
      <c r="E1425" s="39" t="s">
        <v>325</v>
      </c>
      <c r="F1425" s="180" t="s">
        <v>1849</v>
      </c>
      <c r="G1425" s="40" t="s">
        <v>38</v>
      </c>
      <c r="H1425" s="46" t="s">
        <v>39</v>
      </c>
      <c r="I1425" s="51" t="str">
        <f>"0x"&amp;AE_w_WORK!O16</f>
        <v>0x4433</v>
      </c>
      <c r="J1425" s="41">
        <v>40473</v>
      </c>
      <c r="K1425" s="42"/>
    </row>
    <row r="1426" spans="2:11" s="179" customFormat="1" hidden="1" outlineLevel="1">
      <c r="B1426" s="178">
        <v>1420</v>
      </c>
      <c r="C1426" s="44"/>
      <c r="D1426" s="45"/>
      <c r="E1426" s="39" t="s">
        <v>325</v>
      </c>
      <c r="F1426" s="180" t="s">
        <v>1850</v>
      </c>
      <c r="G1426" s="40" t="s">
        <v>40</v>
      </c>
      <c r="H1426" s="46" t="s">
        <v>41</v>
      </c>
      <c r="I1426" s="51" t="str">
        <f>"0x"&amp;AE_w_WORK!O17</f>
        <v>0x2110</v>
      </c>
      <c r="J1426" s="41">
        <v>40473</v>
      </c>
      <c r="K1426" s="42"/>
    </row>
    <row r="1427" spans="2:11" s="179" customFormat="1" hidden="1" outlineLevel="1">
      <c r="B1427" s="178">
        <v>1421</v>
      </c>
      <c r="C1427" s="44"/>
      <c r="D1427" s="45"/>
      <c r="E1427" s="39" t="s">
        <v>325</v>
      </c>
      <c r="F1427" s="180" t="s">
        <v>1851</v>
      </c>
      <c r="G1427" s="40" t="s">
        <v>42</v>
      </c>
      <c r="H1427" s="46" t="s">
        <v>43</v>
      </c>
      <c r="I1427" s="51" t="str">
        <f>"0x"&amp;AE_w_WORK!O18</f>
        <v>0x0112</v>
      </c>
      <c r="J1427" s="41">
        <v>40473</v>
      </c>
      <c r="K1427" s="42"/>
    </row>
    <row r="1428" spans="2:11" s="179" customFormat="1" hidden="1" outlineLevel="1">
      <c r="B1428" s="178">
        <v>1422</v>
      </c>
      <c r="C1428" s="44"/>
      <c r="D1428" s="45"/>
      <c r="E1428" s="39" t="s">
        <v>325</v>
      </c>
      <c r="F1428" s="180" t="s">
        <v>1852</v>
      </c>
      <c r="G1428" s="40" t="s">
        <v>44</v>
      </c>
      <c r="H1428" s="46" t="s">
        <v>45</v>
      </c>
      <c r="I1428" s="51" t="str">
        <f>"0x"&amp;AE_w_WORK!O19</f>
        <v>0x3444</v>
      </c>
      <c r="J1428" s="41">
        <v>40473</v>
      </c>
      <c r="K1428" s="42"/>
    </row>
    <row r="1429" spans="2:11" s="179" customFormat="1" hidden="1" outlineLevel="1">
      <c r="B1429" s="178">
        <v>1423</v>
      </c>
      <c r="C1429" s="44"/>
      <c r="D1429" s="45"/>
      <c r="E1429" s="39" t="s">
        <v>325</v>
      </c>
      <c r="F1429" s="180" t="s">
        <v>1853</v>
      </c>
      <c r="G1429" s="40" t="s">
        <v>46</v>
      </c>
      <c r="H1429" s="46" t="s">
        <v>47</v>
      </c>
      <c r="I1429" s="51" t="str">
        <f>"0x"&amp;AE_w_WORK!O20</f>
        <v>0x4443</v>
      </c>
      <c r="J1429" s="41">
        <v>40473</v>
      </c>
      <c r="K1429" s="42"/>
    </row>
    <row r="1430" spans="2:11" s="179" customFormat="1" hidden="1" outlineLevel="1">
      <c r="B1430" s="178">
        <v>1424</v>
      </c>
      <c r="C1430" s="44"/>
      <c r="D1430" s="45"/>
      <c r="E1430" s="39" t="s">
        <v>325</v>
      </c>
      <c r="F1430" s="180" t="s">
        <v>1854</v>
      </c>
      <c r="G1430" s="40" t="s">
        <v>48</v>
      </c>
      <c r="H1430" s="46" t="s">
        <v>49</v>
      </c>
      <c r="I1430" s="51" t="str">
        <f>"0x"&amp;AE_w_WORK!O21</f>
        <v>0x2110</v>
      </c>
      <c r="J1430" s="41">
        <v>40473</v>
      </c>
      <c r="K1430" s="42"/>
    </row>
    <row r="1431" spans="2:11" s="179" customFormat="1" hidden="1" outlineLevel="1">
      <c r="B1431" s="178">
        <v>1425</v>
      </c>
      <c r="C1431" s="44"/>
      <c r="D1431" s="45"/>
      <c r="E1431" s="39" t="s">
        <v>325</v>
      </c>
      <c r="F1431" s="180" t="s">
        <v>1855</v>
      </c>
      <c r="G1431" s="40" t="s">
        <v>50</v>
      </c>
      <c r="H1431" s="46" t="s">
        <v>51</v>
      </c>
      <c r="I1431" s="51" t="str">
        <f>"0x"&amp;AE_w_WORK!O22</f>
        <v>0x0112</v>
      </c>
      <c r="J1431" s="41">
        <v>40473</v>
      </c>
      <c r="K1431" s="42"/>
    </row>
    <row r="1432" spans="2:11" s="179" customFormat="1" hidden="1" outlineLevel="1">
      <c r="B1432" s="178">
        <v>1426</v>
      </c>
      <c r="C1432" s="44"/>
      <c r="D1432" s="45"/>
      <c r="E1432" s="39" t="s">
        <v>325</v>
      </c>
      <c r="F1432" s="180" t="s">
        <v>1856</v>
      </c>
      <c r="G1432" s="40" t="s">
        <v>52</v>
      </c>
      <c r="H1432" s="46" t="s">
        <v>53</v>
      </c>
      <c r="I1432" s="51" t="str">
        <f>"0x"&amp;AE_w_WORK!O23</f>
        <v>0x3445</v>
      </c>
      <c r="J1432" s="41">
        <v>40473</v>
      </c>
      <c r="K1432" s="42"/>
    </row>
    <row r="1433" spans="2:11" s="179" customFormat="1" hidden="1" outlineLevel="1">
      <c r="B1433" s="178">
        <v>1427</v>
      </c>
      <c r="C1433" s="44"/>
      <c r="D1433" s="45"/>
      <c r="E1433" s="39" t="s">
        <v>325</v>
      </c>
      <c r="F1433" s="180" t="s">
        <v>1857</v>
      </c>
      <c r="G1433" s="40" t="s">
        <v>54</v>
      </c>
      <c r="H1433" s="46" t="s">
        <v>55</v>
      </c>
      <c r="I1433" s="51" t="str">
        <f>"0x"&amp;AE_w_WORK!O24</f>
        <v>0x5443</v>
      </c>
      <c r="J1433" s="41">
        <v>40473</v>
      </c>
      <c r="K1433" s="42"/>
    </row>
    <row r="1434" spans="2:11" s="179" customFormat="1" hidden="1" outlineLevel="1">
      <c r="B1434" s="178">
        <v>1428</v>
      </c>
      <c r="C1434" s="44"/>
      <c r="D1434" s="45"/>
      <c r="E1434" s="39" t="s">
        <v>325</v>
      </c>
      <c r="F1434" s="180" t="s">
        <v>1858</v>
      </c>
      <c r="G1434" s="40" t="s">
        <v>56</v>
      </c>
      <c r="H1434" s="46" t="s">
        <v>57</v>
      </c>
      <c r="I1434" s="51" t="str">
        <f>"0x"&amp;AE_w_WORK!O25</f>
        <v>0x2110</v>
      </c>
      <c r="J1434" s="41">
        <v>40473</v>
      </c>
      <c r="K1434" s="42"/>
    </row>
    <row r="1435" spans="2:11" s="179" customFormat="1" hidden="1" outlineLevel="1">
      <c r="B1435" s="178">
        <v>1429</v>
      </c>
      <c r="C1435" s="44"/>
      <c r="D1435" s="45"/>
      <c r="E1435" s="39" t="s">
        <v>325</v>
      </c>
      <c r="F1435" s="180" t="s">
        <v>1859</v>
      </c>
      <c r="G1435" s="40" t="s">
        <v>58</v>
      </c>
      <c r="H1435" s="46" t="s">
        <v>59</v>
      </c>
      <c r="I1435" s="51" t="str">
        <f>"0x"&amp;AE_w_WORK!O26</f>
        <v>0x0112</v>
      </c>
      <c r="J1435" s="41">
        <v>40473</v>
      </c>
      <c r="K1435" s="42"/>
    </row>
    <row r="1436" spans="2:11" s="179" customFormat="1" hidden="1" outlineLevel="1">
      <c r="B1436" s="178">
        <v>1430</v>
      </c>
      <c r="C1436" s="44"/>
      <c r="D1436" s="45"/>
      <c r="E1436" s="39" t="s">
        <v>325</v>
      </c>
      <c r="F1436" s="180" t="s">
        <v>1860</v>
      </c>
      <c r="G1436" s="40" t="s">
        <v>60</v>
      </c>
      <c r="H1436" s="46" t="s">
        <v>61</v>
      </c>
      <c r="I1436" s="51" t="str">
        <f>"0x"&amp;AE_w_WORK!O27</f>
        <v>0x3455</v>
      </c>
      <c r="J1436" s="41">
        <v>40473</v>
      </c>
      <c r="K1436" s="42"/>
    </row>
    <row r="1437" spans="2:11" s="179" customFormat="1" hidden="1" outlineLevel="1">
      <c r="B1437" s="178">
        <v>1431</v>
      </c>
      <c r="C1437" s="44"/>
      <c r="D1437" s="45"/>
      <c r="E1437" s="39" t="s">
        <v>325</v>
      </c>
      <c r="F1437" s="180" t="s">
        <v>1861</v>
      </c>
      <c r="G1437" s="40" t="s">
        <v>62</v>
      </c>
      <c r="H1437" s="46" t="s">
        <v>63</v>
      </c>
      <c r="I1437" s="51" t="str">
        <f>"0x"&amp;AE_w_WORK!O28</f>
        <v>0x5543</v>
      </c>
      <c r="J1437" s="41">
        <v>40473</v>
      </c>
      <c r="K1437" s="42"/>
    </row>
    <row r="1438" spans="2:11" s="179" customFormat="1" hidden="1" outlineLevel="1">
      <c r="B1438" s="178">
        <v>1432</v>
      </c>
      <c r="C1438" s="44"/>
      <c r="D1438" s="45"/>
      <c r="E1438" s="39" t="s">
        <v>325</v>
      </c>
      <c r="F1438" s="180" t="s">
        <v>1862</v>
      </c>
      <c r="G1438" s="40" t="s">
        <v>64</v>
      </c>
      <c r="H1438" s="46" t="s">
        <v>65</v>
      </c>
      <c r="I1438" s="51" t="str">
        <f>"0x"&amp;AE_w_WORK!O29</f>
        <v>0x2110</v>
      </c>
      <c r="J1438" s="41">
        <v>40473</v>
      </c>
      <c r="K1438" s="42"/>
    </row>
    <row r="1439" spans="2:11" s="179" customFormat="1" hidden="1" outlineLevel="1">
      <c r="B1439" s="178">
        <v>1433</v>
      </c>
      <c r="C1439" s="44"/>
      <c r="D1439" s="45"/>
      <c r="E1439" s="39" t="s">
        <v>325</v>
      </c>
      <c r="F1439" s="180" t="s">
        <v>1863</v>
      </c>
      <c r="G1439" s="40" t="s">
        <v>66</v>
      </c>
      <c r="H1439" s="46" t="s">
        <v>67</v>
      </c>
      <c r="I1439" s="51" t="str">
        <f>"0x"&amp;AE_w_WORK!O30</f>
        <v>0x0112</v>
      </c>
      <c r="J1439" s="41">
        <v>40473</v>
      </c>
      <c r="K1439" s="42"/>
    </row>
    <row r="1440" spans="2:11" s="179" customFormat="1" hidden="1" outlineLevel="1">
      <c r="B1440" s="178">
        <v>1434</v>
      </c>
      <c r="C1440" s="44"/>
      <c r="D1440" s="45"/>
      <c r="E1440" s="39" t="s">
        <v>325</v>
      </c>
      <c r="F1440" s="180" t="s">
        <v>1864</v>
      </c>
      <c r="G1440" s="40" t="s">
        <v>68</v>
      </c>
      <c r="H1440" s="46" t="s">
        <v>69</v>
      </c>
      <c r="I1440" s="51" t="str">
        <f>"0x"&amp;AE_w_WORK!O31</f>
        <v>0x3455</v>
      </c>
      <c r="J1440" s="41">
        <v>40473</v>
      </c>
      <c r="K1440" s="42"/>
    </row>
    <row r="1441" spans="2:11" s="179" customFormat="1" hidden="1" outlineLevel="1">
      <c r="B1441" s="178">
        <v>1435</v>
      </c>
      <c r="C1441" s="44"/>
      <c r="D1441" s="45"/>
      <c r="E1441" s="39" t="s">
        <v>325</v>
      </c>
      <c r="F1441" s="180" t="s">
        <v>1865</v>
      </c>
      <c r="G1441" s="40" t="s">
        <v>70</v>
      </c>
      <c r="H1441" s="46" t="s">
        <v>71</v>
      </c>
      <c r="I1441" s="51" t="str">
        <f>"0x"&amp;AE_w_WORK!O32</f>
        <v>0x5543</v>
      </c>
      <c r="J1441" s="41">
        <v>40473</v>
      </c>
      <c r="K1441" s="42"/>
    </row>
    <row r="1442" spans="2:11" s="179" customFormat="1" hidden="1" outlineLevel="1">
      <c r="B1442" s="178">
        <v>1436</v>
      </c>
      <c r="C1442" s="44"/>
      <c r="D1442" s="45"/>
      <c r="E1442" s="39" t="s">
        <v>325</v>
      </c>
      <c r="F1442" s="180" t="s">
        <v>1866</v>
      </c>
      <c r="G1442" s="40" t="s">
        <v>72</v>
      </c>
      <c r="H1442" s="46" t="s">
        <v>73</v>
      </c>
      <c r="I1442" s="51" t="str">
        <f>"0x"&amp;AE_w_WORK!O33</f>
        <v>0x2110</v>
      </c>
      <c r="J1442" s="41">
        <v>40473</v>
      </c>
      <c r="K1442" s="42"/>
    </row>
    <row r="1443" spans="2:11" s="179" customFormat="1" hidden="1" outlineLevel="1">
      <c r="B1443" s="178">
        <v>1437</v>
      </c>
      <c r="C1443" s="44"/>
      <c r="D1443" s="45"/>
      <c r="E1443" s="39" t="s">
        <v>325</v>
      </c>
      <c r="F1443" s="180" t="s">
        <v>1867</v>
      </c>
      <c r="G1443" s="40" t="s">
        <v>74</v>
      </c>
      <c r="H1443" s="46" t="s">
        <v>128</v>
      </c>
      <c r="I1443" s="51" t="str">
        <f>"0x"&amp;AE_w_WORK!O34</f>
        <v>0x0123</v>
      </c>
      <c r="J1443" s="41">
        <v>40473</v>
      </c>
      <c r="K1443" s="42"/>
    </row>
    <row r="1444" spans="2:11" s="179" customFormat="1" hidden="1" outlineLevel="1">
      <c r="B1444" s="178">
        <v>1438</v>
      </c>
      <c r="C1444" s="44"/>
      <c r="D1444" s="45"/>
      <c r="E1444" s="39" t="s">
        <v>325</v>
      </c>
      <c r="F1444" s="180" t="s">
        <v>1868</v>
      </c>
      <c r="G1444" s="40" t="s">
        <v>129</v>
      </c>
      <c r="H1444" s="46" t="s">
        <v>130</v>
      </c>
      <c r="I1444" s="51" t="str">
        <f>"0x"&amp;AE_w_WORK!O35</f>
        <v>0x3455</v>
      </c>
      <c r="J1444" s="41">
        <v>40473</v>
      </c>
      <c r="K1444" s="42"/>
    </row>
    <row r="1445" spans="2:11" s="179" customFormat="1" hidden="1" outlineLevel="1">
      <c r="B1445" s="178">
        <v>1439</v>
      </c>
      <c r="C1445" s="44"/>
      <c r="D1445" s="45"/>
      <c r="E1445" s="39" t="s">
        <v>325</v>
      </c>
      <c r="F1445" s="180" t="s">
        <v>1869</v>
      </c>
      <c r="G1445" s="40" t="s">
        <v>131</v>
      </c>
      <c r="H1445" s="46" t="s">
        <v>132</v>
      </c>
      <c r="I1445" s="51" t="str">
        <f>"0x"&amp;AE_w_WORK!O36</f>
        <v>0x5543</v>
      </c>
      <c r="J1445" s="41">
        <v>40473</v>
      </c>
      <c r="K1445" s="42"/>
    </row>
    <row r="1446" spans="2:11" s="179" customFormat="1" hidden="1" outlineLevel="1">
      <c r="B1446" s="178">
        <v>1440</v>
      </c>
      <c r="C1446" s="44"/>
      <c r="D1446" s="45"/>
      <c r="E1446" s="39" t="s">
        <v>325</v>
      </c>
      <c r="F1446" s="180" t="s">
        <v>1870</v>
      </c>
      <c r="G1446" s="40" t="s">
        <v>133</v>
      </c>
      <c r="H1446" s="46" t="s">
        <v>134</v>
      </c>
      <c r="I1446" s="51" t="str">
        <f>"0x"&amp;AE_w_WORK!O37</f>
        <v>0x3210</v>
      </c>
      <c r="J1446" s="41">
        <v>40473</v>
      </c>
      <c r="K1446" s="42"/>
    </row>
    <row r="1447" spans="2:11" s="179" customFormat="1" hidden="1" outlineLevel="1">
      <c r="B1447" s="178">
        <v>1441</v>
      </c>
      <c r="C1447" s="44"/>
      <c r="D1447" s="45"/>
      <c r="E1447" s="39" t="s">
        <v>325</v>
      </c>
      <c r="F1447" s="180" t="s">
        <v>1871</v>
      </c>
      <c r="G1447" s="40" t="s">
        <v>135</v>
      </c>
      <c r="H1447" s="46" t="s">
        <v>136</v>
      </c>
      <c r="I1447" s="51" t="str">
        <f>"0x"&amp;AE_w_WORK!O38</f>
        <v>0x0123</v>
      </c>
      <c r="J1447" s="41">
        <v>40473</v>
      </c>
      <c r="K1447" s="42"/>
    </row>
    <row r="1448" spans="2:11" s="179" customFormat="1" hidden="1" outlineLevel="1">
      <c r="B1448" s="178">
        <v>1442</v>
      </c>
      <c r="C1448" s="44"/>
      <c r="D1448" s="45"/>
      <c r="E1448" s="39" t="s">
        <v>325</v>
      </c>
      <c r="F1448" s="180" t="s">
        <v>1872</v>
      </c>
      <c r="G1448" s="40" t="s">
        <v>137</v>
      </c>
      <c r="H1448" s="46" t="s">
        <v>138</v>
      </c>
      <c r="I1448" s="51" t="str">
        <f>"0x"&amp;AE_w_WORK!O39</f>
        <v>0x3556</v>
      </c>
      <c r="J1448" s="41">
        <v>40473</v>
      </c>
      <c r="K1448" s="42"/>
    </row>
    <row r="1449" spans="2:11" s="179" customFormat="1" hidden="1" outlineLevel="1">
      <c r="B1449" s="178">
        <v>1443</v>
      </c>
      <c r="C1449" s="44"/>
      <c r="D1449" s="45"/>
      <c r="E1449" s="39" t="s">
        <v>325</v>
      </c>
      <c r="F1449" s="180" t="s">
        <v>1873</v>
      </c>
      <c r="G1449" s="40" t="s">
        <v>139</v>
      </c>
      <c r="H1449" s="46" t="s">
        <v>140</v>
      </c>
      <c r="I1449" s="51" t="str">
        <f>"0x"&amp;AE_w_WORK!O40</f>
        <v>0x6553</v>
      </c>
      <c r="J1449" s="41">
        <v>40473</v>
      </c>
      <c r="K1449" s="42"/>
    </row>
    <row r="1450" spans="2:11" s="179" customFormat="1" hidden="1" outlineLevel="1">
      <c r="B1450" s="178">
        <v>1444</v>
      </c>
      <c r="C1450" s="44"/>
      <c r="D1450" s="45"/>
      <c r="E1450" s="39" t="s">
        <v>325</v>
      </c>
      <c r="F1450" s="180" t="s">
        <v>1874</v>
      </c>
      <c r="G1450" s="40" t="s">
        <v>141</v>
      </c>
      <c r="H1450" s="46" t="s">
        <v>142</v>
      </c>
      <c r="I1450" s="51" t="str">
        <f>"0x"&amp;AE_w_WORK!O41</f>
        <v>0x3210</v>
      </c>
      <c r="J1450" s="41">
        <v>40473</v>
      </c>
      <c r="K1450" s="42"/>
    </row>
    <row r="1451" spans="2:11" s="179" customFormat="1" hidden="1" outlineLevel="1">
      <c r="B1451" s="178">
        <v>1445</v>
      </c>
      <c r="C1451" s="44"/>
      <c r="D1451" s="45"/>
      <c r="E1451" s="39" t="s">
        <v>325</v>
      </c>
      <c r="F1451" s="180" t="s">
        <v>1875</v>
      </c>
      <c r="G1451" s="40" t="s">
        <v>143</v>
      </c>
      <c r="H1451" s="46" t="s">
        <v>144</v>
      </c>
      <c r="I1451" s="51" t="str">
        <f>"0x"&amp;AE_w_WORK!O42</f>
        <v>0x0123</v>
      </c>
      <c r="J1451" s="41">
        <v>40473</v>
      </c>
      <c r="K1451" s="42"/>
    </row>
    <row r="1452" spans="2:11" s="179" customFormat="1" hidden="1" outlineLevel="1">
      <c r="B1452" s="178">
        <v>1446</v>
      </c>
      <c r="C1452" s="44"/>
      <c r="D1452" s="45"/>
      <c r="E1452" s="39" t="s">
        <v>325</v>
      </c>
      <c r="F1452" s="180" t="s">
        <v>1876</v>
      </c>
      <c r="G1452" s="40" t="s">
        <v>145</v>
      </c>
      <c r="H1452" s="46" t="s">
        <v>146</v>
      </c>
      <c r="I1452" s="51" t="str">
        <f>"0x"&amp;AE_w_WORK!O43</f>
        <v>0x4556</v>
      </c>
      <c r="J1452" s="41">
        <v>40473</v>
      </c>
      <c r="K1452" s="42"/>
    </row>
    <row r="1453" spans="2:11" s="179" customFormat="1" hidden="1" outlineLevel="1">
      <c r="B1453" s="178">
        <v>1447</v>
      </c>
      <c r="C1453" s="44"/>
      <c r="D1453" s="45"/>
      <c r="E1453" s="39" t="s">
        <v>325</v>
      </c>
      <c r="F1453" s="180" t="s">
        <v>1877</v>
      </c>
      <c r="G1453" s="40" t="s">
        <v>147</v>
      </c>
      <c r="H1453" s="46" t="s">
        <v>148</v>
      </c>
      <c r="I1453" s="51" t="str">
        <f>"0x"&amp;AE_w_WORK!O44</f>
        <v>0x6554</v>
      </c>
      <c r="J1453" s="41">
        <v>40473</v>
      </c>
      <c r="K1453" s="42"/>
    </row>
    <row r="1454" spans="2:11" s="179" customFormat="1" hidden="1" outlineLevel="1">
      <c r="B1454" s="178">
        <v>1448</v>
      </c>
      <c r="C1454" s="44"/>
      <c r="D1454" s="45"/>
      <c r="E1454" s="39" t="s">
        <v>325</v>
      </c>
      <c r="F1454" s="180" t="s">
        <v>1878</v>
      </c>
      <c r="G1454" s="40" t="s">
        <v>149</v>
      </c>
      <c r="H1454" s="46" t="s">
        <v>150</v>
      </c>
      <c r="I1454" s="51" t="str">
        <f>"0x"&amp;AE_w_WORK!O45</f>
        <v>0x3210</v>
      </c>
      <c r="J1454" s="41">
        <v>40473</v>
      </c>
      <c r="K1454" s="42"/>
    </row>
    <row r="1455" spans="2:11" s="179" customFormat="1" hidden="1" outlineLevel="1">
      <c r="B1455" s="178">
        <v>1449</v>
      </c>
      <c r="C1455" s="44"/>
      <c r="D1455" s="45"/>
      <c r="E1455" s="39" t="s">
        <v>325</v>
      </c>
      <c r="F1455" s="180" t="s">
        <v>1879</v>
      </c>
      <c r="G1455" s="40" t="s">
        <v>151</v>
      </c>
      <c r="H1455" s="46" t="s">
        <v>152</v>
      </c>
      <c r="I1455" s="51" t="str">
        <f>"0x"&amp;AE_w_WORK!O46</f>
        <v>0x0123</v>
      </c>
      <c r="J1455" s="41">
        <v>40473</v>
      </c>
      <c r="K1455" s="42"/>
    </row>
    <row r="1456" spans="2:11" s="179" customFormat="1" hidden="1" outlineLevel="1">
      <c r="B1456" s="178">
        <v>1450</v>
      </c>
      <c r="C1456" s="44"/>
      <c r="D1456" s="45"/>
      <c r="E1456" s="39" t="s">
        <v>325</v>
      </c>
      <c r="F1456" s="180" t="s">
        <v>1880</v>
      </c>
      <c r="G1456" s="40" t="s">
        <v>153</v>
      </c>
      <c r="H1456" s="46" t="s">
        <v>154</v>
      </c>
      <c r="I1456" s="51" t="str">
        <f>"0x"&amp;AE_w_WORK!O47</f>
        <v>0x4556</v>
      </c>
      <c r="J1456" s="41">
        <v>40473</v>
      </c>
      <c r="K1456" s="42"/>
    </row>
    <row r="1457" spans="2:11" s="179" customFormat="1" hidden="1" outlineLevel="1">
      <c r="B1457" s="178">
        <v>1451</v>
      </c>
      <c r="C1457" s="44"/>
      <c r="D1457" s="45"/>
      <c r="E1457" s="39" t="s">
        <v>325</v>
      </c>
      <c r="F1457" s="180" t="s">
        <v>1881</v>
      </c>
      <c r="G1457" s="40" t="s">
        <v>155</v>
      </c>
      <c r="H1457" s="46" t="s">
        <v>156</v>
      </c>
      <c r="I1457" s="51" t="str">
        <f>"0x"&amp;AE_w_WORK!O48</f>
        <v>0x6554</v>
      </c>
      <c r="J1457" s="41">
        <v>40473</v>
      </c>
      <c r="K1457" s="42"/>
    </row>
    <row r="1458" spans="2:11" s="179" customFormat="1" hidden="1" outlineLevel="1">
      <c r="B1458" s="178">
        <v>1452</v>
      </c>
      <c r="C1458" s="44"/>
      <c r="D1458" s="45"/>
      <c r="E1458" s="39" t="s">
        <v>325</v>
      </c>
      <c r="F1458" s="180" t="s">
        <v>1882</v>
      </c>
      <c r="G1458" s="40" t="s">
        <v>157</v>
      </c>
      <c r="H1458" s="46" t="s">
        <v>158</v>
      </c>
      <c r="I1458" s="51" t="str">
        <f>"0x"&amp;AE_w_WORK!O49</f>
        <v>0x3210</v>
      </c>
      <c r="J1458" s="41">
        <v>40473</v>
      </c>
      <c r="K1458" s="42"/>
    </row>
    <row r="1459" spans="2:11" s="179" customFormat="1" hidden="1" outlineLevel="1">
      <c r="B1459" s="178">
        <v>1453</v>
      </c>
      <c r="C1459" s="44"/>
      <c r="D1459" s="45"/>
      <c r="E1459" s="39" t="s">
        <v>325</v>
      </c>
      <c r="F1459" s="180" t="s">
        <v>1883</v>
      </c>
      <c r="G1459" s="40" t="s">
        <v>159</v>
      </c>
      <c r="H1459" s="46" t="s">
        <v>160</v>
      </c>
      <c r="I1459" s="51" t="str">
        <f>"0x"&amp;AE_w_WORK!O50</f>
        <v>0x0123</v>
      </c>
      <c r="J1459" s="41">
        <v>40473</v>
      </c>
      <c r="K1459" s="42"/>
    </row>
    <row r="1460" spans="2:11" s="179" customFormat="1" hidden="1" outlineLevel="1">
      <c r="B1460" s="178">
        <v>1454</v>
      </c>
      <c r="C1460" s="44"/>
      <c r="D1460" s="45"/>
      <c r="E1460" s="39" t="s">
        <v>325</v>
      </c>
      <c r="F1460" s="180" t="s">
        <v>1884</v>
      </c>
      <c r="G1460" s="40" t="s">
        <v>161</v>
      </c>
      <c r="H1460" s="46" t="s">
        <v>162</v>
      </c>
      <c r="I1460" s="51" t="str">
        <f>"0x"&amp;AE_w_WORK!O51</f>
        <v>0x4566</v>
      </c>
      <c r="J1460" s="41">
        <v>40473</v>
      </c>
      <c r="K1460" s="42"/>
    </row>
    <row r="1461" spans="2:11" s="179" customFormat="1" hidden="1" outlineLevel="1">
      <c r="B1461" s="178">
        <v>1455</v>
      </c>
      <c r="C1461" s="44"/>
      <c r="D1461" s="45"/>
      <c r="E1461" s="39" t="s">
        <v>325</v>
      </c>
      <c r="F1461" s="180" t="s">
        <v>1885</v>
      </c>
      <c r="G1461" s="40" t="s">
        <v>163</v>
      </c>
      <c r="H1461" s="46" t="s">
        <v>164</v>
      </c>
      <c r="I1461" s="51" t="str">
        <f>"0x"&amp;AE_w_WORK!O52</f>
        <v>0x6654</v>
      </c>
      <c r="J1461" s="41">
        <v>40473</v>
      </c>
      <c r="K1461" s="42"/>
    </row>
    <row r="1462" spans="2:11" s="179" customFormat="1" hidden="1" outlineLevel="1">
      <c r="B1462" s="178">
        <v>1456</v>
      </c>
      <c r="C1462" s="44"/>
      <c r="D1462" s="45"/>
      <c r="E1462" s="39" t="s">
        <v>325</v>
      </c>
      <c r="F1462" s="180" t="s">
        <v>1886</v>
      </c>
      <c r="G1462" s="40" t="s">
        <v>165</v>
      </c>
      <c r="H1462" s="46" t="s">
        <v>166</v>
      </c>
      <c r="I1462" s="51" t="str">
        <f>"0x"&amp;AE_w_WORK!O53</f>
        <v>0x3210</v>
      </c>
      <c r="J1462" s="41">
        <v>40473</v>
      </c>
      <c r="K1462" s="42"/>
    </row>
    <row r="1463" spans="2:11" s="179" customFormat="1" hidden="1" outlineLevel="1">
      <c r="B1463" s="178">
        <v>1457</v>
      </c>
      <c r="C1463" s="44"/>
      <c r="D1463" s="45"/>
      <c r="E1463" s="39" t="s">
        <v>325</v>
      </c>
      <c r="F1463" s="180" t="s">
        <v>1887</v>
      </c>
      <c r="G1463" s="40" t="s">
        <v>167</v>
      </c>
      <c r="H1463" s="46" t="s">
        <v>168</v>
      </c>
      <c r="I1463" s="51" t="str">
        <f>"0x"&amp;AE_w_WORK!O54</f>
        <v>0x0123</v>
      </c>
      <c r="J1463" s="41">
        <v>40473</v>
      </c>
      <c r="K1463" s="42"/>
    </row>
    <row r="1464" spans="2:11" s="179" customFormat="1" hidden="1" outlineLevel="1">
      <c r="B1464" s="178">
        <v>1458</v>
      </c>
      <c r="C1464" s="44"/>
      <c r="D1464" s="45"/>
      <c r="E1464" s="39" t="s">
        <v>325</v>
      </c>
      <c r="F1464" s="180" t="s">
        <v>1888</v>
      </c>
      <c r="G1464" s="40" t="s">
        <v>169</v>
      </c>
      <c r="H1464" s="46" t="s">
        <v>170</v>
      </c>
      <c r="I1464" s="51" t="str">
        <f>"0x"&amp;AE_w_WORK!O55</f>
        <v>0x4566</v>
      </c>
      <c r="J1464" s="41">
        <v>40473</v>
      </c>
      <c r="K1464" s="42"/>
    </row>
    <row r="1465" spans="2:11" s="179" customFormat="1" hidden="1" outlineLevel="1">
      <c r="B1465" s="178">
        <v>1459</v>
      </c>
      <c r="C1465" s="44"/>
      <c r="D1465" s="45"/>
      <c r="E1465" s="39" t="s">
        <v>325</v>
      </c>
      <c r="F1465" s="180" t="s">
        <v>1889</v>
      </c>
      <c r="G1465" s="40" t="s">
        <v>171</v>
      </c>
      <c r="H1465" s="46" t="s">
        <v>172</v>
      </c>
      <c r="I1465" s="51" t="str">
        <f>"0x"&amp;AE_w_WORK!O56</f>
        <v>0x6654</v>
      </c>
      <c r="J1465" s="41">
        <v>40473</v>
      </c>
      <c r="K1465" s="42"/>
    </row>
    <row r="1466" spans="2:11" s="179" customFormat="1" hidden="1" outlineLevel="1">
      <c r="B1466" s="178">
        <v>1460</v>
      </c>
      <c r="C1466" s="44"/>
      <c r="D1466" s="45"/>
      <c r="E1466" s="39" t="s">
        <v>325</v>
      </c>
      <c r="F1466" s="180" t="s">
        <v>1890</v>
      </c>
      <c r="G1466" s="40" t="s">
        <v>173</v>
      </c>
      <c r="H1466" s="46" t="s">
        <v>174</v>
      </c>
      <c r="I1466" s="51" t="str">
        <f>"0x"&amp;AE_w_WORK!O57</f>
        <v>0x3210</v>
      </c>
      <c r="J1466" s="41">
        <v>40473</v>
      </c>
      <c r="K1466" s="42"/>
    </row>
    <row r="1467" spans="2:11" s="179" customFormat="1" hidden="1" outlineLevel="1">
      <c r="B1467" s="178">
        <v>1461</v>
      </c>
      <c r="C1467" s="44"/>
      <c r="D1467" s="45"/>
      <c r="E1467" s="39" t="s">
        <v>325</v>
      </c>
      <c r="F1467" s="180" t="s">
        <v>1891</v>
      </c>
      <c r="G1467" s="40" t="s">
        <v>175</v>
      </c>
      <c r="H1467" s="46" t="s">
        <v>176</v>
      </c>
      <c r="I1467" s="51" t="str">
        <f>"0x"&amp;AE_w_WORK!O58</f>
        <v>0x0123</v>
      </c>
      <c r="J1467" s="41">
        <v>40473</v>
      </c>
      <c r="K1467" s="42"/>
    </row>
    <row r="1468" spans="2:11" s="179" customFormat="1" hidden="1" outlineLevel="1">
      <c r="B1468" s="178">
        <v>1462</v>
      </c>
      <c r="C1468" s="44"/>
      <c r="D1468" s="45"/>
      <c r="E1468" s="39" t="s">
        <v>325</v>
      </c>
      <c r="F1468" s="180" t="s">
        <v>1892</v>
      </c>
      <c r="G1468" s="40" t="s">
        <v>177</v>
      </c>
      <c r="H1468" s="46" t="s">
        <v>178</v>
      </c>
      <c r="I1468" s="51" t="str">
        <f>"0x"&amp;AE_w_WORK!O59</f>
        <v>0x4566</v>
      </c>
      <c r="J1468" s="41">
        <v>40473</v>
      </c>
      <c r="K1468" s="42"/>
    </row>
    <row r="1469" spans="2:11" s="179" customFormat="1" hidden="1" outlineLevel="1">
      <c r="B1469" s="178">
        <v>1463</v>
      </c>
      <c r="C1469" s="44"/>
      <c r="D1469" s="45"/>
      <c r="E1469" s="39" t="s">
        <v>325</v>
      </c>
      <c r="F1469" s="180" t="s">
        <v>1893</v>
      </c>
      <c r="G1469" s="40" t="s">
        <v>179</v>
      </c>
      <c r="H1469" s="46" t="s">
        <v>180</v>
      </c>
      <c r="I1469" s="51" t="str">
        <f>"0x"&amp;AE_w_WORK!O60</f>
        <v>0x6654</v>
      </c>
      <c r="J1469" s="41">
        <v>40473</v>
      </c>
      <c r="K1469" s="42"/>
    </row>
    <row r="1470" spans="2:11" s="179" customFormat="1" hidden="1" outlineLevel="1">
      <c r="B1470" s="178">
        <v>1464</v>
      </c>
      <c r="C1470" s="44"/>
      <c r="D1470" s="45"/>
      <c r="E1470" s="39" t="s">
        <v>325</v>
      </c>
      <c r="F1470" s="180" t="s">
        <v>1894</v>
      </c>
      <c r="G1470" s="40" t="s">
        <v>181</v>
      </c>
      <c r="H1470" s="46" t="s">
        <v>182</v>
      </c>
      <c r="I1470" s="51" t="str">
        <f>"0x"&amp;AE_w_WORK!O61</f>
        <v>0x3210</v>
      </c>
      <c r="J1470" s="41">
        <v>40473</v>
      </c>
      <c r="K1470" s="42"/>
    </row>
    <row r="1471" spans="2:11" s="179" customFormat="1" hidden="1" outlineLevel="1">
      <c r="B1471" s="178">
        <v>1465</v>
      </c>
      <c r="C1471" s="44"/>
      <c r="D1471" s="45"/>
      <c r="E1471" s="39" t="s">
        <v>325</v>
      </c>
      <c r="F1471" s="180" t="s">
        <v>1895</v>
      </c>
      <c r="G1471" s="40" t="s">
        <v>183</v>
      </c>
      <c r="H1471" s="46" t="s">
        <v>184</v>
      </c>
      <c r="I1471" s="51" t="str">
        <f>"0x"&amp;AE_w_WORK!O62</f>
        <v>0x0123</v>
      </c>
      <c r="J1471" s="41">
        <v>40473</v>
      </c>
      <c r="K1471" s="42"/>
    </row>
    <row r="1472" spans="2:11" s="179" customFormat="1" hidden="1" outlineLevel="1">
      <c r="B1472" s="178">
        <v>1466</v>
      </c>
      <c r="C1472" s="44"/>
      <c r="D1472" s="45"/>
      <c r="E1472" s="39" t="s">
        <v>325</v>
      </c>
      <c r="F1472" s="180" t="s">
        <v>1896</v>
      </c>
      <c r="G1472" s="40" t="s">
        <v>185</v>
      </c>
      <c r="H1472" s="46" t="s">
        <v>186</v>
      </c>
      <c r="I1472" s="51" t="str">
        <f>"0x"&amp;AE_w_WORK!O63</f>
        <v>0x4566</v>
      </c>
      <c r="J1472" s="41">
        <v>40473</v>
      </c>
      <c r="K1472" s="42"/>
    </row>
    <row r="1473" spans="2:11" s="179" customFormat="1" hidden="1" outlineLevel="1">
      <c r="B1473" s="178">
        <v>1467</v>
      </c>
      <c r="C1473" s="44"/>
      <c r="D1473" s="45"/>
      <c r="E1473" s="39" t="s">
        <v>325</v>
      </c>
      <c r="F1473" s="180" t="s">
        <v>1897</v>
      </c>
      <c r="G1473" s="40" t="s">
        <v>187</v>
      </c>
      <c r="H1473" s="46" t="s">
        <v>188</v>
      </c>
      <c r="I1473" s="51" t="str">
        <f>"0x"&amp;AE_w_WORK!O64</f>
        <v>0x6654</v>
      </c>
      <c r="J1473" s="41">
        <v>40473</v>
      </c>
      <c r="K1473" s="42"/>
    </row>
    <row r="1474" spans="2:11" s="179" customFormat="1" hidden="1" outlineLevel="1">
      <c r="B1474" s="178">
        <v>1468</v>
      </c>
      <c r="C1474" s="44"/>
      <c r="D1474" s="45"/>
      <c r="E1474" s="39" t="s">
        <v>325</v>
      </c>
      <c r="F1474" s="180" t="s">
        <v>1898</v>
      </c>
      <c r="G1474" s="40" t="s">
        <v>189</v>
      </c>
      <c r="H1474" s="46" t="s">
        <v>190</v>
      </c>
      <c r="I1474" s="51" t="str">
        <f>"0x"&amp;AE_w_WORK!O65</f>
        <v>0x3210</v>
      </c>
      <c r="J1474" s="41">
        <v>40473</v>
      </c>
      <c r="K1474" s="42"/>
    </row>
    <row r="1475" spans="2:11" s="179" customFormat="1" hidden="1" outlineLevel="1">
      <c r="B1475" s="178">
        <v>1469</v>
      </c>
      <c r="C1475" s="44"/>
      <c r="D1475" s="45"/>
      <c r="E1475" s="39" t="s">
        <v>325</v>
      </c>
      <c r="F1475" s="180" t="s">
        <v>1899</v>
      </c>
      <c r="G1475" s="40" t="s">
        <v>191</v>
      </c>
      <c r="H1475" s="46" t="s">
        <v>192</v>
      </c>
      <c r="I1475" s="51" t="str">
        <f>"0x"&amp;AE_w_WORK!O66</f>
        <v>0x0123</v>
      </c>
      <c r="J1475" s="41">
        <v>40473</v>
      </c>
      <c r="K1475" s="42"/>
    </row>
    <row r="1476" spans="2:11" s="179" customFormat="1" hidden="1" outlineLevel="1">
      <c r="B1476" s="178">
        <v>1470</v>
      </c>
      <c r="C1476" s="44"/>
      <c r="D1476" s="45"/>
      <c r="E1476" s="39" t="s">
        <v>325</v>
      </c>
      <c r="F1476" s="180" t="s">
        <v>1900</v>
      </c>
      <c r="G1476" s="40" t="s">
        <v>193</v>
      </c>
      <c r="H1476" s="46" t="s">
        <v>194</v>
      </c>
      <c r="I1476" s="51" t="str">
        <f>"0x"&amp;AE_w_WORK!O67</f>
        <v>0x4566</v>
      </c>
      <c r="J1476" s="41">
        <v>40473</v>
      </c>
      <c r="K1476" s="42"/>
    </row>
    <row r="1477" spans="2:11" s="179" customFormat="1" hidden="1" outlineLevel="1">
      <c r="B1477" s="178">
        <v>1471</v>
      </c>
      <c r="C1477" s="44"/>
      <c r="D1477" s="45"/>
      <c r="E1477" s="39" t="s">
        <v>325</v>
      </c>
      <c r="F1477" s="180" t="s">
        <v>1901</v>
      </c>
      <c r="G1477" s="40" t="s">
        <v>195</v>
      </c>
      <c r="H1477" s="46" t="s">
        <v>196</v>
      </c>
      <c r="I1477" s="51" t="str">
        <f>"0x"&amp;AE_w_WORK!O68</f>
        <v>0x6654</v>
      </c>
      <c r="J1477" s="41">
        <v>40473</v>
      </c>
      <c r="K1477" s="42"/>
    </row>
    <row r="1478" spans="2:11" s="179" customFormat="1" hidden="1" outlineLevel="1">
      <c r="B1478" s="178">
        <v>1472</v>
      </c>
      <c r="C1478" s="44"/>
      <c r="D1478" s="45"/>
      <c r="E1478" s="39" t="s">
        <v>325</v>
      </c>
      <c r="F1478" s="180" t="s">
        <v>1902</v>
      </c>
      <c r="G1478" s="40" t="s">
        <v>197</v>
      </c>
      <c r="H1478" s="46" t="s">
        <v>198</v>
      </c>
      <c r="I1478" s="51" t="str">
        <f>"0x"&amp;AE_w_WORK!O69</f>
        <v>0x3210</v>
      </c>
      <c r="J1478" s="41">
        <v>40473</v>
      </c>
      <c r="K1478" s="42"/>
    </row>
    <row r="1479" spans="2:11" s="179" customFormat="1" hidden="1" outlineLevel="1">
      <c r="B1479" s="178">
        <v>1473</v>
      </c>
      <c r="C1479" s="44"/>
      <c r="D1479" s="45"/>
      <c r="E1479" s="39" t="s">
        <v>325</v>
      </c>
      <c r="F1479" s="180" t="s">
        <v>1903</v>
      </c>
      <c r="G1479" s="40" t="s">
        <v>199</v>
      </c>
      <c r="H1479" s="46" t="s">
        <v>200</v>
      </c>
      <c r="I1479" s="51" t="str">
        <f>"0x"&amp;AE_w_WORK!O70</f>
        <v>0x0123</v>
      </c>
      <c r="J1479" s="41">
        <v>40473</v>
      </c>
      <c r="K1479" s="42"/>
    </row>
    <row r="1480" spans="2:11" s="179" customFormat="1" hidden="1" outlineLevel="1">
      <c r="B1480" s="178">
        <v>1474</v>
      </c>
      <c r="C1480" s="44"/>
      <c r="D1480" s="45"/>
      <c r="E1480" s="39" t="s">
        <v>325</v>
      </c>
      <c r="F1480" s="180" t="s">
        <v>1904</v>
      </c>
      <c r="G1480" s="40" t="s">
        <v>201</v>
      </c>
      <c r="H1480" s="46" t="s">
        <v>202</v>
      </c>
      <c r="I1480" s="51" t="str">
        <f>"0x"&amp;AE_w_WORK!O71</f>
        <v>0x4566</v>
      </c>
      <c r="J1480" s="41">
        <v>40473</v>
      </c>
      <c r="K1480" s="42"/>
    </row>
    <row r="1481" spans="2:11" s="179" customFormat="1" hidden="1" outlineLevel="1">
      <c r="B1481" s="178">
        <v>1475</v>
      </c>
      <c r="C1481" s="44"/>
      <c r="D1481" s="45"/>
      <c r="E1481" s="39" t="s">
        <v>325</v>
      </c>
      <c r="F1481" s="180" t="s">
        <v>1905</v>
      </c>
      <c r="G1481" s="40" t="s">
        <v>203</v>
      </c>
      <c r="H1481" s="46" t="s">
        <v>204</v>
      </c>
      <c r="I1481" s="51" t="str">
        <f>"0x"&amp;AE_w_WORK!O72</f>
        <v>0x6654</v>
      </c>
      <c r="J1481" s="41">
        <v>40473</v>
      </c>
      <c r="K1481" s="42"/>
    </row>
    <row r="1482" spans="2:11" s="179" customFormat="1" hidden="1" outlineLevel="1">
      <c r="B1482" s="178">
        <v>1476</v>
      </c>
      <c r="C1482" s="44"/>
      <c r="D1482" s="45"/>
      <c r="E1482" s="39" t="s">
        <v>325</v>
      </c>
      <c r="F1482" s="180" t="s">
        <v>1906</v>
      </c>
      <c r="G1482" s="40" t="s">
        <v>205</v>
      </c>
      <c r="H1482" s="46" t="s">
        <v>206</v>
      </c>
      <c r="I1482" s="51" t="str">
        <f>"0x"&amp;AE_w_WORK!O73</f>
        <v>0x3210</v>
      </c>
      <c r="J1482" s="41">
        <v>40473</v>
      </c>
      <c r="K1482" s="42"/>
    </row>
    <row r="1483" spans="2:11" s="179" customFormat="1" hidden="1" outlineLevel="1">
      <c r="B1483" s="178">
        <v>1477</v>
      </c>
      <c r="C1483" s="44"/>
      <c r="D1483" s="45"/>
      <c r="E1483" s="39" t="s">
        <v>325</v>
      </c>
      <c r="F1483" s="180" t="s">
        <v>1907</v>
      </c>
      <c r="G1483" s="40" t="s">
        <v>207</v>
      </c>
      <c r="H1483" s="46" t="s">
        <v>208</v>
      </c>
      <c r="I1483" s="51" t="str">
        <f>"0x"&amp;AE_w_WORK!O74</f>
        <v>0x0123</v>
      </c>
      <c r="J1483" s="41">
        <v>40473</v>
      </c>
      <c r="K1483" s="42"/>
    </row>
    <row r="1484" spans="2:11" s="179" customFormat="1" hidden="1" outlineLevel="1">
      <c r="B1484" s="178">
        <v>1478</v>
      </c>
      <c r="C1484" s="44"/>
      <c r="D1484" s="45"/>
      <c r="E1484" s="39" t="s">
        <v>325</v>
      </c>
      <c r="F1484" s="180" t="s">
        <v>1908</v>
      </c>
      <c r="G1484" s="40" t="s">
        <v>209</v>
      </c>
      <c r="H1484" s="46" t="s">
        <v>210</v>
      </c>
      <c r="I1484" s="51" t="str">
        <f>"0x"&amp;AE_w_WORK!O75</f>
        <v>0x4566</v>
      </c>
      <c r="J1484" s="41">
        <v>40473</v>
      </c>
      <c r="K1484" s="42"/>
    </row>
    <row r="1485" spans="2:11" s="179" customFormat="1" hidden="1" outlineLevel="1">
      <c r="B1485" s="178">
        <v>1479</v>
      </c>
      <c r="C1485" s="44"/>
      <c r="D1485" s="45"/>
      <c r="E1485" s="39" t="s">
        <v>325</v>
      </c>
      <c r="F1485" s="180" t="s">
        <v>1909</v>
      </c>
      <c r="G1485" s="40" t="s">
        <v>211</v>
      </c>
      <c r="H1485" s="46" t="s">
        <v>212</v>
      </c>
      <c r="I1485" s="51" t="str">
        <f>"0x"&amp;AE_w_WORK!O76</f>
        <v>0x6654</v>
      </c>
      <c r="J1485" s="41">
        <v>40473</v>
      </c>
      <c r="K1485" s="42"/>
    </row>
    <row r="1486" spans="2:11" s="179" customFormat="1" hidden="1" outlineLevel="1">
      <c r="B1486" s="178">
        <v>1480</v>
      </c>
      <c r="C1486" s="44"/>
      <c r="D1486" s="45"/>
      <c r="E1486" s="39" t="s">
        <v>325</v>
      </c>
      <c r="F1486" s="180" t="s">
        <v>1910</v>
      </c>
      <c r="G1486" s="40" t="s">
        <v>213</v>
      </c>
      <c r="H1486" s="46" t="s">
        <v>214</v>
      </c>
      <c r="I1486" s="51" t="str">
        <f>"0x"&amp;AE_w_WORK!O77</f>
        <v>0x3210</v>
      </c>
      <c r="J1486" s="41">
        <v>40473</v>
      </c>
      <c r="K1486" s="42"/>
    </row>
    <row r="1487" spans="2:11" s="179" customFormat="1" hidden="1" outlineLevel="1">
      <c r="B1487" s="178">
        <v>1481</v>
      </c>
      <c r="C1487" s="44"/>
      <c r="D1487" s="45"/>
      <c r="E1487" s="39" t="s">
        <v>325</v>
      </c>
      <c r="F1487" s="180" t="s">
        <v>1911</v>
      </c>
      <c r="G1487" s="40" t="s">
        <v>215</v>
      </c>
      <c r="H1487" s="46" t="s">
        <v>216</v>
      </c>
      <c r="I1487" s="51" t="str">
        <f>"0x"&amp;AE_w_WORK!O78</f>
        <v>0x0123</v>
      </c>
      <c r="J1487" s="41">
        <v>40473</v>
      </c>
      <c r="K1487" s="42"/>
    </row>
    <row r="1488" spans="2:11" s="179" customFormat="1" hidden="1" outlineLevel="1">
      <c r="B1488" s="178">
        <v>1482</v>
      </c>
      <c r="C1488" s="44"/>
      <c r="D1488" s="45"/>
      <c r="E1488" s="39" t="s">
        <v>325</v>
      </c>
      <c r="F1488" s="180" t="s">
        <v>1912</v>
      </c>
      <c r="G1488" s="40" t="s">
        <v>217</v>
      </c>
      <c r="H1488" s="46" t="s">
        <v>218</v>
      </c>
      <c r="I1488" s="51" t="str">
        <f>"0x"&amp;AE_w_WORK!O79</f>
        <v>0x4556</v>
      </c>
      <c r="J1488" s="41">
        <v>40473</v>
      </c>
      <c r="K1488" s="42"/>
    </row>
    <row r="1489" spans="2:11" s="179" customFormat="1" hidden="1" outlineLevel="1">
      <c r="B1489" s="178">
        <v>1483</v>
      </c>
      <c r="C1489" s="44"/>
      <c r="D1489" s="45"/>
      <c r="E1489" s="39" t="s">
        <v>325</v>
      </c>
      <c r="F1489" s="180" t="s">
        <v>1913</v>
      </c>
      <c r="G1489" s="40" t="s">
        <v>219</v>
      </c>
      <c r="H1489" s="46" t="s">
        <v>220</v>
      </c>
      <c r="I1489" s="51" t="str">
        <f>"0x"&amp;AE_w_WORK!O80</f>
        <v>0x6554</v>
      </c>
      <c r="J1489" s="41">
        <v>40473</v>
      </c>
      <c r="K1489" s="42"/>
    </row>
    <row r="1490" spans="2:11" s="179" customFormat="1" hidden="1" outlineLevel="1">
      <c r="B1490" s="178">
        <v>1484</v>
      </c>
      <c r="C1490" s="44"/>
      <c r="D1490" s="45"/>
      <c r="E1490" s="39" t="s">
        <v>325</v>
      </c>
      <c r="F1490" s="180" t="s">
        <v>1914</v>
      </c>
      <c r="G1490" s="40" t="s">
        <v>221</v>
      </c>
      <c r="H1490" s="46" t="s">
        <v>222</v>
      </c>
      <c r="I1490" s="51" t="str">
        <f>"0x"&amp;AE_w_WORK!O81</f>
        <v>0x3210</v>
      </c>
      <c r="J1490" s="41">
        <v>40473</v>
      </c>
      <c r="K1490" s="42"/>
    </row>
    <row r="1491" spans="2:11" s="179" customFormat="1" hidden="1" outlineLevel="1">
      <c r="B1491" s="178">
        <v>1485</v>
      </c>
      <c r="C1491" s="44"/>
      <c r="D1491" s="45"/>
      <c r="E1491" s="39" t="s">
        <v>325</v>
      </c>
      <c r="F1491" s="180" t="s">
        <v>1915</v>
      </c>
      <c r="G1491" s="40" t="s">
        <v>223</v>
      </c>
      <c r="H1491" s="46" t="s">
        <v>224</v>
      </c>
      <c r="I1491" s="51" t="str">
        <f>"0x"&amp;AE_w_WORK!O82</f>
        <v>0x0123</v>
      </c>
      <c r="J1491" s="41">
        <v>40473</v>
      </c>
      <c r="K1491" s="42"/>
    </row>
    <row r="1492" spans="2:11" s="179" customFormat="1" hidden="1" outlineLevel="1">
      <c r="B1492" s="178">
        <v>1486</v>
      </c>
      <c r="C1492" s="44"/>
      <c r="D1492" s="45"/>
      <c r="E1492" s="39" t="s">
        <v>325</v>
      </c>
      <c r="F1492" s="180" t="s">
        <v>1916</v>
      </c>
      <c r="G1492" s="40" t="s">
        <v>225</v>
      </c>
      <c r="H1492" s="46" t="s">
        <v>226</v>
      </c>
      <c r="I1492" s="51" t="str">
        <f>"0x"&amp;AE_w_WORK!O83</f>
        <v>0x3555</v>
      </c>
      <c r="J1492" s="41">
        <v>40473</v>
      </c>
      <c r="K1492" s="42"/>
    </row>
    <row r="1493" spans="2:11" s="179" customFormat="1" hidden="1" outlineLevel="1">
      <c r="B1493" s="178">
        <v>1487</v>
      </c>
      <c r="C1493" s="44"/>
      <c r="D1493" s="45"/>
      <c r="E1493" s="39" t="s">
        <v>325</v>
      </c>
      <c r="F1493" s="180" t="s">
        <v>1917</v>
      </c>
      <c r="G1493" s="40" t="s">
        <v>227</v>
      </c>
      <c r="H1493" s="46" t="s">
        <v>228</v>
      </c>
      <c r="I1493" s="51" t="str">
        <f>"0x"&amp;AE_w_WORK!O84</f>
        <v>0x5553</v>
      </c>
      <c r="J1493" s="41">
        <v>40473</v>
      </c>
      <c r="K1493" s="42"/>
    </row>
    <row r="1494" spans="2:11" s="179" customFormat="1" hidden="1" outlineLevel="1">
      <c r="B1494" s="178">
        <v>1488</v>
      </c>
      <c r="C1494" s="44"/>
      <c r="D1494" s="45"/>
      <c r="E1494" s="39" t="s">
        <v>325</v>
      </c>
      <c r="F1494" s="180" t="s">
        <v>1918</v>
      </c>
      <c r="G1494" s="40" t="s">
        <v>229</v>
      </c>
      <c r="H1494" s="46" t="s">
        <v>230</v>
      </c>
      <c r="I1494" s="51" t="str">
        <f>"0x"&amp;AE_w_WORK!O85</f>
        <v>0x3210</v>
      </c>
      <c r="J1494" s="41">
        <v>40473</v>
      </c>
      <c r="K1494" s="42"/>
    </row>
    <row r="1495" spans="2:11" s="179" customFormat="1" hidden="1" outlineLevel="1">
      <c r="B1495" s="178">
        <v>1489</v>
      </c>
      <c r="C1495" s="44"/>
      <c r="D1495" s="45"/>
      <c r="E1495" s="39" t="s">
        <v>325</v>
      </c>
      <c r="F1495" s="180" t="s">
        <v>1919</v>
      </c>
      <c r="G1495" s="40" t="s">
        <v>231</v>
      </c>
      <c r="H1495" s="46" t="s">
        <v>232</v>
      </c>
      <c r="I1495" s="51" t="str">
        <f>"0x"&amp;AE_w_WORK!O86</f>
        <v>0x0122</v>
      </c>
      <c r="J1495" s="41">
        <v>40473</v>
      </c>
      <c r="K1495" s="42"/>
    </row>
    <row r="1496" spans="2:11" s="179" customFormat="1" hidden="1" outlineLevel="1">
      <c r="B1496" s="178">
        <v>1490</v>
      </c>
      <c r="C1496" s="44"/>
      <c r="D1496" s="45"/>
      <c r="E1496" s="39" t="s">
        <v>325</v>
      </c>
      <c r="F1496" s="180" t="s">
        <v>1920</v>
      </c>
      <c r="G1496" s="40" t="s">
        <v>233</v>
      </c>
      <c r="H1496" s="46" t="s">
        <v>234</v>
      </c>
      <c r="I1496" s="51" t="str">
        <f>"0x"&amp;AE_w_WORK!O87</f>
        <v>0x3455</v>
      </c>
      <c r="J1496" s="41">
        <v>40473</v>
      </c>
      <c r="K1496" s="42"/>
    </row>
    <row r="1497" spans="2:11" s="179" customFormat="1" hidden="1" outlineLevel="1">
      <c r="B1497" s="178">
        <v>1491</v>
      </c>
      <c r="C1497" s="44"/>
      <c r="D1497" s="45"/>
      <c r="E1497" s="39" t="s">
        <v>325</v>
      </c>
      <c r="F1497" s="180" t="s">
        <v>1921</v>
      </c>
      <c r="G1497" s="40" t="s">
        <v>235</v>
      </c>
      <c r="H1497" s="46" t="s">
        <v>236</v>
      </c>
      <c r="I1497" s="51" t="str">
        <f>"0x"&amp;AE_w_WORK!O88</f>
        <v>0x5543</v>
      </c>
      <c r="J1497" s="41">
        <v>40473</v>
      </c>
      <c r="K1497" s="42"/>
    </row>
    <row r="1498" spans="2:11" s="179" customFormat="1" hidden="1" outlineLevel="1">
      <c r="B1498" s="178">
        <v>1492</v>
      </c>
      <c r="C1498" s="44"/>
      <c r="D1498" s="45"/>
      <c r="E1498" s="39" t="s">
        <v>325</v>
      </c>
      <c r="F1498" s="180" t="s">
        <v>1922</v>
      </c>
      <c r="G1498" s="40" t="s">
        <v>237</v>
      </c>
      <c r="H1498" s="46" t="s">
        <v>238</v>
      </c>
      <c r="I1498" s="51" t="str">
        <f>"0x"&amp;AE_w_WORK!O89</f>
        <v>0x2210</v>
      </c>
      <c r="J1498" s="41">
        <v>40473</v>
      </c>
      <c r="K1498" s="42"/>
    </row>
    <row r="1499" spans="2:11" s="179" customFormat="1" hidden="1" outlineLevel="1">
      <c r="B1499" s="178">
        <v>1493</v>
      </c>
      <c r="C1499" s="44"/>
      <c r="D1499" s="45"/>
      <c r="E1499" s="39" t="s">
        <v>325</v>
      </c>
      <c r="F1499" s="180" t="s">
        <v>1923</v>
      </c>
      <c r="G1499" s="40" t="s">
        <v>239</v>
      </c>
      <c r="H1499" s="46" t="s">
        <v>240</v>
      </c>
      <c r="I1499" s="51" t="str">
        <f>"0x"&amp;AE_w_WORK!O90</f>
        <v>0x0012</v>
      </c>
      <c r="J1499" s="41">
        <v>40473</v>
      </c>
      <c r="K1499" s="42"/>
    </row>
    <row r="1500" spans="2:11" s="179" customFormat="1" hidden="1" outlineLevel="1">
      <c r="B1500" s="178">
        <v>1494</v>
      </c>
      <c r="C1500" s="44"/>
      <c r="D1500" s="45"/>
      <c r="E1500" s="39" t="s">
        <v>325</v>
      </c>
      <c r="F1500" s="180" t="s">
        <v>1924</v>
      </c>
      <c r="G1500" s="40" t="s">
        <v>241</v>
      </c>
      <c r="H1500" s="46" t="s">
        <v>242</v>
      </c>
      <c r="I1500" s="51" t="str">
        <f>"0x"&amp;AE_w_WORK!O91</f>
        <v>0x3345</v>
      </c>
      <c r="J1500" s="41">
        <v>40473</v>
      </c>
      <c r="K1500" s="42"/>
    </row>
    <row r="1501" spans="2:11" s="179" customFormat="1" hidden="1" outlineLevel="1">
      <c r="B1501" s="178">
        <v>1495</v>
      </c>
      <c r="C1501" s="44"/>
      <c r="D1501" s="45"/>
      <c r="E1501" s="39" t="s">
        <v>325</v>
      </c>
      <c r="F1501" s="180" t="s">
        <v>1925</v>
      </c>
      <c r="G1501" s="40" t="s">
        <v>243</v>
      </c>
      <c r="H1501" s="46" t="s">
        <v>244</v>
      </c>
      <c r="I1501" s="51" t="str">
        <f>"0x"&amp;AE_w_WORK!O92</f>
        <v>0x5433</v>
      </c>
      <c r="J1501" s="41">
        <v>40473</v>
      </c>
      <c r="K1501" s="42"/>
    </row>
    <row r="1502" spans="2:11" s="179" customFormat="1" hidden="1" outlineLevel="1">
      <c r="B1502" s="178">
        <v>1496</v>
      </c>
      <c r="C1502" s="44"/>
      <c r="D1502" s="45"/>
      <c r="E1502" s="39" t="s">
        <v>325</v>
      </c>
      <c r="F1502" s="180" t="s">
        <v>1926</v>
      </c>
      <c r="G1502" s="40" t="s">
        <v>245</v>
      </c>
      <c r="H1502" s="46" t="s">
        <v>246</v>
      </c>
      <c r="I1502" s="51" t="str">
        <f>"0x"&amp;AE_w_WORK!O93</f>
        <v>0x2100</v>
      </c>
      <c r="J1502" s="41">
        <v>40473</v>
      </c>
      <c r="K1502" s="42"/>
    </row>
    <row r="1503" spans="2:11" s="179" customFormat="1" hidden="1" outlineLevel="1">
      <c r="B1503" s="178">
        <v>1497</v>
      </c>
      <c r="C1503" s="44"/>
      <c r="D1503" s="45"/>
      <c r="E1503" s="39" t="s">
        <v>325</v>
      </c>
      <c r="F1503" s="180" t="s">
        <v>1927</v>
      </c>
      <c r="G1503" s="40" t="s">
        <v>247</v>
      </c>
      <c r="H1503" s="46" t="s">
        <v>248</v>
      </c>
      <c r="I1503" s="51" t="str">
        <f>"0x"&amp;AE_w_WORK!O94</f>
        <v>0x0012</v>
      </c>
      <c r="J1503" s="41">
        <v>40473</v>
      </c>
      <c r="K1503" s="42"/>
    </row>
    <row r="1504" spans="2:11" s="179" customFormat="1" hidden="1" outlineLevel="1">
      <c r="B1504" s="178">
        <v>1498</v>
      </c>
      <c r="C1504" s="44"/>
      <c r="D1504" s="45"/>
      <c r="E1504" s="39" t="s">
        <v>325</v>
      </c>
      <c r="F1504" s="180" t="s">
        <v>1928</v>
      </c>
      <c r="G1504" s="40" t="s">
        <v>249</v>
      </c>
      <c r="H1504" s="46" t="s">
        <v>250</v>
      </c>
      <c r="I1504" s="51" t="str">
        <f>"0x"&amp;AE_w_WORK!O95</f>
        <v>0x2334</v>
      </c>
      <c r="J1504" s="41">
        <v>40473</v>
      </c>
      <c r="K1504" s="42"/>
    </row>
    <row r="1505" spans="2:11" s="179" customFormat="1" hidden="1" outlineLevel="1">
      <c r="B1505" s="178">
        <v>1499</v>
      </c>
      <c r="C1505" s="44"/>
      <c r="D1505" s="45"/>
      <c r="E1505" s="39" t="s">
        <v>325</v>
      </c>
      <c r="F1505" s="180" t="s">
        <v>1929</v>
      </c>
      <c r="G1505" s="40" t="s">
        <v>251</v>
      </c>
      <c r="H1505" s="46" t="s">
        <v>252</v>
      </c>
      <c r="I1505" s="51" t="str">
        <f>"0x"&amp;AE_w_WORK!O96</f>
        <v>0x4332</v>
      </c>
      <c r="J1505" s="41">
        <v>40473</v>
      </c>
      <c r="K1505" s="42"/>
    </row>
    <row r="1506" spans="2:11" s="179" customFormat="1" hidden="1" outlineLevel="1">
      <c r="B1506" s="178">
        <v>1500</v>
      </c>
      <c r="C1506" s="44"/>
      <c r="D1506" s="45"/>
      <c r="E1506" s="39" t="s">
        <v>325</v>
      </c>
      <c r="F1506" s="180" t="s">
        <v>1930</v>
      </c>
      <c r="G1506" s="40" t="s">
        <v>253</v>
      </c>
      <c r="H1506" s="46" t="s">
        <v>254</v>
      </c>
      <c r="I1506" s="51" t="str">
        <f>"0x"&amp;AE_w_WORK!O97</f>
        <v>0x2100</v>
      </c>
      <c r="J1506" s="41">
        <v>40473</v>
      </c>
      <c r="K1506" s="42"/>
    </row>
    <row r="1507" spans="2:11" s="179" customFormat="1" hidden="1" outlineLevel="1">
      <c r="B1507" s="178">
        <v>1501</v>
      </c>
      <c r="C1507" s="44"/>
      <c r="D1507" s="45"/>
      <c r="E1507" s="39" t="s">
        <v>325</v>
      </c>
      <c r="F1507" s="180" t="s">
        <v>1931</v>
      </c>
      <c r="G1507" s="40" t="s">
        <v>255</v>
      </c>
      <c r="H1507" s="46" t="s">
        <v>256</v>
      </c>
      <c r="I1507" s="51" t="str">
        <f>"0x"&amp;AE_w_WORK!O98</f>
        <v>0x0011</v>
      </c>
      <c r="J1507" s="41">
        <v>40473</v>
      </c>
      <c r="K1507" s="42"/>
    </row>
    <row r="1508" spans="2:11" s="179" customFormat="1" hidden="1" outlineLevel="1">
      <c r="B1508" s="178">
        <v>1502</v>
      </c>
      <c r="C1508" s="44"/>
      <c r="D1508" s="45"/>
      <c r="E1508" s="39" t="s">
        <v>325</v>
      </c>
      <c r="F1508" s="180" t="s">
        <v>1932</v>
      </c>
      <c r="G1508" s="40" t="s">
        <v>257</v>
      </c>
      <c r="H1508" s="46" t="s">
        <v>258</v>
      </c>
      <c r="I1508" s="51" t="str">
        <f>"0x"&amp;AE_w_WORK!O99</f>
        <v>0x2233</v>
      </c>
      <c r="J1508" s="41">
        <v>40473</v>
      </c>
      <c r="K1508" s="42"/>
    </row>
    <row r="1509" spans="2:11" s="179" customFormat="1" hidden="1" outlineLevel="1">
      <c r="B1509" s="178">
        <v>1503</v>
      </c>
      <c r="C1509" s="44"/>
      <c r="D1509" s="45"/>
      <c r="E1509" s="39" t="s">
        <v>325</v>
      </c>
      <c r="F1509" s="180" t="s">
        <v>1933</v>
      </c>
      <c r="G1509" s="40" t="s">
        <v>259</v>
      </c>
      <c r="H1509" s="46" t="s">
        <v>260</v>
      </c>
      <c r="I1509" s="51" t="str">
        <f>"0x"&amp;AE_w_WORK!O100</f>
        <v>0x3322</v>
      </c>
      <c r="J1509" s="41">
        <v>40473</v>
      </c>
      <c r="K1509" s="42"/>
    </row>
    <row r="1510" spans="2:11" s="179" customFormat="1" hidden="1" outlineLevel="1">
      <c r="B1510" s="178">
        <v>1504</v>
      </c>
      <c r="C1510" s="44"/>
      <c r="D1510" s="45"/>
      <c r="E1510" s="39" t="s">
        <v>325</v>
      </c>
      <c r="F1510" s="180" t="s">
        <v>1934</v>
      </c>
      <c r="G1510" s="40" t="s">
        <v>261</v>
      </c>
      <c r="H1510" s="46" t="s">
        <v>262</v>
      </c>
      <c r="I1510" s="51" t="str">
        <f>"0x"&amp;AE_w_WORK!O101</f>
        <v>0x1100</v>
      </c>
      <c r="J1510" s="41">
        <v>40473</v>
      </c>
      <c r="K1510" s="42"/>
    </row>
    <row r="1511" spans="2:11" s="179" customFormat="1" hidden="1" outlineLevel="1">
      <c r="B1511" s="178">
        <v>1505</v>
      </c>
      <c r="C1511" s="44"/>
      <c r="D1511" s="45"/>
      <c r="E1511" s="39" t="s">
        <v>325</v>
      </c>
      <c r="F1511" s="180" t="s">
        <v>1935</v>
      </c>
      <c r="G1511" s="40" t="s">
        <v>263</v>
      </c>
      <c r="H1511" s="46" t="s">
        <v>81</v>
      </c>
      <c r="I1511" s="51" t="str">
        <f>"0x"&amp;AE_w_WORK!O102</f>
        <v>0x0001</v>
      </c>
      <c r="J1511" s="41">
        <v>40473</v>
      </c>
      <c r="K1511" s="42"/>
    </row>
    <row r="1512" spans="2:11" s="179" customFormat="1" hidden="1" outlineLevel="1">
      <c r="B1512" s="178">
        <v>1506</v>
      </c>
      <c r="C1512" s="44"/>
      <c r="D1512" s="45"/>
      <c r="E1512" s="39" t="s">
        <v>325</v>
      </c>
      <c r="F1512" s="180" t="s">
        <v>1936</v>
      </c>
      <c r="G1512" s="40" t="s">
        <v>82</v>
      </c>
      <c r="H1512" s="46" t="s">
        <v>83</v>
      </c>
      <c r="I1512" s="51" t="str">
        <f>"0x"&amp;AE_w_WORK!O103</f>
        <v>0x2223</v>
      </c>
      <c r="J1512" s="41">
        <v>40473</v>
      </c>
      <c r="K1512" s="42"/>
    </row>
    <row r="1513" spans="2:11" s="179" customFormat="1" hidden="1" outlineLevel="1">
      <c r="B1513" s="178">
        <v>1507</v>
      </c>
      <c r="C1513" s="44"/>
      <c r="D1513" s="45"/>
      <c r="E1513" s="39" t="s">
        <v>325</v>
      </c>
      <c r="F1513" s="180" t="s">
        <v>1937</v>
      </c>
      <c r="G1513" s="40" t="s">
        <v>84</v>
      </c>
      <c r="H1513" s="46" t="s">
        <v>85</v>
      </c>
      <c r="I1513" s="51" t="str">
        <f>"0x"&amp;AE_w_WORK!O104</f>
        <v>0x3222</v>
      </c>
      <c r="J1513" s="41">
        <v>40473</v>
      </c>
      <c r="K1513" s="42"/>
    </row>
    <row r="1514" spans="2:11" s="179" customFormat="1" hidden="1" outlineLevel="1">
      <c r="B1514" s="178">
        <v>1508</v>
      </c>
      <c r="C1514" s="44"/>
      <c r="D1514" s="45"/>
      <c r="E1514" s="39" t="s">
        <v>325</v>
      </c>
      <c r="F1514" s="180" t="s">
        <v>1938</v>
      </c>
      <c r="G1514" s="40" t="s">
        <v>86</v>
      </c>
      <c r="H1514" s="46" t="s">
        <v>87</v>
      </c>
      <c r="I1514" s="51" t="str">
        <f>"0x"&amp;AE_w_WORK!O105</f>
        <v>0x1000</v>
      </c>
      <c r="J1514" s="41">
        <v>40473</v>
      </c>
      <c r="K1514" s="42"/>
    </row>
    <row r="1515" spans="2:11" s="179" customFormat="1" hidden="1" outlineLevel="1">
      <c r="B1515" s="178">
        <v>1509</v>
      </c>
      <c r="C1515" s="44"/>
      <c r="D1515" s="45"/>
      <c r="E1515" s="39" t="s">
        <v>325</v>
      </c>
      <c r="F1515" s="180" t="s">
        <v>1939</v>
      </c>
      <c r="G1515" s="40" t="s">
        <v>88</v>
      </c>
      <c r="H1515" s="46" t="s">
        <v>89</v>
      </c>
      <c r="I1515" s="51" t="str">
        <f>"0x"&amp;AE_w_WORK!O106</f>
        <v>0x0001</v>
      </c>
      <c r="J1515" s="41">
        <v>40473</v>
      </c>
      <c r="K1515" s="42"/>
    </row>
    <row r="1516" spans="2:11" s="179" customFormat="1" hidden="1" outlineLevel="1">
      <c r="B1516" s="178">
        <v>1510</v>
      </c>
      <c r="C1516" s="44"/>
      <c r="D1516" s="45"/>
      <c r="E1516" s="39" t="s">
        <v>325</v>
      </c>
      <c r="F1516" s="180" t="s">
        <v>1940</v>
      </c>
      <c r="G1516" s="40" t="s">
        <v>90</v>
      </c>
      <c r="H1516" s="46" t="s">
        <v>91</v>
      </c>
      <c r="I1516" s="51" t="str">
        <f>"0x"&amp;AE_w_WORK!O107</f>
        <v>0x1222</v>
      </c>
      <c r="J1516" s="41">
        <v>40473</v>
      </c>
      <c r="K1516" s="42"/>
    </row>
    <row r="1517" spans="2:11" s="179" customFormat="1" hidden="1" outlineLevel="1">
      <c r="B1517" s="178">
        <v>1511</v>
      </c>
      <c r="C1517" s="44"/>
      <c r="D1517" s="45"/>
      <c r="E1517" s="39" t="s">
        <v>325</v>
      </c>
      <c r="F1517" s="180" t="s">
        <v>1941</v>
      </c>
      <c r="G1517" s="40" t="s">
        <v>92</v>
      </c>
      <c r="H1517" s="46" t="s">
        <v>93</v>
      </c>
      <c r="I1517" s="51" t="str">
        <f>"0x"&amp;AE_w_WORK!O108</f>
        <v>0x2221</v>
      </c>
      <c r="J1517" s="41">
        <v>40473</v>
      </c>
      <c r="K1517" s="42"/>
    </row>
    <row r="1518" spans="2:11" s="179" customFormat="1" hidden="1" outlineLevel="1">
      <c r="B1518" s="178">
        <v>1512</v>
      </c>
      <c r="C1518" s="44"/>
      <c r="D1518" s="45"/>
      <c r="E1518" s="39" t="s">
        <v>325</v>
      </c>
      <c r="F1518" s="180" t="s">
        <v>1942</v>
      </c>
      <c r="G1518" s="40" t="s">
        <v>94</v>
      </c>
      <c r="H1518" s="46" t="s">
        <v>95</v>
      </c>
      <c r="I1518" s="51" t="str">
        <f>"0x"&amp;AE_w_WORK!O109</f>
        <v>0x1000</v>
      </c>
      <c r="J1518" s="41">
        <v>40473</v>
      </c>
      <c r="K1518" s="42"/>
    </row>
    <row r="1519" spans="2:11" s="179" customFormat="1" hidden="1" outlineLevel="1">
      <c r="B1519" s="178">
        <v>1513</v>
      </c>
      <c r="C1519" s="44"/>
      <c r="D1519" s="45"/>
      <c r="E1519" s="39" t="s">
        <v>325</v>
      </c>
      <c r="F1519" s="180" t="s">
        <v>1943</v>
      </c>
      <c r="G1519" s="40" t="s">
        <v>96</v>
      </c>
      <c r="H1519" s="46" t="s">
        <v>97</v>
      </c>
      <c r="I1519" s="51" t="str">
        <f>"0x"&amp;AE_w_WORK!O110</f>
        <v>0x0000</v>
      </c>
      <c r="J1519" s="41">
        <v>40473</v>
      </c>
      <c r="K1519" s="42"/>
    </row>
    <row r="1520" spans="2:11" s="179" customFormat="1" hidden="1" outlineLevel="1">
      <c r="B1520" s="178">
        <v>1514</v>
      </c>
      <c r="C1520" s="44"/>
      <c r="D1520" s="45"/>
      <c r="E1520" s="39" t="s">
        <v>325</v>
      </c>
      <c r="F1520" s="180" t="s">
        <v>1944</v>
      </c>
      <c r="G1520" s="40" t="s">
        <v>98</v>
      </c>
      <c r="H1520" s="46" t="s">
        <v>99</v>
      </c>
      <c r="I1520" s="51" t="str">
        <f>"0x"&amp;AE_w_WORK!O111</f>
        <v>0x1122</v>
      </c>
      <c r="J1520" s="41">
        <v>40473</v>
      </c>
      <c r="K1520" s="42"/>
    </row>
    <row r="1521" spans="2:11" s="179" customFormat="1" hidden="1" outlineLevel="1">
      <c r="B1521" s="178">
        <v>1515</v>
      </c>
      <c r="C1521" s="44"/>
      <c r="D1521" s="45"/>
      <c r="E1521" s="39" t="s">
        <v>325</v>
      </c>
      <c r="F1521" s="180" t="s">
        <v>1945</v>
      </c>
      <c r="G1521" s="40" t="s">
        <v>100</v>
      </c>
      <c r="H1521" s="46" t="s">
        <v>101</v>
      </c>
      <c r="I1521" s="51" t="str">
        <f>"0x"&amp;AE_w_WORK!O112</f>
        <v>0x2211</v>
      </c>
      <c r="J1521" s="41">
        <v>40473</v>
      </c>
      <c r="K1521" s="42"/>
    </row>
    <row r="1522" spans="2:11" s="179" customFormat="1" hidden="1" outlineLevel="1">
      <c r="B1522" s="178">
        <v>1516</v>
      </c>
      <c r="C1522" s="44"/>
      <c r="D1522" s="45"/>
      <c r="E1522" s="39" t="s">
        <v>325</v>
      </c>
      <c r="F1522" s="180" t="s">
        <v>1946</v>
      </c>
      <c r="G1522" s="40" t="s">
        <v>102</v>
      </c>
      <c r="H1522" s="46" t="s">
        <v>103</v>
      </c>
      <c r="I1522" s="51" t="str">
        <f>"0x"&amp;AE_w_WORK!O113</f>
        <v>0x0000</v>
      </c>
      <c r="J1522" s="41">
        <v>40473</v>
      </c>
      <c r="K1522" s="42"/>
    </row>
    <row r="1523" spans="2:11" s="179" customFormat="1" hidden="1" outlineLevel="1">
      <c r="B1523" s="178">
        <v>1517</v>
      </c>
      <c r="C1523" s="44"/>
      <c r="D1523" s="45"/>
      <c r="E1523" s="39" t="s">
        <v>325</v>
      </c>
      <c r="F1523" s="180" t="s">
        <v>1947</v>
      </c>
      <c r="G1523" s="40" t="s">
        <v>104</v>
      </c>
      <c r="H1523" s="46" t="s">
        <v>105</v>
      </c>
      <c r="I1523" s="51" t="str">
        <f>"0x"&amp;AE_w_WORK!O114</f>
        <v>0x0000</v>
      </c>
      <c r="J1523" s="41">
        <v>40473</v>
      </c>
      <c r="K1523" s="42"/>
    </row>
    <row r="1524" spans="2:11" s="179" customFormat="1" hidden="1" outlineLevel="1">
      <c r="B1524" s="178">
        <v>1518</v>
      </c>
      <c r="C1524" s="44"/>
      <c r="D1524" s="45"/>
      <c r="E1524" s="39" t="s">
        <v>325</v>
      </c>
      <c r="F1524" s="180" t="s">
        <v>1948</v>
      </c>
      <c r="G1524" s="40" t="s">
        <v>106</v>
      </c>
      <c r="H1524" s="46" t="s">
        <v>107</v>
      </c>
      <c r="I1524" s="51" t="str">
        <f>"0x"&amp;AE_w_WORK!O115</f>
        <v>0x0111</v>
      </c>
      <c r="J1524" s="41">
        <v>40473</v>
      </c>
      <c r="K1524" s="42"/>
    </row>
    <row r="1525" spans="2:11" s="179" customFormat="1" hidden="1" outlineLevel="1">
      <c r="B1525" s="178">
        <v>1519</v>
      </c>
      <c r="C1525" s="44"/>
      <c r="D1525" s="45"/>
      <c r="E1525" s="39" t="s">
        <v>325</v>
      </c>
      <c r="F1525" s="180" t="s">
        <v>1949</v>
      </c>
      <c r="G1525" s="40" t="s">
        <v>108</v>
      </c>
      <c r="H1525" s="46" t="s">
        <v>109</v>
      </c>
      <c r="I1525" s="51" t="str">
        <f>"0x"&amp;AE_w_WORK!O116</f>
        <v>0x1110</v>
      </c>
      <c r="J1525" s="41">
        <v>40473</v>
      </c>
      <c r="K1525" s="42"/>
    </row>
    <row r="1526" spans="2:11" s="179" customFormat="1" hidden="1" outlineLevel="1">
      <c r="B1526" s="178">
        <v>1520</v>
      </c>
      <c r="C1526" s="44"/>
      <c r="D1526" s="45"/>
      <c r="E1526" s="39" t="s">
        <v>325</v>
      </c>
      <c r="F1526" s="180" t="s">
        <v>1950</v>
      </c>
      <c r="G1526" s="40" t="s">
        <v>110</v>
      </c>
      <c r="H1526" s="46" t="s">
        <v>111</v>
      </c>
      <c r="I1526" s="51" t="str">
        <f>"0x"&amp;AE_w_WORK!O117</f>
        <v>0x0000</v>
      </c>
      <c r="J1526" s="41">
        <v>40473</v>
      </c>
      <c r="K1526" s="42"/>
    </row>
    <row r="1527" spans="2:11" s="179" customFormat="1" hidden="1" outlineLevel="1">
      <c r="B1527" s="178">
        <v>1521</v>
      </c>
      <c r="C1527" s="44"/>
      <c r="D1527" s="45"/>
      <c r="E1527" s="39" t="s">
        <v>325</v>
      </c>
      <c r="F1527" s="180" t="s">
        <v>1951</v>
      </c>
      <c r="G1527" s="40" t="s">
        <v>112</v>
      </c>
      <c r="H1527" s="46" t="s">
        <v>113</v>
      </c>
      <c r="I1527" s="51" t="str">
        <f>"0x"&amp;AE_w_WORK!O118</f>
        <v>0x0000</v>
      </c>
      <c r="J1527" s="41">
        <v>40473</v>
      </c>
      <c r="K1527" s="42"/>
    </row>
    <row r="1528" spans="2:11" s="179" customFormat="1" hidden="1" outlineLevel="1">
      <c r="B1528" s="178">
        <v>1522</v>
      </c>
      <c r="C1528" s="44"/>
      <c r="D1528" s="45"/>
      <c r="E1528" s="39" t="s">
        <v>325</v>
      </c>
      <c r="F1528" s="180" t="s">
        <v>1952</v>
      </c>
      <c r="G1528" s="40" t="s">
        <v>114</v>
      </c>
      <c r="H1528" s="46" t="s">
        <v>115</v>
      </c>
      <c r="I1528" s="51" t="str">
        <f>"0x"&amp;AE_w_WORK!O119</f>
        <v>0x0011</v>
      </c>
      <c r="J1528" s="41">
        <v>40473</v>
      </c>
      <c r="K1528" s="42"/>
    </row>
    <row r="1529" spans="2:11" s="179" customFormat="1" hidden="1" outlineLevel="1">
      <c r="B1529" s="178">
        <v>1523</v>
      </c>
      <c r="C1529" s="44"/>
      <c r="D1529" s="45"/>
      <c r="E1529" s="39" t="s">
        <v>325</v>
      </c>
      <c r="F1529" s="180" t="s">
        <v>1953</v>
      </c>
      <c r="G1529" s="40" t="s">
        <v>116</v>
      </c>
      <c r="H1529" s="46" t="s">
        <v>117</v>
      </c>
      <c r="I1529" s="51" t="str">
        <f>"0x"&amp;AE_w_WORK!O120</f>
        <v>0x1100</v>
      </c>
      <c r="J1529" s="41">
        <v>40473</v>
      </c>
      <c r="K1529" s="42"/>
    </row>
    <row r="1530" spans="2:11" s="179" customFormat="1" hidden="1" outlineLevel="1">
      <c r="B1530" s="178">
        <v>1524</v>
      </c>
      <c r="C1530" s="44"/>
      <c r="D1530" s="45"/>
      <c r="E1530" s="39" t="s">
        <v>325</v>
      </c>
      <c r="F1530" s="180" t="s">
        <v>1954</v>
      </c>
      <c r="G1530" s="40" t="s">
        <v>118</v>
      </c>
      <c r="H1530" s="46" t="s">
        <v>119</v>
      </c>
      <c r="I1530" s="51" t="str">
        <f>"0x"&amp;AE_w_WORK!O121</f>
        <v>0x0000</v>
      </c>
      <c r="J1530" s="41">
        <v>40473</v>
      </c>
      <c r="K1530" s="42"/>
    </row>
    <row r="1531" spans="2:11" s="179" customFormat="1" hidden="1" outlineLevel="1">
      <c r="B1531" s="178">
        <v>1525</v>
      </c>
      <c r="C1531" s="44"/>
      <c r="D1531" s="45"/>
      <c r="E1531" s="39" t="s">
        <v>325</v>
      </c>
      <c r="F1531" s="180" t="s">
        <v>1955</v>
      </c>
      <c r="G1531" s="40" t="s">
        <v>120</v>
      </c>
      <c r="H1531" s="46" t="s">
        <v>264</v>
      </c>
      <c r="I1531" s="51" t="str">
        <f>"0x"&amp;AE_w_WORK!O122</f>
        <v>0x0000</v>
      </c>
      <c r="J1531" s="41">
        <v>40473</v>
      </c>
      <c r="K1531" s="42"/>
    </row>
    <row r="1532" spans="2:11" s="179" customFormat="1" hidden="1" outlineLevel="1">
      <c r="B1532" s="178">
        <v>1526</v>
      </c>
      <c r="C1532" s="44"/>
      <c r="D1532" s="45"/>
      <c r="E1532" s="39" t="s">
        <v>325</v>
      </c>
      <c r="F1532" s="180" t="s">
        <v>1956</v>
      </c>
      <c r="G1532" s="40" t="s">
        <v>0</v>
      </c>
      <c r="H1532" s="46" t="s">
        <v>1</v>
      </c>
      <c r="I1532" s="51" t="str">
        <f>"0x"&amp;AE_w_WORK!O123</f>
        <v>0x0000</v>
      </c>
      <c r="J1532" s="41">
        <v>40473</v>
      </c>
      <c r="K1532" s="42"/>
    </row>
    <row r="1533" spans="2:11" s="179" customFormat="1" hidden="1" outlineLevel="1">
      <c r="B1533" s="178">
        <v>1527</v>
      </c>
      <c r="C1533" s="44"/>
      <c r="D1533" s="45"/>
      <c r="E1533" s="39" t="s">
        <v>325</v>
      </c>
      <c r="F1533" s="180" t="s">
        <v>1957</v>
      </c>
      <c r="G1533" s="40" t="s">
        <v>2</v>
      </c>
      <c r="H1533" s="46" t="s">
        <v>3</v>
      </c>
      <c r="I1533" s="51" t="str">
        <f>"0x"&amp;AE_w_WORK!O124</f>
        <v>0x0000</v>
      </c>
      <c r="J1533" s="41">
        <v>40473</v>
      </c>
      <c r="K1533" s="42"/>
    </row>
    <row r="1534" spans="2:11" s="179" customFormat="1" hidden="1" outlineLevel="1">
      <c r="B1534" s="178">
        <v>1528</v>
      </c>
      <c r="C1534" s="44"/>
      <c r="D1534" s="45"/>
      <c r="E1534" s="39" t="s">
        <v>325</v>
      </c>
      <c r="F1534" s="180" t="s">
        <v>1958</v>
      </c>
      <c r="G1534" s="40" t="s">
        <v>4</v>
      </c>
      <c r="H1534" s="46" t="s">
        <v>5</v>
      </c>
      <c r="I1534" s="51" t="str">
        <f>"0x"&amp;AE_w_WORK!O125</f>
        <v>0x0000</v>
      </c>
      <c r="J1534" s="41">
        <v>40473</v>
      </c>
      <c r="K1534" s="42"/>
    </row>
    <row r="1535" spans="2:11" s="179" customFormat="1" hidden="1" outlineLevel="1">
      <c r="B1535" s="178">
        <v>1529</v>
      </c>
      <c r="C1535" s="44"/>
      <c r="D1535" s="45"/>
      <c r="E1535" s="39" t="s">
        <v>325</v>
      </c>
      <c r="F1535" s="180" t="s">
        <v>1959</v>
      </c>
      <c r="G1535" s="40" t="s">
        <v>6</v>
      </c>
      <c r="H1535" s="46" t="s">
        <v>7</v>
      </c>
      <c r="I1535" s="51" t="str">
        <f>"0x"&amp;AE_w_WORK!O126</f>
        <v>0x0000</v>
      </c>
      <c r="J1535" s="41">
        <v>40473</v>
      </c>
      <c r="K1535" s="42"/>
    </row>
    <row r="1536" spans="2:11" s="179" customFormat="1" hidden="1" outlineLevel="1">
      <c r="B1536" s="178">
        <v>1530</v>
      </c>
      <c r="C1536" s="44"/>
      <c r="D1536" s="45"/>
      <c r="E1536" s="39" t="s">
        <v>325</v>
      </c>
      <c r="F1536" s="180" t="s">
        <v>1960</v>
      </c>
      <c r="G1536" s="40" t="s">
        <v>8</v>
      </c>
      <c r="H1536" s="46" t="s">
        <v>9</v>
      </c>
      <c r="I1536" s="51" t="str">
        <f>"0x"&amp;AE_w_WORK!O127</f>
        <v>0x0000</v>
      </c>
      <c r="J1536" s="41">
        <v>40473</v>
      </c>
      <c r="K1536" s="42"/>
    </row>
    <row r="1537" spans="2:11" s="179" customFormat="1" hidden="1" outlineLevel="1">
      <c r="B1537" s="178">
        <v>1531</v>
      </c>
      <c r="C1537" s="44"/>
      <c r="D1537" s="45"/>
      <c r="E1537" s="39" t="s">
        <v>325</v>
      </c>
      <c r="F1537" s="180" t="s">
        <v>1961</v>
      </c>
      <c r="G1537" s="40" t="s">
        <v>10</v>
      </c>
      <c r="H1537" s="46" t="s">
        <v>11</v>
      </c>
      <c r="I1537" s="51" t="str">
        <f>"0x"&amp;AE_w_WORK!O128</f>
        <v>0x0000</v>
      </c>
      <c r="J1537" s="41">
        <v>40473</v>
      </c>
      <c r="K1537" s="42"/>
    </row>
    <row r="1538" spans="2:11" s="179" customFormat="1" hidden="1" outlineLevel="1">
      <c r="B1538" s="178">
        <v>1532</v>
      </c>
      <c r="C1538" s="44"/>
      <c r="D1538" s="45"/>
      <c r="E1538" s="39" t="s">
        <v>325</v>
      </c>
      <c r="F1538" s="180" t="s">
        <v>1962</v>
      </c>
      <c r="G1538" s="40" t="s">
        <v>12</v>
      </c>
      <c r="H1538" s="46" t="s">
        <v>13</v>
      </c>
      <c r="I1538" s="51" t="str">
        <f>"0x"&amp;AE_w_WORK!O129</f>
        <v>0x0000</v>
      </c>
      <c r="J1538" s="41">
        <v>40473</v>
      </c>
      <c r="K1538" s="42"/>
    </row>
    <row r="1539" spans="2:11" s="179" customFormat="1" hidden="1" outlineLevel="1">
      <c r="B1539" s="178">
        <v>1533</v>
      </c>
      <c r="C1539" s="44"/>
      <c r="D1539" s="45"/>
      <c r="E1539" s="39" t="s">
        <v>325</v>
      </c>
      <c r="F1539" s="180" t="s">
        <v>1963</v>
      </c>
      <c r="G1539" s="40" t="s">
        <v>14</v>
      </c>
      <c r="H1539" s="46" t="s">
        <v>15</v>
      </c>
      <c r="I1539" s="51" t="str">
        <f>"0x"&amp;AE_w_WORK!O130</f>
        <v>0x0000</v>
      </c>
      <c r="J1539" s="41">
        <v>40473</v>
      </c>
      <c r="K1539" s="42"/>
    </row>
    <row r="1540" spans="2:11" s="179" customFormat="1" hidden="1" outlineLevel="1">
      <c r="B1540" s="178">
        <v>1534</v>
      </c>
      <c r="C1540" s="44"/>
      <c r="D1540" s="45"/>
      <c r="E1540" s="39" t="s">
        <v>325</v>
      </c>
      <c r="F1540" s="180" t="s">
        <v>1964</v>
      </c>
      <c r="G1540" s="40" t="s">
        <v>16</v>
      </c>
      <c r="H1540" s="46" t="s">
        <v>17</v>
      </c>
      <c r="I1540" s="51" t="str">
        <f>"0x"&amp;AE_w_WORK!O131</f>
        <v>0x0000</v>
      </c>
      <c r="J1540" s="41">
        <v>40473</v>
      </c>
      <c r="K1540" s="42"/>
    </row>
    <row r="1541" spans="2:11" s="179" customFormat="1" hidden="1" outlineLevel="1">
      <c r="B1541" s="178">
        <v>1535</v>
      </c>
      <c r="C1541" s="44"/>
      <c r="D1541" s="45"/>
      <c r="E1541" s="39" t="s">
        <v>325</v>
      </c>
      <c r="F1541" s="180" t="s">
        <v>1965</v>
      </c>
      <c r="G1541" s="40" t="s">
        <v>18</v>
      </c>
      <c r="H1541" s="46" t="s">
        <v>19</v>
      </c>
      <c r="I1541" s="51" t="str">
        <f>"0x"&amp;AE_w_WORK!O132</f>
        <v>0x0000</v>
      </c>
      <c r="J1541" s="41">
        <v>40473</v>
      </c>
      <c r="K1541" s="42"/>
    </row>
    <row r="1542" spans="2:11" s="179" customFormat="1" hidden="1" outlineLevel="1">
      <c r="B1542" s="178">
        <v>1536</v>
      </c>
      <c r="C1542" s="44"/>
      <c r="D1542" s="45"/>
      <c r="E1542" s="39" t="s">
        <v>325</v>
      </c>
      <c r="F1542" s="180" t="s">
        <v>1966</v>
      </c>
      <c r="G1542" s="40" t="s">
        <v>20</v>
      </c>
      <c r="H1542" s="46" t="s">
        <v>21</v>
      </c>
      <c r="I1542" s="51" t="str">
        <f>"0x"&amp;AE_w_WORK!O133</f>
        <v>0x0000</v>
      </c>
      <c r="J1542" s="41">
        <v>40473</v>
      </c>
      <c r="K1542" s="42"/>
    </row>
    <row r="1543" spans="2:11" s="179" customFormat="1" collapsed="1">
      <c r="B1543" s="178">
        <v>1537</v>
      </c>
      <c r="C1543" s="44"/>
      <c r="D1543" s="45"/>
      <c r="E1543" s="39" t="s">
        <v>325</v>
      </c>
      <c r="F1543" s="180" t="s">
        <v>1967</v>
      </c>
      <c r="G1543" s="40" t="s">
        <v>79</v>
      </c>
      <c r="H1543" s="46" t="s">
        <v>80</v>
      </c>
      <c r="I1543" s="51" t="str">
        <f>"0x"&amp;AE_w_WORK!P6</f>
        <v>0x0000</v>
      </c>
      <c r="J1543" s="41">
        <v>40473</v>
      </c>
      <c r="K1543" s="42" t="s">
        <v>427</v>
      </c>
    </row>
    <row r="1544" spans="2:11" s="179" customFormat="1" hidden="1" outlineLevel="1">
      <c r="B1544" s="178">
        <v>1538</v>
      </c>
      <c r="C1544" s="44"/>
      <c r="D1544" s="45"/>
      <c r="E1544" s="39" t="s">
        <v>325</v>
      </c>
      <c r="F1544" s="180" t="s">
        <v>1968</v>
      </c>
      <c r="G1544" s="40" t="s">
        <v>77</v>
      </c>
      <c r="H1544" s="46" t="s">
        <v>78</v>
      </c>
      <c r="I1544" s="51" t="str">
        <f>"0x"&amp;AE_w_WORK!P7</f>
        <v>0x0000</v>
      </c>
      <c r="J1544" s="41">
        <v>40473</v>
      </c>
      <c r="K1544" s="42"/>
    </row>
    <row r="1545" spans="2:11" s="179" customFormat="1" hidden="1" outlineLevel="1">
      <c r="B1545" s="178">
        <v>1539</v>
      </c>
      <c r="C1545" s="44"/>
      <c r="D1545" s="45"/>
      <c r="E1545" s="39" t="s">
        <v>325</v>
      </c>
      <c r="F1545" s="180" t="s">
        <v>1969</v>
      </c>
      <c r="G1545" s="40" t="s">
        <v>22</v>
      </c>
      <c r="H1545" s="46" t="s">
        <v>23</v>
      </c>
      <c r="I1545" s="51" t="str">
        <f>"0x"&amp;AE_w_WORK!P8</f>
        <v>0x0000</v>
      </c>
      <c r="J1545" s="41">
        <v>40473</v>
      </c>
      <c r="K1545" s="42"/>
    </row>
    <row r="1546" spans="2:11" s="179" customFormat="1" hidden="1" outlineLevel="1">
      <c r="B1546" s="178">
        <v>1540</v>
      </c>
      <c r="C1546" s="44"/>
      <c r="D1546" s="45"/>
      <c r="E1546" s="39" t="s">
        <v>325</v>
      </c>
      <c r="F1546" s="180" t="s">
        <v>1970</v>
      </c>
      <c r="G1546" s="40" t="s">
        <v>24</v>
      </c>
      <c r="H1546" s="46" t="s">
        <v>25</v>
      </c>
      <c r="I1546" s="51" t="str">
        <f>"0x"&amp;AE_w_WORK!P9</f>
        <v>0x0000</v>
      </c>
      <c r="J1546" s="41">
        <v>40473</v>
      </c>
      <c r="K1546" s="42"/>
    </row>
    <row r="1547" spans="2:11" s="179" customFormat="1" hidden="1" outlineLevel="1">
      <c r="B1547" s="178">
        <v>1541</v>
      </c>
      <c r="C1547" s="44"/>
      <c r="D1547" s="45"/>
      <c r="E1547" s="39" t="s">
        <v>325</v>
      </c>
      <c r="F1547" s="180" t="s">
        <v>1971</v>
      </c>
      <c r="G1547" s="40" t="s">
        <v>26</v>
      </c>
      <c r="H1547" s="46" t="s">
        <v>27</v>
      </c>
      <c r="I1547" s="51" t="str">
        <f>"0x"&amp;AE_w_WORK!P10</f>
        <v>0x0000</v>
      </c>
      <c r="J1547" s="41">
        <v>40473</v>
      </c>
      <c r="K1547" s="42"/>
    </row>
    <row r="1548" spans="2:11" s="179" customFormat="1" hidden="1" outlineLevel="1">
      <c r="B1548" s="178">
        <v>1542</v>
      </c>
      <c r="C1548" s="44"/>
      <c r="D1548" s="45"/>
      <c r="E1548" s="39" t="s">
        <v>325</v>
      </c>
      <c r="F1548" s="180" t="s">
        <v>1972</v>
      </c>
      <c r="G1548" s="40" t="s">
        <v>28</v>
      </c>
      <c r="H1548" s="46" t="s">
        <v>29</v>
      </c>
      <c r="I1548" s="51" t="str">
        <f>"0x"&amp;AE_w_WORK!P11</f>
        <v>0x0000</v>
      </c>
      <c r="J1548" s="41">
        <v>40473</v>
      </c>
      <c r="K1548" s="42"/>
    </row>
    <row r="1549" spans="2:11" s="179" customFormat="1" hidden="1" outlineLevel="1">
      <c r="B1549" s="178">
        <v>1543</v>
      </c>
      <c r="C1549" s="44"/>
      <c r="D1549" s="45"/>
      <c r="E1549" s="39" t="s">
        <v>325</v>
      </c>
      <c r="F1549" s="180" t="s">
        <v>1973</v>
      </c>
      <c r="G1549" s="40" t="s">
        <v>30</v>
      </c>
      <c r="H1549" s="46" t="s">
        <v>31</v>
      </c>
      <c r="I1549" s="51" t="str">
        <f>"0x"&amp;AE_w_WORK!P12</f>
        <v>0x0000</v>
      </c>
      <c r="J1549" s="41">
        <v>40473</v>
      </c>
      <c r="K1549" s="42"/>
    </row>
    <row r="1550" spans="2:11" s="179" customFormat="1" hidden="1" outlineLevel="1">
      <c r="B1550" s="178">
        <v>1544</v>
      </c>
      <c r="C1550" s="44"/>
      <c r="D1550" s="45"/>
      <c r="E1550" s="39" t="s">
        <v>325</v>
      </c>
      <c r="F1550" s="180" t="s">
        <v>1974</v>
      </c>
      <c r="G1550" s="40" t="s">
        <v>32</v>
      </c>
      <c r="H1550" s="46" t="s">
        <v>33</v>
      </c>
      <c r="I1550" s="51" t="str">
        <f>"0x"&amp;AE_w_WORK!P13</f>
        <v>0x0000</v>
      </c>
      <c r="J1550" s="41">
        <v>40473</v>
      </c>
      <c r="K1550" s="42"/>
    </row>
    <row r="1551" spans="2:11" s="179" customFormat="1" hidden="1" outlineLevel="1">
      <c r="B1551" s="178">
        <v>1545</v>
      </c>
      <c r="C1551" s="44"/>
      <c r="D1551" s="45"/>
      <c r="E1551" s="39" t="s">
        <v>325</v>
      </c>
      <c r="F1551" s="180" t="s">
        <v>1975</v>
      </c>
      <c r="G1551" s="40" t="s">
        <v>34</v>
      </c>
      <c r="H1551" s="46" t="s">
        <v>35</v>
      </c>
      <c r="I1551" s="51" t="str">
        <f>"0x"&amp;AE_w_WORK!P14</f>
        <v>0x1111</v>
      </c>
      <c r="J1551" s="41">
        <v>40473</v>
      </c>
      <c r="K1551" s="42"/>
    </row>
    <row r="1552" spans="2:11" s="179" customFormat="1" hidden="1" outlineLevel="1">
      <c r="B1552" s="178">
        <v>1546</v>
      </c>
      <c r="C1552" s="44"/>
      <c r="D1552" s="45"/>
      <c r="E1552" s="39" t="s">
        <v>325</v>
      </c>
      <c r="F1552" s="180" t="s">
        <v>1976</v>
      </c>
      <c r="G1552" s="40" t="s">
        <v>36</v>
      </c>
      <c r="H1552" s="46" t="s">
        <v>37</v>
      </c>
      <c r="I1552" s="51" t="str">
        <f>"0x"&amp;AE_w_WORK!P15</f>
        <v>0x1111</v>
      </c>
      <c r="J1552" s="41">
        <v>40473</v>
      </c>
      <c r="K1552" s="42"/>
    </row>
    <row r="1553" spans="2:11" s="179" customFormat="1" hidden="1" outlineLevel="1">
      <c r="B1553" s="178">
        <v>1547</v>
      </c>
      <c r="C1553" s="44"/>
      <c r="D1553" s="45"/>
      <c r="E1553" s="39" t="s">
        <v>325</v>
      </c>
      <c r="F1553" s="180" t="s">
        <v>1977</v>
      </c>
      <c r="G1553" s="40" t="s">
        <v>38</v>
      </c>
      <c r="H1553" s="46" t="s">
        <v>39</v>
      </c>
      <c r="I1553" s="51" t="str">
        <f>"0x"&amp;AE_w_WORK!P16</f>
        <v>0x1100</v>
      </c>
      <c r="J1553" s="41">
        <v>40473</v>
      </c>
      <c r="K1553" s="42"/>
    </row>
    <row r="1554" spans="2:11" s="179" customFormat="1" hidden="1" outlineLevel="1">
      <c r="B1554" s="178">
        <v>1548</v>
      </c>
      <c r="C1554" s="44"/>
      <c r="D1554" s="45"/>
      <c r="E1554" s="39" t="s">
        <v>325</v>
      </c>
      <c r="F1554" s="180" t="s">
        <v>1978</v>
      </c>
      <c r="G1554" s="40" t="s">
        <v>40</v>
      </c>
      <c r="H1554" s="46" t="s">
        <v>41</v>
      </c>
      <c r="I1554" s="51" t="str">
        <f>"0x"&amp;AE_w_WORK!P17</f>
        <v>0x0000</v>
      </c>
      <c r="J1554" s="41">
        <v>40473</v>
      </c>
      <c r="K1554" s="42"/>
    </row>
    <row r="1555" spans="2:11" s="179" customFormat="1" hidden="1" outlineLevel="1">
      <c r="B1555" s="178">
        <v>1549</v>
      </c>
      <c r="C1555" s="44"/>
      <c r="D1555" s="45"/>
      <c r="E1555" s="39" t="s">
        <v>325</v>
      </c>
      <c r="F1555" s="180" t="s">
        <v>1979</v>
      </c>
      <c r="G1555" s="40" t="s">
        <v>42</v>
      </c>
      <c r="H1555" s="46" t="s">
        <v>43</v>
      </c>
      <c r="I1555" s="51" t="str">
        <f>"0x"&amp;AE_w_WORK!P18</f>
        <v>0x1111</v>
      </c>
      <c r="J1555" s="41">
        <v>40473</v>
      </c>
      <c r="K1555" s="42"/>
    </row>
    <row r="1556" spans="2:11" s="179" customFormat="1" hidden="1" outlineLevel="1">
      <c r="B1556" s="178">
        <v>1550</v>
      </c>
      <c r="C1556" s="44"/>
      <c r="D1556" s="45"/>
      <c r="E1556" s="39" t="s">
        <v>325</v>
      </c>
      <c r="F1556" s="180" t="s">
        <v>1980</v>
      </c>
      <c r="G1556" s="40" t="s">
        <v>44</v>
      </c>
      <c r="H1556" s="46" t="s">
        <v>45</v>
      </c>
      <c r="I1556" s="51" t="str">
        <f>"0x"&amp;AE_w_WORK!P19</f>
        <v>0x1111</v>
      </c>
      <c r="J1556" s="41">
        <v>40473</v>
      </c>
      <c r="K1556" s="42"/>
    </row>
    <row r="1557" spans="2:11" s="179" customFormat="1" hidden="1" outlineLevel="1">
      <c r="B1557" s="178">
        <v>1551</v>
      </c>
      <c r="C1557" s="44"/>
      <c r="D1557" s="45"/>
      <c r="E1557" s="39" t="s">
        <v>325</v>
      </c>
      <c r="F1557" s="180" t="s">
        <v>1981</v>
      </c>
      <c r="G1557" s="40" t="s">
        <v>46</v>
      </c>
      <c r="H1557" s="46" t="s">
        <v>47</v>
      </c>
      <c r="I1557" s="51" t="str">
        <f>"0x"&amp;AE_w_WORK!P20</f>
        <v>0x1110</v>
      </c>
      <c r="J1557" s="41">
        <v>40473</v>
      </c>
      <c r="K1557" s="42"/>
    </row>
    <row r="1558" spans="2:11" s="179" customFormat="1" hidden="1" outlineLevel="1">
      <c r="B1558" s="178">
        <v>1552</v>
      </c>
      <c r="C1558" s="44"/>
      <c r="D1558" s="45"/>
      <c r="E1558" s="39" t="s">
        <v>325</v>
      </c>
      <c r="F1558" s="180" t="s">
        <v>1982</v>
      </c>
      <c r="G1558" s="40" t="s">
        <v>48</v>
      </c>
      <c r="H1558" s="46" t="s">
        <v>49</v>
      </c>
      <c r="I1558" s="51" t="str">
        <f>"0x"&amp;AE_w_WORK!P21</f>
        <v>0x0000</v>
      </c>
      <c r="J1558" s="41">
        <v>40473</v>
      </c>
      <c r="K1558" s="42"/>
    </row>
    <row r="1559" spans="2:11" s="179" customFormat="1" hidden="1" outlineLevel="1">
      <c r="B1559" s="178">
        <v>1553</v>
      </c>
      <c r="C1559" s="44"/>
      <c r="D1559" s="45"/>
      <c r="E1559" s="39" t="s">
        <v>325</v>
      </c>
      <c r="F1559" s="180" t="s">
        <v>1983</v>
      </c>
      <c r="G1559" s="40" t="s">
        <v>50</v>
      </c>
      <c r="H1559" s="46" t="s">
        <v>51</v>
      </c>
      <c r="I1559" s="51" t="str">
        <f>"0x"&amp;AE_w_WORK!P22</f>
        <v>0x1112</v>
      </c>
      <c r="J1559" s="41">
        <v>40473</v>
      </c>
      <c r="K1559" s="42"/>
    </row>
    <row r="1560" spans="2:11" s="179" customFormat="1" hidden="1" outlineLevel="1">
      <c r="B1560" s="178">
        <v>1554</v>
      </c>
      <c r="C1560" s="44"/>
      <c r="D1560" s="45"/>
      <c r="E1560" s="39" t="s">
        <v>325</v>
      </c>
      <c r="F1560" s="180" t="s">
        <v>1984</v>
      </c>
      <c r="G1560" s="40" t="s">
        <v>52</v>
      </c>
      <c r="H1560" s="46" t="s">
        <v>53</v>
      </c>
      <c r="I1560" s="51" t="str">
        <f>"0x"&amp;AE_w_WORK!P23</f>
        <v>0x2222</v>
      </c>
      <c r="J1560" s="41">
        <v>40473</v>
      </c>
      <c r="K1560" s="42"/>
    </row>
    <row r="1561" spans="2:11" s="179" customFormat="1" hidden="1" outlineLevel="1">
      <c r="B1561" s="178">
        <v>1555</v>
      </c>
      <c r="C1561" s="44"/>
      <c r="D1561" s="45"/>
      <c r="E1561" s="39" t="s">
        <v>325</v>
      </c>
      <c r="F1561" s="180" t="s">
        <v>1985</v>
      </c>
      <c r="G1561" s="40" t="s">
        <v>54</v>
      </c>
      <c r="H1561" s="46" t="s">
        <v>55</v>
      </c>
      <c r="I1561" s="51" t="str">
        <f>"0x"&amp;AE_w_WORK!P24</f>
        <v>0x2211</v>
      </c>
      <c r="J1561" s="41">
        <v>40473</v>
      </c>
      <c r="K1561" s="42"/>
    </row>
    <row r="1562" spans="2:11" s="179" customFormat="1" hidden="1" outlineLevel="1">
      <c r="B1562" s="178">
        <v>1556</v>
      </c>
      <c r="C1562" s="44"/>
      <c r="D1562" s="45"/>
      <c r="E1562" s="39" t="s">
        <v>325</v>
      </c>
      <c r="F1562" s="180" t="s">
        <v>1986</v>
      </c>
      <c r="G1562" s="40" t="s">
        <v>56</v>
      </c>
      <c r="H1562" s="46" t="s">
        <v>57</v>
      </c>
      <c r="I1562" s="51" t="str">
        <f>"0x"&amp;AE_w_WORK!P25</f>
        <v>0x0000</v>
      </c>
      <c r="J1562" s="41">
        <v>40473</v>
      </c>
      <c r="K1562" s="42"/>
    </row>
    <row r="1563" spans="2:11" s="179" customFormat="1" hidden="1" outlineLevel="1">
      <c r="B1563" s="178">
        <v>1557</v>
      </c>
      <c r="C1563" s="44"/>
      <c r="D1563" s="45"/>
      <c r="E1563" s="39" t="s">
        <v>325</v>
      </c>
      <c r="F1563" s="180" t="s">
        <v>1987</v>
      </c>
      <c r="G1563" s="40" t="s">
        <v>58</v>
      </c>
      <c r="H1563" s="46" t="s">
        <v>59</v>
      </c>
      <c r="I1563" s="51" t="str">
        <f>"0x"&amp;AE_w_WORK!P26</f>
        <v>0x2222</v>
      </c>
      <c r="J1563" s="41">
        <v>40473</v>
      </c>
      <c r="K1563" s="42"/>
    </row>
    <row r="1564" spans="2:11" s="179" customFormat="1" hidden="1" outlineLevel="1">
      <c r="B1564" s="178">
        <v>1558</v>
      </c>
      <c r="C1564" s="44"/>
      <c r="D1564" s="45"/>
      <c r="E1564" s="39" t="s">
        <v>325</v>
      </c>
      <c r="F1564" s="180" t="s">
        <v>1988</v>
      </c>
      <c r="G1564" s="40" t="s">
        <v>60</v>
      </c>
      <c r="H1564" s="46" t="s">
        <v>61</v>
      </c>
      <c r="I1564" s="51" t="str">
        <f>"0x"&amp;AE_w_WORK!P27</f>
        <v>0x2222</v>
      </c>
      <c r="J1564" s="41">
        <v>40473</v>
      </c>
      <c r="K1564" s="42"/>
    </row>
    <row r="1565" spans="2:11" s="179" customFormat="1" hidden="1" outlineLevel="1">
      <c r="B1565" s="178">
        <v>1559</v>
      </c>
      <c r="C1565" s="44"/>
      <c r="D1565" s="45"/>
      <c r="E1565" s="39" t="s">
        <v>325</v>
      </c>
      <c r="F1565" s="180" t="s">
        <v>1989</v>
      </c>
      <c r="G1565" s="40" t="s">
        <v>62</v>
      </c>
      <c r="H1565" s="46" t="s">
        <v>63</v>
      </c>
      <c r="I1565" s="51" t="str">
        <f>"0x"&amp;AE_w_WORK!P28</f>
        <v>0x2221</v>
      </c>
      <c r="J1565" s="41">
        <v>40473</v>
      </c>
      <c r="K1565" s="42"/>
    </row>
    <row r="1566" spans="2:11" s="179" customFormat="1" hidden="1" outlineLevel="1">
      <c r="B1566" s="178">
        <v>1560</v>
      </c>
      <c r="C1566" s="44"/>
      <c r="D1566" s="45"/>
      <c r="E1566" s="39" t="s">
        <v>325</v>
      </c>
      <c r="F1566" s="180" t="s">
        <v>1990</v>
      </c>
      <c r="G1566" s="40" t="s">
        <v>64</v>
      </c>
      <c r="H1566" s="46" t="s">
        <v>65</v>
      </c>
      <c r="I1566" s="51" t="str">
        <f>"0x"&amp;AE_w_WORK!P29</f>
        <v>0x0000</v>
      </c>
      <c r="J1566" s="41">
        <v>40473</v>
      </c>
      <c r="K1566" s="42"/>
    </row>
    <row r="1567" spans="2:11" s="179" customFormat="1" hidden="1" outlineLevel="1">
      <c r="B1567" s="178">
        <v>1561</v>
      </c>
      <c r="C1567" s="44"/>
      <c r="D1567" s="45"/>
      <c r="E1567" s="39" t="s">
        <v>325</v>
      </c>
      <c r="F1567" s="180" t="s">
        <v>1991</v>
      </c>
      <c r="G1567" s="40" t="s">
        <v>66</v>
      </c>
      <c r="H1567" s="46" t="s">
        <v>67</v>
      </c>
      <c r="I1567" s="51" t="str">
        <f>"0x"&amp;AE_w_WORK!P30</f>
        <v>0x2223</v>
      </c>
      <c r="J1567" s="41">
        <v>40473</v>
      </c>
      <c r="K1567" s="42"/>
    </row>
    <row r="1568" spans="2:11" s="179" customFormat="1" hidden="1" outlineLevel="1">
      <c r="B1568" s="178">
        <v>1562</v>
      </c>
      <c r="C1568" s="44"/>
      <c r="D1568" s="45"/>
      <c r="E1568" s="39" t="s">
        <v>325</v>
      </c>
      <c r="F1568" s="180" t="s">
        <v>1992</v>
      </c>
      <c r="G1568" s="40" t="s">
        <v>68</v>
      </c>
      <c r="H1568" s="46" t="s">
        <v>69</v>
      </c>
      <c r="I1568" s="51" t="str">
        <f>"0x"&amp;AE_w_WORK!P31</f>
        <v>0x3333</v>
      </c>
      <c r="J1568" s="41">
        <v>40473</v>
      </c>
      <c r="K1568" s="42"/>
    </row>
    <row r="1569" spans="2:11" s="179" customFormat="1" hidden="1" outlineLevel="1">
      <c r="B1569" s="178">
        <v>1563</v>
      </c>
      <c r="C1569" s="44"/>
      <c r="D1569" s="45"/>
      <c r="E1569" s="39" t="s">
        <v>325</v>
      </c>
      <c r="F1569" s="180" t="s">
        <v>1993</v>
      </c>
      <c r="G1569" s="40" t="s">
        <v>70</v>
      </c>
      <c r="H1569" s="46" t="s">
        <v>71</v>
      </c>
      <c r="I1569" s="51" t="str">
        <f>"0x"&amp;AE_w_WORK!P32</f>
        <v>0x3222</v>
      </c>
      <c r="J1569" s="41">
        <v>40473</v>
      </c>
      <c r="K1569" s="42"/>
    </row>
    <row r="1570" spans="2:11" s="179" customFormat="1" hidden="1" outlineLevel="1">
      <c r="B1570" s="178">
        <v>1564</v>
      </c>
      <c r="C1570" s="44"/>
      <c r="D1570" s="45"/>
      <c r="E1570" s="39" t="s">
        <v>325</v>
      </c>
      <c r="F1570" s="180" t="s">
        <v>1994</v>
      </c>
      <c r="G1570" s="40" t="s">
        <v>72</v>
      </c>
      <c r="H1570" s="46" t="s">
        <v>73</v>
      </c>
      <c r="I1570" s="51" t="str">
        <f>"0x"&amp;AE_w_WORK!P33</f>
        <v>0x1000</v>
      </c>
      <c r="J1570" s="41">
        <v>40473</v>
      </c>
      <c r="K1570" s="42"/>
    </row>
    <row r="1571" spans="2:11" s="179" customFormat="1" hidden="1" outlineLevel="1">
      <c r="B1571" s="178">
        <v>1565</v>
      </c>
      <c r="C1571" s="44"/>
      <c r="D1571" s="45"/>
      <c r="E1571" s="39" t="s">
        <v>325</v>
      </c>
      <c r="F1571" s="180" t="s">
        <v>1995</v>
      </c>
      <c r="G1571" s="40" t="s">
        <v>74</v>
      </c>
      <c r="H1571" s="46" t="s">
        <v>128</v>
      </c>
      <c r="I1571" s="51" t="str">
        <f>"0x"&amp;AE_w_WORK!P34</f>
        <v>0x3333</v>
      </c>
      <c r="J1571" s="41">
        <v>40473</v>
      </c>
      <c r="K1571" s="42"/>
    </row>
    <row r="1572" spans="2:11" s="179" customFormat="1" hidden="1" outlineLevel="1">
      <c r="B1572" s="178">
        <v>1566</v>
      </c>
      <c r="C1572" s="44"/>
      <c r="D1572" s="45"/>
      <c r="E1572" s="39" t="s">
        <v>325</v>
      </c>
      <c r="F1572" s="180" t="s">
        <v>1996</v>
      </c>
      <c r="G1572" s="40" t="s">
        <v>129</v>
      </c>
      <c r="H1572" s="46" t="s">
        <v>130</v>
      </c>
      <c r="I1572" s="51" t="str">
        <f>"0x"&amp;AE_w_WORK!P35</f>
        <v>0x3333</v>
      </c>
      <c r="J1572" s="41">
        <v>40473</v>
      </c>
      <c r="K1572" s="42"/>
    </row>
    <row r="1573" spans="2:11" s="179" customFormat="1" hidden="1" outlineLevel="1">
      <c r="B1573" s="178">
        <v>1567</v>
      </c>
      <c r="C1573" s="44"/>
      <c r="D1573" s="45"/>
      <c r="E1573" s="39" t="s">
        <v>325</v>
      </c>
      <c r="F1573" s="180" t="s">
        <v>1997</v>
      </c>
      <c r="G1573" s="40" t="s">
        <v>131</v>
      </c>
      <c r="H1573" s="46" t="s">
        <v>132</v>
      </c>
      <c r="I1573" s="51" t="str">
        <f>"0x"&amp;AE_w_WORK!P36</f>
        <v>0x3322</v>
      </c>
      <c r="J1573" s="41">
        <v>40473</v>
      </c>
      <c r="K1573" s="42"/>
    </row>
    <row r="1574" spans="2:11" s="179" customFormat="1" hidden="1" outlineLevel="1">
      <c r="B1574" s="178">
        <v>1568</v>
      </c>
      <c r="C1574" s="44"/>
      <c r="D1574" s="45"/>
      <c r="E1574" s="39" t="s">
        <v>325</v>
      </c>
      <c r="F1574" s="180" t="s">
        <v>1998</v>
      </c>
      <c r="G1574" s="40" t="s">
        <v>133</v>
      </c>
      <c r="H1574" s="46" t="s">
        <v>134</v>
      </c>
      <c r="I1574" s="51" t="str">
        <f>"0x"&amp;AE_w_WORK!P37</f>
        <v>0x1000</v>
      </c>
      <c r="J1574" s="41">
        <v>40473</v>
      </c>
      <c r="K1574" s="42"/>
    </row>
    <row r="1575" spans="2:11" s="179" customFormat="1" hidden="1" outlineLevel="1">
      <c r="B1575" s="178">
        <v>1569</v>
      </c>
      <c r="C1575" s="44"/>
      <c r="D1575" s="45"/>
      <c r="E1575" s="39" t="s">
        <v>325</v>
      </c>
      <c r="F1575" s="180" t="s">
        <v>1999</v>
      </c>
      <c r="G1575" s="40" t="s">
        <v>135</v>
      </c>
      <c r="H1575" s="46" t="s">
        <v>136</v>
      </c>
      <c r="I1575" s="51" t="str">
        <f>"0x"&amp;AE_w_WORK!P38</f>
        <v>0x3333</v>
      </c>
      <c r="J1575" s="41">
        <v>40473</v>
      </c>
      <c r="K1575" s="42"/>
    </row>
    <row r="1576" spans="2:11" s="179" customFormat="1" hidden="1" outlineLevel="1">
      <c r="B1576" s="178">
        <v>1570</v>
      </c>
      <c r="C1576" s="44"/>
      <c r="D1576" s="45"/>
      <c r="E1576" s="39" t="s">
        <v>325</v>
      </c>
      <c r="F1576" s="180" t="s">
        <v>2000</v>
      </c>
      <c r="G1576" s="40" t="s">
        <v>137</v>
      </c>
      <c r="H1576" s="46" t="s">
        <v>138</v>
      </c>
      <c r="I1576" s="51" t="str">
        <f>"0x"&amp;AE_w_WORK!P39</f>
        <v>0x4444</v>
      </c>
      <c r="J1576" s="41">
        <v>40473</v>
      </c>
      <c r="K1576" s="42"/>
    </row>
    <row r="1577" spans="2:11" s="179" customFormat="1" hidden="1" outlineLevel="1">
      <c r="B1577" s="178">
        <v>1571</v>
      </c>
      <c r="C1577" s="44"/>
      <c r="D1577" s="45"/>
      <c r="E1577" s="39" t="s">
        <v>325</v>
      </c>
      <c r="F1577" s="180" t="s">
        <v>2001</v>
      </c>
      <c r="G1577" s="40" t="s">
        <v>139</v>
      </c>
      <c r="H1577" s="46" t="s">
        <v>140</v>
      </c>
      <c r="I1577" s="51" t="str">
        <f>"0x"&amp;AE_w_WORK!P40</f>
        <v>0x4332</v>
      </c>
      <c r="J1577" s="41">
        <v>40473</v>
      </c>
      <c r="K1577" s="42"/>
    </row>
    <row r="1578" spans="2:11" s="179" customFormat="1" hidden="1" outlineLevel="1">
      <c r="B1578" s="178">
        <v>1572</v>
      </c>
      <c r="C1578" s="44"/>
      <c r="D1578" s="45"/>
      <c r="E1578" s="39" t="s">
        <v>325</v>
      </c>
      <c r="F1578" s="180" t="s">
        <v>2002</v>
      </c>
      <c r="G1578" s="40" t="s">
        <v>141</v>
      </c>
      <c r="H1578" s="46" t="s">
        <v>142</v>
      </c>
      <c r="I1578" s="51" t="str">
        <f>"0x"&amp;AE_w_WORK!P41</f>
        <v>0x2100</v>
      </c>
      <c r="J1578" s="41">
        <v>40473</v>
      </c>
      <c r="K1578" s="42"/>
    </row>
    <row r="1579" spans="2:11" s="179" customFormat="1" hidden="1" outlineLevel="1">
      <c r="B1579" s="178">
        <v>1573</v>
      </c>
      <c r="C1579" s="44"/>
      <c r="D1579" s="45"/>
      <c r="E1579" s="39" t="s">
        <v>325</v>
      </c>
      <c r="F1579" s="180" t="s">
        <v>2003</v>
      </c>
      <c r="G1579" s="40" t="s">
        <v>143</v>
      </c>
      <c r="H1579" s="46" t="s">
        <v>144</v>
      </c>
      <c r="I1579" s="51" t="str">
        <f>"0x"&amp;AE_w_WORK!P42</f>
        <v>0x3334</v>
      </c>
      <c r="J1579" s="41">
        <v>40473</v>
      </c>
      <c r="K1579" s="42"/>
    </row>
    <row r="1580" spans="2:11" s="179" customFormat="1" hidden="1" outlineLevel="1">
      <c r="B1580" s="178">
        <v>1574</v>
      </c>
      <c r="C1580" s="44"/>
      <c r="D1580" s="45"/>
      <c r="E1580" s="39" t="s">
        <v>325</v>
      </c>
      <c r="F1580" s="180" t="s">
        <v>2004</v>
      </c>
      <c r="G1580" s="40" t="s">
        <v>145</v>
      </c>
      <c r="H1580" s="46" t="s">
        <v>146</v>
      </c>
      <c r="I1580" s="51" t="str">
        <f>"0x"&amp;AE_w_WORK!P43</f>
        <v>0x4444</v>
      </c>
      <c r="J1580" s="41">
        <v>40473</v>
      </c>
      <c r="K1580" s="42"/>
    </row>
    <row r="1581" spans="2:11" s="179" customFormat="1" hidden="1" outlineLevel="1">
      <c r="B1581" s="178">
        <v>1575</v>
      </c>
      <c r="C1581" s="44"/>
      <c r="D1581" s="45"/>
      <c r="E1581" s="39" t="s">
        <v>325</v>
      </c>
      <c r="F1581" s="180" t="s">
        <v>2005</v>
      </c>
      <c r="G1581" s="40" t="s">
        <v>147</v>
      </c>
      <c r="H1581" s="46" t="s">
        <v>148</v>
      </c>
      <c r="I1581" s="51" t="str">
        <f>"0x"&amp;AE_w_WORK!P44</f>
        <v>0x4433</v>
      </c>
      <c r="J1581" s="41">
        <v>40473</v>
      </c>
      <c r="K1581" s="42"/>
    </row>
    <row r="1582" spans="2:11" s="179" customFormat="1" hidden="1" outlineLevel="1">
      <c r="B1582" s="178">
        <v>1576</v>
      </c>
      <c r="C1582" s="44"/>
      <c r="D1582" s="45"/>
      <c r="E1582" s="39" t="s">
        <v>325</v>
      </c>
      <c r="F1582" s="180" t="s">
        <v>2006</v>
      </c>
      <c r="G1582" s="40" t="s">
        <v>149</v>
      </c>
      <c r="H1582" s="46" t="s">
        <v>150</v>
      </c>
      <c r="I1582" s="51" t="str">
        <f>"0x"&amp;AE_w_WORK!P45</f>
        <v>0x2100</v>
      </c>
      <c r="J1582" s="41">
        <v>40473</v>
      </c>
      <c r="K1582" s="42"/>
    </row>
    <row r="1583" spans="2:11" s="179" customFormat="1" hidden="1" outlineLevel="1">
      <c r="B1583" s="178">
        <v>1577</v>
      </c>
      <c r="C1583" s="44"/>
      <c r="D1583" s="45"/>
      <c r="E1583" s="39" t="s">
        <v>325</v>
      </c>
      <c r="F1583" s="180" t="s">
        <v>2007</v>
      </c>
      <c r="G1583" s="40" t="s">
        <v>151</v>
      </c>
      <c r="H1583" s="46" t="s">
        <v>152</v>
      </c>
      <c r="I1583" s="51" t="str">
        <f>"0x"&amp;AE_w_WORK!P46</f>
        <v>0x3344</v>
      </c>
      <c r="J1583" s="41">
        <v>40473</v>
      </c>
      <c r="K1583" s="42"/>
    </row>
    <row r="1584" spans="2:11" s="179" customFormat="1" hidden="1" outlineLevel="1">
      <c r="B1584" s="178">
        <v>1578</v>
      </c>
      <c r="C1584" s="44"/>
      <c r="D1584" s="45"/>
      <c r="E1584" s="39" t="s">
        <v>325</v>
      </c>
      <c r="F1584" s="180" t="s">
        <v>2008</v>
      </c>
      <c r="G1584" s="40" t="s">
        <v>153</v>
      </c>
      <c r="H1584" s="46" t="s">
        <v>154</v>
      </c>
      <c r="I1584" s="51" t="str">
        <f>"0x"&amp;AE_w_WORK!P47</f>
        <v>0x4555</v>
      </c>
      <c r="J1584" s="41">
        <v>40473</v>
      </c>
      <c r="K1584" s="42"/>
    </row>
    <row r="1585" spans="2:11" s="179" customFormat="1" hidden="1" outlineLevel="1">
      <c r="B1585" s="178">
        <v>1579</v>
      </c>
      <c r="C1585" s="44"/>
      <c r="D1585" s="45"/>
      <c r="E1585" s="39" t="s">
        <v>325</v>
      </c>
      <c r="F1585" s="180" t="s">
        <v>2009</v>
      </c>
      <c r="G1585" s="40" t="s">
        <v>155</v>
      </c>
      <c r="H1585" s="46" t="s">
        <v>156</v>
      </c>
      <c r="I1585" s="51" t="str">
        <f>"0x"&amp;AE_w_WORK!P48</f>
        <v>0x5443</v>
      </c>
      <c r="J1585" s="41">
        <v>40473</v>
      </c>
      <c r="K1585" s="42"/>
    </row>
    <row r="1586" spans="2:11" s="179" customFormat="1" hidden="1" outlineLevel="1">
      <c r="B1586" s="178">
        <v>1580</v>
      </c>
      <c r="C1586" s="44"/>
      <c r="D1586" s="45"/>
      <c r="E1586" s="39" t="s">
        <v>325</v>
      </c>
      <c r="F1586" s="180" t="s">
        <v>2010</v>
      </c>
      <c r="G1586" s="40" t="s">
        <v>157</v>
      </c>
      <c r="H1586" s="46" t="s">
        <v>158</v>
      </c>
      <c r="I1586" s="51" t="str">
        <f>"0x"&amp;AE_w_WORK!P49</f>
        <v>0x2210</v>
      </c>
      <c r="J1586" s="41">
        <v>40473</v>
      </c>
      <c r="K1586" s="42"/>
    </row>
    <row r="1587" spans="2:11" s="179" customFormat="1" hidden="1" outlineLevel="1">
      <c r="B1587" s="178">
        <v>1581</v>
      </c>
      <c r="C1587" s="44"/>
      <c r="D1587" s="45"/>
      <c r="E1587" s="39" t="s">
        <v>325</v>
      </c>
      <c r="F1587" s="180" t="s">
        <v>2011</v>
      </c>
      <c r="G1587" s="40" t="s">
        <v>159</v>
      </c>
      <c r="H1587" s="46" t="s">
        <v>160</v>
      </c>
      <c r="I1587" s="51" t="str">
        <f>"0x"&amp;AE_w_WORK!P50</f>
        <v>0x3444</v>
      </c>
      <c r="J1587" s="41">
        <v>40473</v>
      </c>
      <c r="K1587" s="42"/>
    </row>
    <row r="1588" spans="2:11" s="179" customFormat="1" hidden="1" outlineLevel="1">
      <c r="B1588" s="178">
        <v>1582</v>
      </c>
      <c r="C1588" s="44"/>
      <c r="D1588" s="45"/>
      <c r="E1588" s="39" t="s">
        <v>325</v>
      </c>
      <c r="F1588" s="180" t="s">
        <v>2012</v>
      </c>
      <c r="G1588" s="40" t="s">
        <v>161</v>
      </c>
      <c r="H1588" s="46" t="s">
        <v>162</v>
      </c>
      <c r="I1588" s="51" t="str">
        <f>"0x"&amp;AE_w_WORK!P51</f>
        <v>0x5555</v>
      </c>
      <c r="J1588" s="41">
        <v>40473</v>
      </c>
      <c r="K1588" s="42"/>
    </row>
    <row r="1589" spans="2:11" s="179" customFormat="1" hidden="1" outlineLevel="1">
      <c r="B1589" s="178">
        <v>1583</v>
      </c>
      <c r="C1589" s="44"/>
      <c r="D1589" s="45"/>
      <c r="E1589" s="39" t="s">
        <v>325</v>
      </c>
      <c r="F1589" s="180" t="s">
        <v>2013</v>
      </c>
      <c r="G1589" s="40" t="s">
        <v>163</v>
      </c>
      <c r="H1589" s="46" t="s">
        <v>164</v>
      </c>
      <c r="I1589" s="51" t="str">
        <f>"0x"&amp;AE_w_WORK!P52</f>
        <v>0x5543</v>
      </c>
      <c r="J1589" s="41">
        <v>40473</v>
      </c>
      <c r="K1589" s="42"/>
    </row>
    <row r="1590" spans="2:11" s="179" customFormat="1" hidden="1" outlineLevel="1">
      <c r="B1590" s="178">
        <v>1584</v>
      </c>
      <c r="C1590" s="44"/>
      <c r="D1590" s="45"/>
      <c r="E1590" s="39" t="s">
        <v>325</v>
      </c>
      <c r="F1590" s="180" t="s">
        <v>2014</v>
      </c>
      <c r="G1590" s="40" t="s">
        <v>165</v>
      </c>
      <c r="H1590" s="46" t="s">
        <v>166</v>
      </c>
      <c r="I1590" s="51" t="str">
        <f>"0x"&amp;AE_w_WORK!P53</f>
        <v>0x3210</v>
      </c>
      <c r="J1590" s="41">
        <v>40473</v>
      </c>
      <c r="K1590" s="42"/>
    </row>
    <row r="1591" spans="2:11" s="179" customFormat="1" hidden="1" outlineLevel="1">
      <c r="B1591" s="178">
        <v>1585</v>
      </c>
      <c r="C1591" s="44"/>
      <c r="D1591" s="45"/>
      <c r="E1591" s="39" t="s">
        <v>325</v>
      </c>
      <c r="F1591" s="180" t="s">
        <v>2015</v>
      </c>
      <c r="G1591" s="40" t="s">
        <v>167</v>
      </c>
      <c r="H1591" s="46" t="s">
        <v>168</v>
      </c>
      <c r="I1591" s="51" t="str">
        <f>"0x"&amp;AE_w_WORK!P54</f>
        <v>0x3445</v>
      </c>
      <c r="J1591" s="41">
        <v>40473</v>
      </c>
      <c r="K1591" s="42"/>
    </row>
    <row r="1592" spans="2:11" s="179" customFormat="1" hidden="1" outlineLevel="1">
      <c r="B1592" s="178">
        <v>1586</v>
      </c>
      <c r="C1592" s="44"/>
      <c r="D1592" s="45"/>
      <c r="E1592" s="39" t="s">
        <v>325</v>
      </c>
      <c r="F1592" s="180" t="s">
        <v>2016</v>
      </c>
      <c r="G1592" s="40" t="s">
        <v>169</v>
      </c>
      <c r="H1592" s="46" t="s">
        <v>170</v>
      </c>
      <c r="I1592" s="51" t="str">
        <f>"0x"&amp;AE_w_WORK!P55</f>
        <v>0x5566</v>
      </c>
      <c r="J1592" s="41">
        <v>40473</v>
      </c>
      <c r="K1592" s="42"/>
    </row>
    <row r="1593" spans="2:11" s="179" customFormat="1" hidden="1" outlineLevel="1">
      <c r="B1593" s="178">
        <v>1587</v>
      </c>
      <c r="C1593" s="44"/>
      <c r="D1593" s="45"/>
      <c r="E1593" s="39" t="s">
        <v>325</v>
      </c>
      <c r="F1593" s="180" t="s">
        <v>2017</v>
      </c>
      <c r="G1593" s="40" t="s">
        <v>171</v>
      </c>
      <c r="H1593" s="46" t="s">
        <v>172</v>
      </c>
      <c r="I1593" s="51" t="str">
        <f>"0x"&amp;AE_w_WORK!P56</f>
        <v>0x6554</v>
      </c>
      <c r="J1593" s="41">
        <v>40473</v>
      </c>
      <c r="K1593" s="42"/>
    </row>
    <row r="1594" spans="2:11" s="179" customFormat="1" hidden="1" outlineLevel="1">
      <c r="B1594" s="178">
        <v>1588</v>
      </c>
      <c r="C1594" s="44"/>
      <c r="D1594" s="45"/>
      <c r="E1594" s="39" t="s">
        <v>325</v>
      </c>
      <c r="F1594" s="180" t="s">
        <v>2018</v>
      </c>
      <c r="G1594" s="40" t="s">
        <v>173</v>
      </c>
      <c r="H1594" s="46" t="s">
        <v>174</v>
      </c>
      <c r="I1594" s="51" t="str">
        <f>"0x"&amp;AE_w_WORK!P57</f>
        <v>0x3210</v>
      </c>
      <c r="J1594" s="41">
        <v>40473</v>
      </c>
      <c r="K1594" s="42"/>
    </row>
    <row r="1595" spans="2:11" s="179" customFormat="1" hidden="1" outlineLevel="1">
      <c r="B1595" s="178">
        <v>1589</v>
      </c>
      <c r="C1595" s="44"/>
      <c r="D1595" s="45"/>
      <c r="E1595" s="39" t="s">
        <v>325</v>
      </c>
      <c r="F1595" s="180" t="s">
        <v>2019</v>
      </c>
      <c r="G1595" s="40" t="s">
        <v>175</v>
      </c>
      <c r="H1595" s="46" t="s">
        <v>176</v>
      </c>
      <c r="I1595" s="51" t="str">
        <f>"0x"&amp;AE_w_WORK!P58</f>
        <v>0x4455</v>
      </c>
      <c r="J1595" s="41">
        <v>40473</v>
      </c>
      <c r="K1595" s="42"/>
    </row>
    <row r="1596" spans="2:11" s="179" customFormat="1" hidden="1" outlineLevel="1">
      <c r="B1596" s="178">
        <v>1590</v>
      </c>
      <c r="C1596" s="44"/>
      <c r="D1596" s="45"/>
      <c r="E1596" s="39" t="s">
        <v>325</v>
      </c>
      <c r="F1596" s="180" t="s">
        <v>2020</v>
      </c>
      <c r="G1596" s="40" t="s">
        <v>177</v>
      </c>
      <c r="H1596" s="46" t="s">
        <v>178</v>
      </c>
      <c r="I1596" s="51" t="str">
        <f>"0x"&amp;AE_w_WORK!P59</f>
        <v>0x5666</v>
      </c>
      <c r="J1596" s="41">
        <v>40473</v>
      </c>
      <c r="K1596" s="42"/>
    </row>
    <row r="1597" spans="2:11" s="179" customFormat="1" hidden="1" outlineLevel="1">
      <c r="B1597" s="178">
        <v>1591</v>
      </c>
      <c r="C1597" s="44"/>
      <c r="D1597" s="45"/>
      <c r="E1597" s="39" t="s">
        <v>325</v>
      </c>
      <c r="F1597" s="180" t="s">
        <v>2021</v>
      </c>
      <c r="G1597" s="40" t="s">
        <v>179</v>
      </c>
      <c r="H1597" s="46" t="s">
        <v>180</v>
      </c>
      <c r="I1597" s="51" t="str">
        <f>"0x"&amp;AE_w_WORK!P60</f>
        <v>0x6554</v>
      </c>
      <c r="J1597" s="41">
        <v>40473</v>
      </c>
      <c r="K1597" s="42"/>
    </row>
    <row r="1598" spans="2:11" s="179" customFormat="1" hidden="1" outlineLevel="1">
      <c r="B1598" s="178">
        <v>1592</v>
      </c>
      <c r="C1598" s="44"/>
      <c r="D1598" s="45"/>
      <c r="E1598" s="39" t="s">
        <v>325</v>
      </c>
      <c r="F1598" s="180" t="s">
        <v>2022</v>
      </c>
      <c r="G1598" s="40" t="s">
        <v>181</v>
      </c>
      <c r="H1598" s="46" t="s">
        <v>182</v>
      </c>
      <c r="I1598" s="51" t="str">
        <f>"0x"&amp;AE_w_WORK!P61</f>
        <v>0x3210</v>
      </c>
      <c r="J1598" s="41">
        <v>40473</v>
      </c>
      <c r="K1598" s="42"/>
    </row>
    <row r="1599" spans="2:11" s="179" customFormat="1" hidden="1" outlineLevel="1">
      <c r="B1599" s="178">
        <v>1593</v>
      </c>
      <c r="C1599" s="44"/>
      <c r="D1599" s="45"/>
      <c r="E1599" s="39" t="s">
        <v>325</v>
      </c>
      <c r="F1599" s="180" t="s">
        <v>2023</v>
      </c>
      <c r="G1599" s="40" t="s">
        <v>183</v>
      </c>
      <c r="H1599" s="46" t="s">
        <v>184</v>
      </c>
      <c r="I1599" s="51" t="str">
        <f>"0x"&amp;AE_w_WORK!P62</f>
        <v>0x4455</v>
      </c>
      <c r="J1599" s="41">
        <v>40473</v>
      </c>
      <c r="K1599" s="42"/>
    </row>
    <row r="1600" spans="2:11" s="179" customFormat="1" hidden="1" outlineLevel="1">
      <c r="B1600" s="178">
        <v>1594</v>
      </c>
      <c r="C1600" s="44"/>
      <c r="D1600" s="45"/>
      <c r="E1600" s="39" t="s">
        <v>325</v>
      </c>
      <c r="F1600" s="180" t="s">
        <v>2024</v>
      </c>
      <c r="G1600" s="40" t="s">
        <v>185</v>
      </c>
      <c r="H1600" s="46" t="s">
        <v>186</v>
      </c>
      <c r="I1600" s="51" t="str">
        <f>"0x"&amp;AE_w_WORK!P63</f>
        <v>0x6666</v>
      </c>
      <c r="J1600" s="41">
        <v>40473</v>
      </c>
      <c r="K1600" s="42"/>
    </row>
    <row r="1601" spans="2:11" s="179" customFormat="1" hidden="1" outlineLevel="1">
      <c r="B1601" s="178">
        <v>1595</v>
      </c>
      <c r="C1601" s="44"/>
      <c r="D1601" s="45"/>
      <c r="E1601" s="39" t="s">
        <v>325</v>
      </c>
      <c r="F1601" s="180" t="s">
        <v>2025</v>
      </c>
      <c r="G1601" s="40" t="s">
        <v>187</v>
      </c>
      <c r="H1601" s="46" t="s">
        <v>188</v>
      </c>
      <c r="I1601" s="51" t="str">
        <f>"0x"&amp;AE_w_WORK!P64</f>
        <v>0x6654</v>
      </c>
      <c r="J1601" s="41">
        <v>40473</v>
      </c>
      <c r="K1601" s="42"/>
    </row>
    <row r="1602" spans="2:11" s="179" customFormat="1" hidden="1" outlineLevel="1">
      <c r="B1602" s="178">
        <v>1596</v>
      </c>
      <c r="C1602" s="44"/>
      <c r="D1602" s="45"/>
      <c r="E1602" s="39" t="s">
        <v>325</v>
      </c>
      <c r="F1602" s="180" t="s">
        <v>2026</v>
      </c>
      <c r="G1602" s="40" t="s">
        <v>189</v>
      </c>
      <c r="H1602" s="46" t="s">
        <v>190</v>
      </c>
      <c r="I1602" s="51" t="str">
        <f>"0x"&amp;AE_w_WORK!P65</f>
        <v>0x3210</v>
      </c>
      <c r="J1602" s="41">
        <v>40473</v>
      </c>
      <c r="K1602" s="42"/>
    </row>
    <row r="1603" spans="2:11" s="179" customFormat="1" hidden="1" outlineLevel="1">
      <c r="B1603" s="178">
        <v>1597</v>
      </c>
      <c r="C1603" s="44"/>
      <c r="D1603" s="45"/>
      <c r="E1603" s="39" t="s">
        <v>325</v>
      </c>
      <c r="F1603" s="180" t="s">
        <v>2027</v>
      </c>
      <c r="G1603" s="40" t="s">
        <v>191</v>
      </c>
      <c r="H1603" s="46" t="s">
        <v>192</v>
      </c>
      <c r="I1603" s="51" t="str">
        <f>"0x"&amp;AE_w_WORK!P66</f>
        <v>0x4455</v>
      </c>
      <c r="J1603" s="41">
        <v>40473</v>
      </c>
      <c r="K1603" s="42"/>
    </row>
    <row r="1604" spans="2:11" s="179" customFormat="1" hidden="1" outlineLevel="1">
      <c r="B1604" s="178">
        <v>1598</v>
      </c>
      <c r="C1604" s="44"/>
      <c r="D1604" s="45"/>
      <c r="E1604" s="39" t="s">
        <v>325</v>
      </c>
      <c r="F1604" s="180" t="s">
        <v>2028</v>
      </c>
      <c r="G1604" s="40" t="s">
        <v>193</v>
      </c>
      <c r="H1604" s="46" t="s">
        <v>194</v>
      </c>
      <c r="I1604" s="51" t="str">
        <f>"0x"&amp;AE_w_WORK!P67</f>
        <v>0x6666</v>
      </c>
      <c r="J1604" s="41">
        <v>40473</v>
      </c>
      <c r="K1604" s="42"/>
    </row>
    <row r="1605" spans="2:11" s="179" customFormat="1" hidden="1" outlineLevel="1">
      <c r="B1605" s="178">
        <v>1599</v>
      </c>
      <c r="C1605" s="44"/>
      <c r="D1605" s="45"/>
      <c r="E1605" s="39" t="s">
        <v>325</v>
      </c>
      <c r="F1605" s="180" t="s">
        <v>2029</v>
      </c>
      <c r="G1605" s="40" t="s">
        <v>195</v>
      </c>
      <c r="H1605" s="46" t="s">
        <v>196</v>
      </c>
      <c r="I1605" s="51" t="str">
        <f>"0x"&amp;AE_w_WORK!P68</f>
        <v>0x6654</v>
      </c>
      <c r="J1605" s="41">
        <v>40473</v>
      </c>
      <c r="K1605" s="42"/>
    </row>
    <row r="1606" spans="2:11" s="179" customFormat="1" hidden="1" outlineLevel="1">
      <c r="B1606" s="178">
        <v>1600</v>
      </c>
      <c r="C1606" s="44"/>
      <c r="D1606" s="45"/>
      <c r="E1606" s="39" t="s">
        <v>325</v>
      </c>
      <c r="F1606" s="180" t="s">
        <v>2030</v>
      </c>
      <c r="G1606" s="40" t="s">
        <v>197</v>
      </c>
      <c r="H1606" s="46" t="s">
        <v>198</v>
      </c>
      <c r="I1606" s="51" t="str">
        <f>"0x"&amp;AE_w_WORK!P69</f>
        <v>0x3210</v>
      </c>
      <c r="J1606" s="41">
        <v>40473</v>
      </c>
      <c r="K1606" s="42"/>
    </row>
    <row r="1607" spans="2:11" s="179" customFormat="1" hidden="1" outlineLevel="1">
      <c r="B1607" s="178">
        <v>1601</v>
      </c>
      <c r="C1607" s="44"/>
      <c r="D1607" s="45"/>
      <c r="E1607" s="39" t="s">
        <v>325</v>
      </c>
      <c r="F1607" s="180" t="s">
        <v>2031</v>
      </c>
      <c r="G1607" s="40" t="s">
        <v>199</v>
      </c>
      <c r="H1607" s="46" t="s">
        <v>200</v>
      </c>
      <c r="I1607" s="51" t="str">
        <f>"0x"&amp;AE_w_WORK!P70</f>
        <v>0x4455</v>
      </c>
      <c r="J1607" s="41">
        <v>40473</v>
      </c>
      <c r="K1607" s="42"/>
    </row>
    <row r="1608" spans="2:11" s="179" customFormat="1" hidden="1" outlineLevel="1">
      <c r="B1608" s="178">
        <v>1602</v>
      </c>
      <c r="C1608" s="44"/>
      <c r="D1608" s="45"/>
      <c r="E1608" s="39" t="s">
        <v>325</v>
      </c>
      <c r="F1608" s="180" t="s">
        <v>2032</v>
      </c>
      <c r="G1608" s="40" t="s">
        <v>201</v>
      </c>
      <c r="H1608" s="46" t="s">
        <v>202</v>
      </c>
      <c r="I1608" s="51" t="str">
        <f>"0x"&amp;AE_w_WORK!P71</f>
        <v>0x6666</v>
      </c>
      <c r="J1608" s="41">
        <v>40473</v>
      </c>
      <c r="K1608" s="42"/>
    </row>
    <row r="1609" spans="2:11" s="179" customFormat="1" hidden="1" outlineLevel="1">
      <c r="B1609" s="178">
        <v>1603</v>
      </c>
      <c r="C1609" s="44"/>
      <c r="D1609" s="45"/>
      <c r="E1609" s="39" t="s">
        <v>325</v>
      </c>
      <c r="F1609" s="180" t="s">
        <v>2033</v>
      </c>
      <c r="G1609" s="40" t="s">
        <v>203</v>
      </c>
      <c r="H1609" s="46" t="s">
        <v>204</v>
      </c>
      <c r="I1609" s="51" t="str">
        <f>"0x"&amp;AE_w_WORK!P72</f>
        <v>0x6654</v>
      </c>
      <c r="J1609" s="41">
        <v>40473</v>
      </c>
      <c r="K1609" s="42"/>
    </row>
    <row r="1610" spans="2:11" s="179" customFormat="1" hidden="1" outlineLevel="1">
      <c r="B1610" s="178">
        <v>1604</v>
      </c>
      <c r="C1610" s="44"/>
      <c r="D1610" s="45"/>
      <c r="E1610" s="39" t="s">
        <v>325</v>
      </c>
      <c r="F1610" s="180" t="s">
        <v>2034</v>
      </c>
      <c r="G1610" s="40" t="s">
        <v>205</v>
      </c>
      <c r="H1610" s="46" t="s">
        <v>206</v>
      </c>
      <c r="I1610" s="51" t="str">
        <f>"0x"&amp;AE_w_WORK!P73</f>
        <v>0x3210</v>
      </c>
      <c r="J1610" s="41">
        <v>40473</v>
      </c>
      <c r="K1610" s="42"/>
    </row>
    <row r="1611" spans="2:11" s="179" customFormat="1" hidden="1" outlineLevel="1">
      <c r="B1611" s="178">
        <v>1605</v>
      </c>
      <c r="C1611" s="44"/>
      <c r="D1611" s="45"/>
      <c r="E1611" s="39" t="s">
        <v>325</v>
      </c>
      <c r="F1611" s="180" t="s">
        <v>2035</v>
      </c>
      <c r="G1611" s="40" t="s">
        <v>207</v>
      </c>
      <c r="H1611" s="46" t="s">
        <v>208</v>
      </c>
      <c r="I1611" s="51" t="str">
        <f>"0x"&amp;AE_w_WORK!P74</f>
        <v>0x4455</v>
      </c>
      <c r="J1611" s="41">
        <v>40473</v>
      </c>
      <c r="K1611" s="42"/>
    </row>
    <row r="1612" spans="2:11" s="179" customFormat="1" hidden="1" outlineLevel="1">
      <c r="B1612" s="178">
        <v>1606</v>
      </c>
      <c r="C1612" s="44"/>
      <c r="D1612" s="45"/>
      <c r="E1612" s="39" t="s">
        <v>325</v>
      </c>
      <c r="F1612" s="180" t="s">
        <v>2036</v>
      </c>
      <c r="G1612" s="40" t="s">
        <v>209</v>
      </c>
      <c r="H1612" s="46" t="s">
        <v>210</v>
      </c>
      <c r="I1612" s="51" t="str">
        <f>"0x"&amp;AE_w_WORK!P75</f>
        <v>0x6666</v>
      </c>
      <c r="J1612" s="41">
        <v>40473</v>
      </c>
      <c r="K1612" s="42"/>
    </row>
    <row r="1613" spans="2:11" s="179" customFormat="1" hidden="1" outlineLevel="1">
      <c r="B1613" s="178">
        <v>1607</v>
      </c>
      <c r="C1613" s="44"/>
      <c r="D1613" s="45"/>
      <c r="E1613" s="39" t="s">
        <v>325</v>
      </c>
      <c r="F1613" s="180" t="s">
        <v>2037</v>
      </c>
      <c r="G1613" s="40" t="s">
        <v>211</v>
      </c>
      <c r="H1613" s="46" t="s">
        <v>212</v>
      </c>
      <c r="I1613" s="51" t="str">
        <f>"0x"&amp;AE_w_WORK!P76</f>
        <v>0x6654</v>
      </c>
      <c r="J1613" s="41">
        <v>40473</v>
      </c>
      <c r="K1613" s="42"/>
    </row>
    <row r="1614" spans="2:11" s="179" customFormat="1" hidden="1" outlineLevel="1">
      <c r="B1614" s="178">
        <v>1608</v>
      </c>
      <c r="C1614" s="44"/>
      <c r="D1614" s="45"/>
      <c r="E1614" s="39" t="s">
        <v>325</v>
      </c>
      <c r="F1614" s="180" t="s">
        <v>2038</v>
      </c>
      <c r="G1614" s="40" t="s">
        <v>213</v>
      </c>
      <c r="H1614" s="46" t="s">
        <v>214</v>
      </c>
      <c r="I1614" s="51" t="str">
        <f>"0x"&amp;AE_w_WORK!P77</f>
        <v>0x3210</v>
      </c>
      <c r="J1614" s="41">
        <v>40473</v>
      </c>
      <c r="K1614" s="42"/>
    </row>
    <row r="1615" spans="2:11" s="179" customFormat="1" hidden="1" outlineLevel="1">
      <c r="B1615" s="178">
        <v>1609</v>
      </c>
      <c r="C1615" s="44"/>
      <c r="D1615" s="45"/>
      <c r="E1615" s="39" t="s">
        <v>325</v>
      </c>
      <c r="F1615" s="180" t="s">
        <v>2039</v>
      </c>
      <c r="G1615" s="40" t="s">
        <v>215</v>
      </c>
      <c r="H1615" s="46" t="s">
        <v>216</v>
      </c>
      <c r="I1615" s="51" t="str">
        <f>"0x"&amp;AE_w_WORK!P78</f>
        <v>0x4455</v>
      </c>
      <c r="J1615" s="41">
        <v>40473</v>
      </c>
      <c r="K1615" s="42"/>
    </row>
    <row r="1616" spans="2:11" s="179" customFormat="1" hidden="1" outlineLevel="1">
      <c r="B1616" s="178">
        <v>1610</v>
      </c>
      <c r="C1616" s="44"/>
      <c r="D1616" s="45"/>
      <c r="E1616" s="39" t="s">
        <v>325</v>
      </c>
      <c r="F1616" s="180" t="s">
        <v>2040</v>
      </c>
      <c r="G1616" s="40" t="s">
        <v>217</v>
      </c>
      <c r="H1616" s="46" t="s">
        <v>218</v>
      </c>
      <c r="I1616" s="51" t="str">
        <f>"0x"&amp;AE_w_WORK!P79</f>
        <v>0x5666</v>
      </c>
      <c r="J1616" s="41">
        <v>40473</v>
      </c>
      <c r="K1616" s="42"/>
    </row>
    <row r="1617" spans="2:11" s="179" customFormat="1" hidden="1" outlineLevel="1">
      <c r="B1617" s="178">
        <v>1611</v>
      </c>
      <c r="C1617" s="44"/>
      <c r="D1617" s="45"/>
      <c r="E1617" s="39" t="s">
        <v>325</v>
      </c>
      <c r="F1617" s="180" t="s">
        <v>2041</v>
      </c>
      <c r="G1617" s="40" t="s">
        <v>219</v>
      </c>
      <c r="H1617" s="46" t="s">
        <v>220</v>
      </c>
      <c r="I1617" s="51" t="str">
        <f>"0x"&amp;AE_w_WORK!P80</f>
        <v>0x6554</v>
      </c>
      <c r="J1617" s="41">
        <v>40473</v>
      </c>
      <c r="K1617" s="42"/>
    </row>
    <row r="1618" spans="2:11" s="179" customFormat="1" hidden="1" outlineLevel="1">
      <c r="B1618" s="178">
        <v>1612</v>
      </c>
      <c r="C1618" s="44"/>
      <c r="D1618" s="45"/>
      <c r="E1618" s="39" t="s">
        <v>325</v>
      </c>
      <c r="F1618" s="180" t="s">
        <v>2042</v>
      </c>
      <c r="G1618" s="40" t="s">
        <v>221</v>
      </c>
      <c r="H1618" s="46" t="s">
        <v>222</v>
      </c>
      <c r="I1618" s="51" t="str">
        <f>"0x"&amp;AE_w_WORK!P81</f>
        <v>0x3210</v>
      </c>
      <c r="J1618" s="41">
        <v>40473</v>
      </c>
      <c r="K1618" s="42"/>
    </row>
    <row r="1619" spans="2:11" s="179" customFormat="1" hidden="1" outlineLevel="1">
      <c r="B1619" s="178">
        <v>1613</v>
      </c>
      <c r="C1619" s="44"/>
      <c r="D1619" s="45"/>
      <c r="E1619" s="39" t="s">
        <v>325</v>
      </c>
      <c r="F1619" s="180" t="s">
        <v>2043</v>
      </c>
      <c r="G1619" s="40" t="s">
        <v>223</v>
      </c>
      <c r="H1619" s="46" t="s">
        <v>224</v>
      </c>
      <c r="I1619" s="51" t="str">
        <f>"0x"&amp;AE_w_WORK!P82</f>
        <v>0x3445</v>
      </c>
      <c r="J1619" s="41">
        <v>40473</v>
      </c>
      <c r="K1619" s="42"/>
    </row>
    <row r="1620" spans="2:11" s="179" customFormat="1" hidden="1" outlineLevel="1">
      <c r="B1620" s="178">
        <v>1614</v>
      </c>
      <c r="C1620" s="44"/>
      <c r="D1620" s="45"/>
      <c r="E1620" s="39" t="s">
        <v>325</v>
      </c>
      <c r="F1620" s="180" t="s">
        <v>2044</v>
      </c>
      <c r="G1620" s="40" t="s">
        <v>225</v>
      </c>
      <c r="H1620" s="46" t="s">
        <v>226</v>
      </c>
      <c r="I1620" s="51" t="str">
        <f>"0x"&amp;AE_w_WORK!P83</f>
        <v>0x5566</v>
      </c>
      <c r="J1620" s="41">
        <v>40473</v>
      </c>
      <c r="K1620" s="42"/>
    </row>
    <row r="1621" spans="2:11" s="179" customFormat="1" hidden="1" outlineLevel="1">
      <c r="B1621" s="178">
        <v>1615</v>
      </c>
      <c r="C1621" s="44"/>
      <c r="D1621" s="45"/>
      <c r="E1621" s="39" t="s">
        <v>325</v>
      </c>
      <c r="F1621" s="180" t="s">
        <v>2045</v>
      </c>
      <c r="G1621" s="40" t="s">
        <v>227</v>
      </c>
      <c r="H1621" s="46" t="s">
        <v>228</v>
      </c>
      <c r="I1621" s="51" t="str">
        <f>"0x"&amp;AE_w_WORK!P84</f>
        <v>0x6554</v>
      </c>
      <c r="J1621" s="41">
        <v>40473</v>
      </c>
      <c r="K1621" s="42"/>
    </row>
    <row r="1622" spans="2:11" s="179" customFormat="1" hidden="1" outlineLevel="1">
      <c r="B1622" s="178">
        <v>1616</v>
      </c>
      <c r="C1622" s="44"/>
      <c r="D1622" s="45"/>
      <c r="E1622" s="39" t="s">
        <v>325</v>
      </c>
      <c r="F1622" s="180" t="s">
        <v>2046</v>
      </c>
      <c r="G1622" s="40" t="s">
        <v>229</v>
      </c>
      <c r="H1622" s="46" t="s">
        <v>230</v>
      </c>
      <c r="I1622" s="51" t="str">
        <f>"0x"&amp;AE_w_WORK!P85</f>
        <v>0x3210</v>
      </c>
      <c r="J1622" s="41">
        <v>40473</v>
      </c>
      <c r="K1622" s="42"/>
    </row>
    <row r="1623" spans="2:11" s="179" customFormat="1" hidden="1" outlineLevel="1">
      <c r="B1623" s="178">
        <v>1617</v>
      </c>
      <c r="C1623" s="44"/>
      <c r="D1623" s="45"/>
      <c r="E1623" s="39" t="s">
        <v>325</v>
      </c>
      <c r="F1623" s="180" t="s">
        <v>2047</v>
      </c>
      <c r="G1623" s="40" t="s">
        <v>231</v>
      </c>
      <c r="H1623" s="46" t="s">
        <v>232</v>
      </c>
      <c r="I1623" s="51" t="str">
        <f>"0x"&amp;AE_w_WORK!P86</f>
        <v>0x3444</v>
      </c>
      <c r="J1623" s="41">
        <v>40473</v>
      </c>
      <c r="K1623" s="42"/>
    </row>
    <row r="1624" spans="2:11" s="179" customFormat="1" hidden="1" outlineLevel="1">
      <c r="B1624" s="178">
        <v>1618</v>
      </c>
      <c r="C1624" s="44"/>
      <c r="D1624" s="45"/>
      <c r="E1624" s="39" t="s">
        <v>325</v>
      </c>
      <c r="F1624" s="180" t="s">
        <v>2048</v>
      </c>
      <c r="G1624" s="40" t="s">
        <v>233</v>
      </c>
      <c r="H1624" s="46" t="s">
        <v>234</v>
      </c>
      <c r="I1624" s="51" t="str">
        <f>"0x"&amp;AE_w_WORK!P87</f>
        <v>0x5555</v>
      </c>
      <c r="J1624" s="41">
        <v>40473</v>
      </c>
      <c r="K1624" s="42"/>
    </row>
    <row r="1625" spans="2:11" s="179" customFormat="1" hidden="1" outlineLevel="1">
      <c r="B1625" s="178">
        <v>1619</v>
      </c>
      <c r="C1625" s="44"/>
      <c r="D1625" s="45"/>
      <c r="E1625" s="39" t="s">
        <v>325</v>
      </c>
      <c r="F1625" s="180" t="s">
        <v>2049</v>
      </c>
      <c r="G1625" s="40" t="s">
        <v>235</v>
      </c>
      <c r="H1625" s="46" t="s">
        <v>236</v>
      </c>
      <c r="I1625" s="51" t="str">
        <f>"0x"&amp;AE_w_WORK!P88</f>
        <v>0x5543</v>
      </c>
      <c r="J1625" s="41">
        <v>40473</v>
      </c>
      <c r="K1625" s="42"/>
    </row>
    <row r="1626" spans="2:11" s="179" customFormat="1" hidden="1" outlineLevel="1">
      <c r="B1626" s="178">
        <v>1620</v>
      </c>
      <c r="C1626" s="44"/>
      <c r="D1626" s="45"/>
      <c r="E1626" s="39" t="s">
        <v>325</v>
      </c>
      <c r="F1626" s="180" t="s">
        <v>2050</v>
      </c>
      <c r="G1626" s="40" t="s">
        <v>237</v>
      </c>
      <c r="H1626" s="46" t="s">
        <v>238</v>
      </c>
      <c r="I1626" s="51" t="str">
        <f>"0x"&amp;AE_w_WORK!P89</f>
        <v>0x3210</v>
      </c>
      <c r="J1626" s="41">
        <v>40473</v>
      </c>
      <c r="K1626" s="42"/>
    </row>
    <row r="1627" spans="2:11" s="179" customFormat="1" hidden="1" outlineLevel="1">
      <c r="B1627" s="178">
        <v>1621</v>
      </c>
      <c r="C1627" s="44"/>
      <c r="D1627" s="45"/>
      <c r="E1627" s="39" t="s">
        <v>325</v>
      </c>
      <c r="F1627" s="180" t="s">
        <v>2051</v>
      </c>
      <c r="G1627" s="40" t="s">
        <v>239</v>
      </c>
      <c r="H1627" s="46" t="s">
        <v>240</v>
      </c>
      <c r="I1627" s="51" t="str">
        <f>"0x"&amp;AE_w_WORK!P90</f>
        <v>0x3344</v>
      </c>
      <c r="J1627" s="41">
        <v>40473</v>
      </c>
      <c r="K1627" s="42"/>
    </row>
    <row r="1628" spans="2:11" s="179" customFormat="1" hidden="1" outlineLevel="1">
      <c r="B1628" s="178">
        <v>1622</v>
      </c>
      <c r="C1628" s="44"/>
      <c r="D1628" s="45"/>
      <c r="E1628" s="39" t="s">
        <v>325</v>
      </c>
      <c r="F1628" s="180" t="s">
        <v>2052</v>
      </c>
      <c r="G1628" s="40" t="s">
        <v>241</v>
      </c>
      <c r="H1628" s="46" t="s">
        <v>242</v>
      </c>
      <c r="I1628" s="51" t="str">
        <f>"0x"&amp;AE_w_WORK!P91</f>
        <v>0x4555</v>
      </c>
      <c r="J1628" s="41">
        <v>40473</v>
      </c>
      <c r="K1628" s="42"/>
    </row>
    <row r="1629" spans="2:11" s="179" customFormat="1" hidden="1" outlineLevel="1">
      <c r="B1629" s="178">
        <v>1623</v>
      </c>
      <c r="C1629" s="44"/>
      <c r="D1629" s="45"/>
      <c r="E1629" s="39" t="s">
        <v>325</v>
      </c>
      <c r="F1629" s="180" t="s">
        <v>2053</v>
      </c>
      <c r="G1629" s="40" t="s">
        <v>243</v>
      </c>
      <c r="H1629" s="46" t="s">
        <v>244</v>
      </c>
      <c r="I1629" s="51" t="str">
        <f>"0x"&amp;AE_w_WORK!P92</f>
        <v>0x5443</v>
      </c>
      <c r="J1629" s="41">
        <v>40473</v>
      </c>
      <c r="K1629" s="42"/>
    </row>
    <row r="1630" spans="2:11" s="179" customFormat="1" hidden="1" outlineLevel="1">
      <c r="B1630" s="178">
        <v>1624</v>
      </c>
      <c r="C1630" s="44"/>
      <c r="D1630" s="45"/>
      <c r="E1630" s="39" t="s">
        <v>325</v>
      </c>
      <c r="F1630" s="180" t="s">
        <v>2054</v>
      </c>
      <c r="G1630" s="40" t="s">
        <v>245</v>
      </c>
      <c r="H1630" s="46" t="s">
        <v>246</v>
      </c>
      <c r="I1630" s="51" t="str">
        <f>"0x"&amp;AE_w_WORK!P93</f>
        <v>0x2210</v>
      </c>
      <c r="J1630" s="41">
        <v>40473</v>
      </c>
      <c r="K1630" s="42"/>
    </row>
    <row r="1631" spans="2:11" s="179" customFormat="1" hidden="1" outlineLevel="1">
      <c r="B1631" s="178">
        <v>1625</v>
      </c>
      <c r="C1631" s="44"/>
      <c r="D1631" s="45"/>
      <c r="E1631" s="39" t="s">
        <v>325</v>
      </c>
      <c r="F1631" s="180" t="s">
        <v>2055</v>
      </c>
      <c r="G1631" s="40" t="s">
        <v>247</v>
      </c>
      <c r="H1631" s="46" t="s">
        <v>248</v>
      </c>
      <c r="I1631" s="51" t="str">
        <f>"0x"&amp;AE_w_WORK!P94</f>
        <v>0x3334</v>
      </c>
      <c r="J1631" s="41">
        <v>40473</v>
      </c>
      <c r="K1631" s="42"/>
    </row>
    <row r="1632" spans="2:11" s="179" customFormat="1" hidden="1" outlineLevel="1">
      <c r="B1632" s="178">
        <v>1626</v>
      </c>
      <c r="C1632" s="44"/>
      <c r="D1632" s="45"/>
      <c r="E1632" s="39" t="s">
        <v>325</v>
      </c>
      <c r="F1632" s="180" t="s">
        <v>2056</v>
      </c>
      <c r="G1632" s="40" t="s">
        <v>249</v>
      </c>
      <c r="H1632" s="46" t="s">
        <v>250</v>
      </c>
      <c r="I1632" s="51" t="str">
        <f>"0x"&amp;AE_w_WORK!P95</f>
        <v>0x4444</v>
      </c>
      <c r="J1632" s="41">
        <v>40473</v>
      </c>
      <c r="K1632" s="42"/>
    </row>
    <row r="1633" spans="2:11" s="179" customFormat="1" hidden="1" outlineLevel="1">
      <c r="B1633" s="178">
        <v>1627</v>
      </c>
      <c r="C1633" s="44"/>
      <c r="D1633" s="45"/>
      <c r="E1633" s="39" t="s">
        <v>325</v>
      </c>
      <c r="F1633" s="180" t="s">
        <v>2057</v>
      </c>
      <c r="G1633" s="40" t="s">
        <v>251</v>
      </c>
      <c r="H1633" s="46" t="s">
        <v>252</v>
      </c>
      <c r="I1633" s="51" t="str">
        <f>"0x"&amp;AE_w_WORK!P96</f>
        <v>0x4433</v>
      </c>
      <c r="J1633" s="41">
        <v>40473</v>
      </c>
      <c r="K1633" s="42"/>
    </row>
    <row r="1634" spans="2:11" s="179" customFormat="1" hidden="1" outlineLevel="1">
      <c r="B1634" s="178">
        <v>1628</v>
      </c>
      <c r="C1634" s="44"/>
      <c r="D1634" s="45"/>
      <c r="E1634" s="39" t="s">
        <v>325</v>
      </c>
      <c r="F1634" s="180" t="s">
        <v>2058</v>
      </c>
      <c r="G1634" s="40" t="s">
        <v>253</v>
      </c>
      <c r="H1634" s="46" t="s">
        <v>254</v>
      </c>
      <c r="I1634" s="51" t="str">
        <f>"0x"&amp;AE_w_WORK!P97</f>
        <v>0x2100</v>
      </c>
      <c r="J1634" s="41">
        <v>40473</v>
      </c>
      <c r="K1634" s="42"/>
    </row>
    <row r="1635" spans="2:11" s="179" customFormat="1" hidden="1" outlineLevel="1">
      <c r="B1635" s="178">
        <v>1629</v>
      </c>
      <c r="C1635" s="44"/>
      <c r="D1635" s="45"/>
      <c r="E1635" s="39" t="s">
        <v>325</v>
      </c>
      <c r="F1635" s="180" t="s">
        <v>2059</v>
      </c>
      <c r="G1635" s="40" t="s">
        <v>255</v>
      </c>
      <c r="H1635" s="46" t="s">
        <v>256</v>
      </c>
      <c r="I1635" s="51" t="str">
        <f>"0x"&amp;AE_w_WORK!P98</f>
        <v>0x3333</v>
      </c>
      <c r="J1635" s="41">
        <v>40473</v>
      </c>
      <c r="K1635" s="42"/>
    </row>
    <row r="1636" spans="2:11" s="179" customFormat="1" hidden="1" outlineLevel="1">
      <c r="B1636" s="178">
        <v>1630</v>
      </c>
      <c r="C1636" s="44"/>
      <c r="D1636" s="45"/>
      <c r="E1636" s="39" t="s">
        <v>325</v>
      </c>
      <c r="F1636" s="180" t="s">
        <v>2060</v>
      </c>
      <c r="G1636" s="40" t="s">
        <v>257</v>
      </c>
      <c r="H1636" s="46" t="s">
        <v>258</v>
      </c>
      <c r="I1636" s="51" t="str">
        <f>"0x"&amp;AE_w_WORK!P99</f>
        <v>0x4444</v>
      </c>
      <c r="J1636" s="41">
        <v>40473</v>
      </c>
      <c r="K1636" s="42"/>
    </row>
    <row r="1637" spans="2:11" s="179" customFormat="1" hidden="1" outlineLevel="1">
      <c r="B1637" s="178">
        <v>1631</v>
      </c>
      <c r="C1637" s="44"/>
      <c r="D1637" s="45"/>
      <c r="E1637" s="39" t="s">
        <v>325</v>
      </c>
      <c r="F1637" s="180" t="s">
        <v>2061</v>
      </c>
      <c r="G1637" s="40" t="s">
        <v>259</v>
      </c>
      <c r="H1637" s="46" t="s">
        <v>260</v>
      </c>
      <c r="I1637" s="51" t="str">
        <f>"0x"&amp;AE_w_WORK!P100</f>
        <v>0x4332</v>
      </c>
      <c r="J1637" s="41">
        <v>40473</v>
      </c>
      <c r="K1637" s="42"/>
    </row>
    <row r="1638" spans="2:11" s="179" customFormat="1" hidden="1" outlineLevel="1">
      <c r="B1638" s="178">
        <v>1632</v>
      </c>
      <c r="C1638" s="44"/>
      <c r="D1638" s="45"/>
      <c r="E1638" s="39" t="s">
        <v>325</v>
      </c>
      <c r="F1638" s="180" t="s">
        <v>2062</v>
      </c>
      <c r="G1638" s="40" t="s">
        <v>261</v>
      </c>
      <c r="H1638" s="46" t="s">
        <v>262</v>
      </c>
      <c r="I1638" s="51" t="str">
        <f>"0x"&amp;AE_w_WORK!P101</f>
        <v>0x2100</v>
      </c>
      <c r="J1638" s="41">
        <v>40473</v>
      </c>
      <c r="K1638" s="42"/>
    </row>
    <row r="1639" spans="2:11" s="179" customFormat="1" hidden="1" outlineLevel="1">
      <c r="B1639" s="178">
        <v>1633</v>
      </c>
      <c r="C1639" s="44"/>
      <c r="D1639" s="45"/>
      <c r="E1639" s="39" t="s">
        <v>325</v>
      </c>
      <c r="F1639" s="180" t="s">
        <v>2063</v>
      </c>
      <c r="G1639" s="40" t="s">
        <v>263</v>
      </c>
      <c r="H1639" s="46" t="s">
        <v>81</v>
      </c>
      <c r="I1639" s="51" t="str">
        <f>"0x"&amp;AE_w_WORK!P102</f>
        <v>0x3333</v>
      </c>
      <c r="J1639" s="41">
        <v>40473</v>
      </c>
      <c r="K1639" s="42"/>
    </row>
    <row r="1640" spans="2:11" s="179" customFormat="1" hidden="1" outlineLevel="1">
      <c r="B1640" s="178">
        <v>1634</v>
      </c>
      <c r="C1640" s="44"/>
      <c r="D1640" s="45"/>
      <c r="E1640" s="39" t="s">
        <v>325</v>
      </c>
      <c r="F1640" s="180" t="s">
        <v>2064</v>
      </c>
      <c r="G1640" s="40" t="s">
        <v>82</v>
      </c>
      <c r="H1640" s="46" t="s">
        <v>83</v>
      </c>
      <c r="I1640" s="51" t="str">
        <f>"0x"&amp;AE_w_WORK!P103</f>
        <v>0x3333</v>
      </c>
      <c r="J1640" s="41">
        <v>40473</v>
      </c>
      <c r="K1640" s="42"/>
    </row>
    <row r="1641" spans="2:11" s="179" customFormat="1" hidden="1" outlineLevel="1">
      <c r="B1641" s="178">
        <v>1635</v>
      </c>
      <c r="C1641" s="44"/>
      <c r="D1641" s="45"/>
      <c r="E1641" s="39" t="s">
        <v>325</v>
      </c>
      <c r="F1641" s="180" t="s">
        <v>2065</v>
      </c>
      <c r="G1641" s="40" t="s">
        <v>84</v>
      </c>
      <c r="H1641" s="46" t="s">
        <v>85</v>
      </c>
      <c r="I1641" s="51" t="str">
        <f>"0x"&amp;AE_w_WORK!P104</f>
        <v>0x3322</v>
      </c>
      <c r="J1641" s="41">
        <v>40473</v>
      </c>
      <c r="K1641" s="42"/>
    </row>
    <row r="1642" spans="2:11" s="179" customFormat="1" hidden="1" outlineLevel="1">
      <c r="B1642" s="178">
        <v>1636</v>
      </c>
      <c r="C1642" s="44"/>
      <c r="D1642" s="45"/>
      <c r="E1642" s="39" t="s">
        <v>325</v>
      </c>
      <c r="F1642" s="180" t="s">
        <v>2066</v>
      </c>
      <c r="G1642" s="40" t="s">
        <v>86</v>
      </c>
      <c r="H1642" s="46" t="s">
        <v>87</v>
      </c>
      <c r="I1642" s="51" t="str">
        <f>"0x"&amp;AE_w_WORK!P105</f>
        <v>0x1000</v>
      </c>
      <c r="J1642" s="41">
        <v>40473</v>
      </c>
      <c r="K1642" s="42"/>
    </row>
    <row r="1643" spans="2:11" s="179" customFormat="1" hidden="1" outlineLevel="1">
      <c r="B1643" s="178">
        <v>1637</v>
      </c>
      <c r="C1643" s="44"/>
      <c r="D1643" s="45"/>
      <c r="E1643" s="39" t="s">
        <v>325</v>
      </c>
      <c r="F1643" s="180" t="s">
        <v>2067</v>
      </c>
      <c r="G1643" s="40" t="s">
        <v>88</v>
      </c>
      <c r="H1643" s="46" t="s">
        <v>89</v>
      </c>
      <c r="I1643" s="51" t="str">
        <f>"0x"&amp;AE_w_WORK!P106</f>
        <v>0x2223</v>
      </c>
      <c r="J1643" s="41">
        <v>40473</v>
      </c>
      <c r="K1643" s="42"/>
    </row>
    <row r="1644" spans="2:11" s="179" customFormat="1" hidden="1" outlineLevel="1">
      <c r="B1644" s="178">
        <v>1638</v>
      </c>
      <c r="C1644" s="44"/>
      <c r="D1644" s="45"/>
      <c r="E1644" s="39" t="s">
        <v>325</v>
      </c>
      <c r="F1644" s="180" t="s">
        <v>2068</v>
      </c>
      <c r="G1644" s="40" t="s">
        <v>90</v>
      </c>
      <c r="H1644" s="46" t="s">
        <v>91</v>
      </c>
      <c r="I1644" s="51" t="str">
        <f>"0x"&amp;AE_w_WORK!P107</f>
        <v>0x3333</v>
      </c>
      <c r="J1644" s="41">
        <v>40473</v>
      </c>
      <c r="K1644" s="42"/>
    </row>
    <row r="1645" spans="2:11" s="179" customFormat="1" hidden="1" outlineLevel="1">
      <c r="B1645" s="178">
        <v>1639</v>
      </c>
      <c r="C1645" s="44"/>
      <c r="D1645" s="45"/>
      <c r="E1645" s="39" t="s">
        <v>325</v>
      </c>
      <c r="F1645" s="180" t="s">
        <v>2069</v>
      </c>
      <c r="G1645" s="40" t="s">
        <v>92</v>
      </c>
      <c r="H1645" s="46" t="s">
        <v>93</v>
      </c>
      <c r="I1645" s="51" t="str">
        <f>"0x"&amp;AE_w_WORK!P108</f>
        <v>0x3222</v>
      </c>
      <c r="J1645" s="41">
        <v>40473</v>
      </c>
      <c r="K1645" s="42"/>
    </row>
    <row r="1646" spans="2:11" s="179" customFormat="1" hidden="1" outlineLevel="1">
      <c r="B1646" s="178">
        <v>1640</v>
      </c>
      <c r="C1646" s="44"/>
      <c r="D1646" s="45"/>
      <c r="E1646" s="39" t="s">
        <v>325</v>
      </c>
      <c r="F1646" s="180" t="s">
        <v>2070</v>
      </c>
      <c r="G1646" s="40" t="s">
        <v>94</v>
      </c>
      <c r="H1646" s="46" t="s">
        <v>95</v>
      </c>
      <c r="I1646" s="51" t="str">
        <f>"0x"&amp;AE_w_WORK!P109</f>
        <v>0x1000</v>
      </c>
      <c r="J1646" s="41">
        <v>40473</v>
      </c>
      <c r="K1646" s="42"/>
    </row>
    <row r="1647" spans="2:11" s="179" customFormat="1" hidden="1" outlineLevel="1">
      <c r="B1647" s="178">
        <v>1641</v>
      </c>
      <c r="C1647" s="44"/>
      <c r="D1647" s="45"/>
      <c r="E1647" s="39" t="s">
        <v>325</v>
      </c>
      <c r="F1647" s="180" t="s">
        <v>2071</v>
      </c>
      <c r="G1647" s="40" t="s">
        <v>96</v>
      </c>
      <c r="H1647" s="46" t="s">
        <v>97</v>
      </c>
      <c r="I1647" s="51" t="str">
        <f>"0x"&amp;AE_w_WORK!P110</f>
        <v>0x2222</v>
      </c>
      <c r="J1647" s="41">
        <v>40473</v>
      </c>
      <c r="K1647" s="42"/>
    </row>
    <row r="1648" spans="2:11" s="179" customFormat="1" hidden="1" outlineLevel="1">
      <c r="B1648" s="178">
        <v>1642</v>
      </c>
      <c r="C1648" s="44"/>
      <c r="D1648" s="45"/>
      <c r="E1648" s="39" t="s">
        <v>325</v>
      </c>
      <c r="F1648" s="180" t="s">
        <v>2072</v>
      </c>
      <c r="G1648" s="40" t="s">
        <v>98</v>
      </c>
      <c r="H1648" s="46" t="s">
        <v>99</v>
      </c>
      <c r="I1648" s="51" t="str">
        <f>"0x"&amp;AE_w_WORK!P111</f>
        <v>0x2222</v>
      </c>
      <c r="J1648" s="41">
        <v>40473</v>
      </c>
      <c r="K1648" s="42"/>
    </row>
    <row r="1649" spans="2:11" s="179" customFormat="1" hidden="1" outlineLevel="1">
      <c r="B1649" s="178">
        <v>1643</v>
      </c>
      <c r="C1649" s="44"/>
      <c r="D1649" s="45"/>
      <c r="E1649" s="39" t="s">
        <v>325</v>
      </c>
      <c r="F1649" s="180" t="s">
        <v>2073</v>
      </c>
      <c r="G1649" s="40" t="s">
        <v>100</v>
      </c>
      <c r="H1649" s="46" t="s">
        <v>101</v>
      </c>
      <c r="I1649" s="51" t="str">
        <f>"0x"&amp;AE_w_WORK!P112</f>
        <v>0x2221</v>
      </c>
      <c r="J1649" s="41">
        <v>40473</v>
      </c>
      <c r="K1649" s="42"/>
    </row>
    <row r="1650" spans="2:11" s="179" customFormat="1" hidden="1" outlineLevel="1">
      <c r="B1650" s="178">
        <v>1644</v>
      </c>
      <c r="C1650" s="44"/>
      <c r="D1650" s="45"/>
      <c r="E1650" s="39" t="s">
        <v>325</v>
      </c>
      <c r="F1650" s="180" t="s">
        <v>2074</v>
      </c>
      <c r="G1650" s="40" t="s">
        <v>102</v>
      </c>
      <c r="H1650" s="46" t="s">
        <v>103</v>
      </c>
      <c r="I1650" s="51" t="str">
        <f>"0x"&amp;AE_w_WORK!P113</f>
        <v>0x0000</v>
      </c>
      <c r="J1650" s="41">
        <v>40473</v>
      </c>
      <c r="K1650" s="42"/>
    </row>
    <row r="1651" spans="2:11" s="179" customFormat="1" hidden="1" outlineLevel="1">
      <c r="B1651" s="178">
        <v>1645</v>
      </c>
      <c r="C1651" s="44"/>
      <c r="D1651" s="45"/>
      <c r="E1651" s="39" t="s">
        <v>325</v>
      </c>
      <c r="F1651" s="180" t="s">
        <v>2075</v>
      </c>
      <c r="G1651" s="40" t="s">
        <v>104</v>
      </c>
      <c r="H1651" s="46" t="s">
        <v>105</v>
      </c>
      <c r="I1651" s="51" t="str">
        <f>"0x"&amp;AE_w_WORK!P114</f>
        <v>0x1112</v>
      </c>
      <c r="J1651" s="41">
        <v>40473</v>
      </c>
      <c r="K1651" s="42"/>
    </row>
    <row r="1652" spans="2:11" s="179" customFormat="1" hidden="1" outlineLevel="1">
      <c r="B1652" s="178">
        <v>1646</v>
      </c>
      <c r="C1652" s="44"/>
      <c r="D1652" s="45"/>
      <c r="E1652" s="39" t="s">
        <v>325</v>
      </c>
      <c r="F1652" s="180" t="s">
        <v>2076</v>
      </c>
      <c r="G1652" s="40" t="s">
        <v>106</v>
      </c>
      <c r="H1652" s="46" t="s">
        <v>107</v>
      </c>
      <c r="I1652" s="51" t="str">
        <f>"0x"&amp;AE_w_WORK!P115</f>
        <v>0x2222</v>
      </c>
      <c r="J1652" s="41">
        <v>40473</v>
      </c>
      <c r="K1652" s="42"/>
    </row>
    <row r="1653" spans="2:11" s="179" customFormat="1" hidden="1" outlineLevel="1">
      <c r="B1653" s="178">
        <v>1647</v>
      </c>
      <c r="C1653" s="44"/>
      <c r="D1653" s="45"/>
      <c r="E1653" s="39" t="s">
        <v>325</v>
      </c>
      <c r="F1653" s="180" t="s">
        <v>2077</v>
      </c>
      <c r="G1653" s="40" t="s">
        <v>108</v>
      </c>
      <c r="H1653" s="46" t="s">
        <v>109</v>
      </c>
      <c r="I1653" s="51" t="str">
        <f>"0x"&amp;AE_w_WORK!P116</f>
        <v>0x2211</v>
      </c>
      <c r="J1653" s="41">
        <v>40473</v>
      </c>
      <c r="K1653" s="42"/>
    </row>
    <row r="1654" spans="2:11" s="179" customFormat="1" hidden="1" outlineLevel="1">
      <c r="B1654" s="178">
        <v>1648</v>
      </c>
      <c r="C1654" s="44"/>
      <c r="D1654" s="45"/>
      <c r="E1654" s="39" t="s">
        <v>325</v>
      </c>
      <c r="F1654" s="180" t="s">
        <v>2078</v>
      </c>
      <c r="G1654" s="40" t="s">
        <v>110</v>
      </c>
      <c r="H1654" s="46" t="s">
        <v>111</v>
      </c>
      <c r="I1654" s="51" t="str">
        <f>"0x"&amp;AE_w_WORK!P117</f>
        <v>0x0000</v>
      </c>
      <c r="J1654" s="41">
        <v>40473</v>
      </c>
      <c r="K1654" s="42"/>
    </row>
    <row r="1655" spans="2:11" s="179" customFormat="1" hidden="1" outlineLevel="1">
      <c r="B1655" s="178">
        <v>1649</v>
      </c>
      <c r="C1655" s="44"/>
      <c r="D1655" s="45"/>
      <c r="E1655" s="39" t="s">
        <v>325</v>
      </c>
      <c r="F1655" s="180" t="s">
        <v>2079</v>
      </c>
      <c r="G1655" s="40" t="s">
        <v>112</v>
      </c>
      <c r="H1655" s="46" t="s">
        <v>113</v>
      </c>
      <c r="I1655" s="51" t="str">
        <f>"0x"&amp;AE_w_WORK!P118</f>
        <v>0x1111</v>
      </c>
      <c r="J1655" s="41">
        <v>40473</v>
      </c>
      <c r="K1655" s="42"/>
    </row>
    <row r="1656" spans="2:11" s="179" customFormat="1" hidden="1" outlineLevel="1">
      <c r="B1656" s="178">
        <v>1650</v>
      </c>
      <c r="C1656" s="44"/>
      <c r="D1656" s="45"/>
      <c r="E1656" s="39" t="s">
        <v>325</v>
      </c>
      <c r="F1656" s="180" t="s">
        <v>2080</v>
      </c>
      <c r="G1656" s="40" t="s">
        <v>114</v>
      </c>
      <c r="H1656" s="46" t="s">
        <v>115</v>
      </c>
      <c r="I1656" s="51" t="str">
        <f>"0x"&amp;AE_w_WORK!P119</f>
        <v>0x1111</v>
      </c>
      <c r="J1656" s="41">
        <v>40473</v>
      </c>
      <c r="K1656" s="42"/>
    </row>
    <row r="1657" spans="2:11" s="179" customFormat="1" hidden="1" outlineLevel="1">
      <c r="B1657" s="178">
        <v>1651</v>
      </c>
      <c r="C1657" s="44"/>
      <c r="D1657" s="45"/>
      <c r="E1657" s="39" t="s">
        <v>325</v>
      </c>
      <c r="F1657" s="180" t="s">
        <v>2081</v>
      </c>
      <c r="G1657" s="40" t="s">
        <v>116</v>
      </c>
      <c r="H1657" s="46" t="s">
        <v>117</v>
      </c>
      <c r="I1657" s="51" t="str">
        <f>"0x"&amp;AE_w_WORK!P120</f>
        <v>0x1110</v>
      </c>
      <c r="J1657" s="41">
        <v>40473</v>
      </c>
      <c r="K1657" s="42"/>
    </row>
    <row r="1658" spans="2:11" s="179" customFormat="1" hidden="1" outlineLevel="1">
      <c r="B1658" s="178">
        <v>1652</v>
      </c>
      <c r="C1658" s="44"/>
      <c r="D1658" s="45"/>
      <c r="E1658" s="39" t="s">
        <v>325</v>
      </c>
      <c r="F1658" s="180" t="s">
        <v>2082</v>
      </c>
      <c r="G1658" s="40" t="s">
        <v>118</v>
      </c>
      <c r="H1658" s="46" t="s">
        <v>119</v>
      </c>
      <c r="I1658" s="51" t="str">
        <f>"0x"&amp;AE_w_WORK!P121</f>
        <v>0x0000</v>
      </c>
      <c r="J1658" s="41">
        <v>40473</v>
      </c>
      <c r="K1658" s="42"/>
    </row>
    <row r="1659" spans="2:11" s="179" customFormat="1" hidden="1" outlineLevel="1">
      <c r="B1659" s="178">
        <v>1653</v>
      </c>
      <c r="C1659" s="44"/>
      <c r="D1659" s="45"/>
      <c r="E1659" s="39" t="s">
        <v>325</v>
      </c>
      <c r="F1659" s="180" t="s">
        <v>2083</v>
      </c>
      <c r="G1659" s="40" t="s">
        <v>120</v>
      </c>
      <c r="H1659" s="46" t="s">
        <v>264</v>
      </c>
      <c r="I1659" s="51" t="str">
        <f>"0x"&amp;AE_w_WORK!P122</f>
        <v>0x1111</v>
      </c>
      <c r="J1659" s="41">
        <v>40473</v>
      </c>
      <c r="K1659" s="42"/>
    </row>
    <row r="1660" spans="2:11" s="179" customFormat="1" hidden="1" outlineLevel="1">
      <c r="B1660" s="178">
        <v>1654</v>
      </c>
      <c r="C1660" s="44"/>
      <c r="D1660" s="45"/>
      <c r="E1660" s="39" t="s">
        <v>325</v>
      </c>
      <c r="F1660" s="180" t="s">
        <v>2084</v>
      </c>
      <c r="G1660" s="40" t="s">
        <v>0</v>
      </c>
      <c r="H1660" s="46" t="s">
        <v>1</v>
      </c>
      <c r="I1660" s="51" t="str">
        <f>"0x"&amp;AE_w_WORK!P123</f>
        <v>0x1111</v>
      </c>
      <c r="J1660" s="41">
        <v>40473</v>
      </c>
      <c r="K1660" s="42"/>
    </row>
    <row r="1661" spans="2:11" s="179" customFormat="1" hidden="1" outlineLevel="1">
      <c r="B1661" s="178">
        <v>1655</v>
      </c>
      <c r="C1661" s="44"/>
      <c r="D1661" s="45"/>
      <c r="E1661" s="39" t="s">
        <v>325</v>
      </c>
      <c r="F1661" s="180" t="s">
        <v>2085</v>
      </c>
      <c r="G1661" s="40" t="s">
        <v>2</v>
      </c>
      <c r="H1661" s="46" t="s">
        <v>3</v>
      </c>
      <c r="I1661" s="51" t="str">
        <f>"0x"&amp;AE_w_WORK!P124</f>
        <v>0x1100</v>
      </c>
      <c r="J1661" s="41">
        <v>40473</v>
      </c>
      <c r="K1661" s="42"/>
    </row>
    <row r="1662" spans="2:11" s="179" customFormat="1" hidden="1" outlineLevel="1">
      <c r="B1662" s="178">
        <v>1656</v>
      </c>
      <c r="C1662" s="44"/>
      <c r="D1662" s="45"/>
      <c r="E1662" s="39" t="s">
        <v>325</v>
      </c>
      <c r="F1662" s="180" t="s">
        <v>2086</v>
      </c>
      <c r="G1662" s="40" t="s">
        <v>4</v>
      </c>
      <c r="H1662" s="46" t="s">
        <v>5</v>
      </c>
      <c r="I1662" s="51" t="str">
        <f>"0x"&amp;AE_w_WORK!P125</f>
        <v>0x0000</v>
      </c>
      <c r="J1662" s="41">
        <v>40473</v>
      </c>
      <c r="K1662" s="42"/>
    </row>
    <row r="1663" spans="2:11" s="179" customFormat="1" hidden="1" outlineLevel="1">
      <c r="B1663" s="178">
        <v>1657</v>
      </c>
      <c r="C1663" s="44"/>
      <c r="D1663" s="45"/>
      <c r="E1663" s="39" t="s">
        <v>325</v>
      </c>
      <c r="F1663" s="180" t="s">
        <v>2087</v>
      </c>
      <c r="G1663" s="40" t="s">
        <v>6</v>
      </c>
      <c r="H1663" s="46" t="s">
        <v>7</v>
      </c>
      <c r="I1663" s="51" t="str">
        <f>"0x"&amp;AE_w_WORK!P126</f>
        <v>0x0000</v>
      </c>
      <c r="J1663" s="41">
        <v>40473</v>
      </c>
      <c r="K1663" s="42"/>
    </row>
    <row r="1664" spans="2:11" s="179" customFormat="1" hidden="1" outlineLevel="1">
      <c r="B1664" s="178">
        <v>1658</v>
      </c>
      <c r="C1664" s="44"/>
      <c r="D1664" s="45"/>
      <c r="E1664" s="39" t="s">
        <v>325</v>
      </c>
      <c r="F1664" s="180" t="s">
        <v>2088</v>
      </c>
      <c r="G1664" s="40" t="s">
        <v>8</v>
      </c>
      <c r="H1664" s="46" t="s">
        <v>9</v>
      </c>
      <c r="I1664" s="51" t="str">
        <f>"0x"&amp;AE_w_WORK!P127</f>
        <v>0x0000</v>
      </c>
      <c r="J1664" s="41">
        <v>40473</v>
      </c>
      <c r="K1664" s="42"/>
    </row>
    <row r="1665" spans="2:11" s="179" customFormat="1" hidden="1" outlineLevel="1">
      <c r="B1665" s="178">
        <v>1659</v>
      </c>
      <c r="C1665" s="44"/>
      <c r="D1665" s="45"/>
      <c r="E1665" s="39" t="s">
        <v>325</v>
      </c>
      <c r="F1665" s="180" t="s">
        <v>2089</v>
      </c>
      <c r="G1665" s="40" t="s">
        <v>10</v>
      </c>
      <c r="H1665" s="46" t="s">
        <v>11</v>
      </c>
      <c r="I1665" s="51" t="str">
        <f>"0x"&amp;AE_w_WORK!P128</f>
        <v>0x0000</v>
      </c>
      <c r="J1665" s="41">
        <v>40473</v>
      </c>
      <c r="K1665" s="42"/>
    </row>
    <row r="1666" spans="2:11" s="179" customFormat="1" hidden="1" outlineLevel="1">
      <c r="B1666" s="178">
        <v>1660</v>
      </c>
      <c r="C1666" s="44"/>
      <c r="D1666" s="45"/>
      <c r="E1666" s="39" t="s">
        <v>325</v>
      </c>
      <c r="F1666" s="180" t="s">
        <v>2090</v>
      </c>
      <c r="G1666" s="40" t="s">
        <v>12</v>
      </c>
      <c r="H1666" s="46" t="s">
        <v>13</v>
      </c>
      <c r="I1666" s="51" t="str">
        <f>"0x"&amp;AE_w_WORK!P129</f>
        <v>0x0000</v>
      </c>
      <c r="J1666" s="41">
        <v>40473</v>
      </c>
      <c r="K1666" s="42"/>
    </row>
    <row r="1667" spans="2:11" s="179" customFormat="1" hidden="1" outlineLevel="1">
      <c r="B1667" s="178">
        <v>1661</v>
      </c>
      <c r="C1667" s="44"/>
      <c r="D1667" s="45"/>
      <c r="E1667" s="39" t="s">
        <v>325</v>
      </c>
      <c r="F1667" s="180" t="s">
        <v>2091</v>
      </c>
      <c r="G1667" s="40" t="s">
        <v>14</v>
      </c>
      <c r="H1667" s="46" t="s">
        <v>15</v>
      </c>
      <c r="I1667" s="51" t="str">
        <f>"0x"&amp;AE_w_WORK!P130</f>
        <v>0x0000</v>
      </c>
      <c r="J1667" s="41">
        <v>40473</v>
      </c>
      <c r="K1667" s="42"/>
    </row>
    <row r="1668" spans="2:11" s="179" customFormat="1" hidden="1" outlineLevel="1">
      <c r="B1668" s="178">
        <v>1662</v>
      </c>
      <c r="C1668" s="44"/>
      <c r="D1668" s="45"/>
      <c r="E1668" s="39" t="s">
        <v>325</v>
      </c>
      <c r="F1668" s="180" t="s">
        <v>2092</v>
      </c>
      <c r="G1668" s="40" t="s">
        <v>16</v>
      </c>
      <c r="H1668" s="46" t="s">
        <v>17</v>
      </c>
      <c r="I1668" s="51" t="str">
        <f>"0x"&amp;AE_w_WORK!P131</f>
        <v>0x0000</v>
      </c>
      <c r="J1668" s="41">
        <v>40473</v>
      </c>
      <c r="K1668" s="42"/>
    </row>
    <row r="1669" spans="2:11" s="179" customFormat="1" hidden="1" outlineLevel="1">
      <c r="B1669" s="178">
        <v>1663</v>
      </c>
      <c r="C1669" s="44"/>
      <c r="D1669" s="45"/>
      <c r="E1669" s="39" t="s">
        <v>325</v>
      </c>
      <c r="F1669" s="180" t="s">
        <v>2093</v>
      </c>
      <c r="G1669" s="40" t="s">
        <v>18</v>
      </c>
      <c r="H1669" s="46" t="s">
        <v>19</v>
      </c>
      <c r="I1669" s="51" t="str">
        <f>"0x"&amp;AE_w_WORK!P132</f>
        <v>0x0000</v>
      </c>
      <c r="J1669" s="41">
        <v>40473</v>
      </c>
      <c r="K1669" s="42"/>
    </row>
    <row r="1670" spans="2:11" s="179" customFormat="1" hidden="1" outlineLevel="1">
      <c r="B1670" s="178">
        <v>1664</v>
      </c>
      <c r="C1670" s="44"/>
      <c r="D1670" s="45"/>
      <c r="E1670" s="39" t="s">
        <v>325</v>
      </c>
      <c r="F1670" s="180" t="s">
        <v>2094</v>
      </c>
      <c r="G1670" s="40" t="s">
        <v>20</v>
      </c>
      <c r="H1670" s="46" t="s">
        <v>21</v>
      </c>
      <c r="I1670" s="51" t="str">
        <f>"0x"&amp;AE_w_WORK!P133</f>
        <v>0x0000</v>
      </c>
      <c r="J1670" s="41">
        <v>40473</v>
      </c>
      <c r="K1670" s="42"/>
    </row>
    <row r="1671" spans="2:11">
      <c r="B1671" s="30"/>
      <c r="C1671" s="48" t="s">
        <v>265</v>
      </c>
      <c r="D1671" s="163"/>
      <c r="E1671" s="159"/>
      <c r="F1671" s="180" t="s">
        <v>2095</v>
      </c>
      <c r="G1671" s="49" t="s">
        <v>331</v>
      </c>
      <c r="H1671" s="49"/>
      <c r="I1671" s="31"/>
      <c r="J1671" s="41"/>
      <c r="K1671" s="161"/>
    </row>
    <row r="1672" spans="2:11">
      <c r="E1672" s="17"/>
      <c r="F1672" s="158">
        <f>HEX2DEC(MID(F1671,3,10))/1024</f>
        <v>3.25</v>
      </c>
    </row>
    <row r="1673" spans="2:11">
      <c r="E1673" s="17"/>
    </row>
  </sheetData>
  <sheetProtection formatCells="0" formatColumns="0" formatRows="0" insertColumns="0" insertRows="0" insertHyperlinks="0" deleteColumns="0" deleteRows="0" sort="0" autoFilter="0" pivotTables="0"/>
  <autoFilter ref="B1:N1673"/>
  <phoneticPr fontId="10"/>
  <conditionalFormatting sqref="G7:H1671">
    <cfRule type="expression" dxfId="229" priority="532" stopIfTrue="1">
      <formula>MOD(RAW(),2)=1</formula>
    </cfRule>
  </conditionalFormatting>
  <conditionalFormatting sqref="G1031:H1670">
    <cfRule type="expression" dxfId="228" priority="6" stopIfTrue="1">
      <formula>MOD(RAW(),2)=1</formula>
    </cfRule>
  </conditionalFormatting>
  <pageMargins left="0.78700000000000003" right="0.78700000000000003" top="0.98399999999999999" bottom="0.98399999999999999" header="0.51200000000000001" footer="0.51200000000000001"/>
  <pageSetup paperSize="9" scale="14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2:M28"/>
  <sheetViews>
    <sheetView zoomScale="85" zoomScaleNormal="85" workbookViewId="0"/>
  </sheetViews>
  <sheetFormatPr defaultColWidth="9" defaultRowHeight="12.75"/>
  <cols>
    <col min="1" max="1" width="3.75" style="52" customWidth="1"/>
    <col min="2" max="2" width="38" style="52" bestFit="1" customWidth="1"/>
    <col min="3" max="3" width="18.25" style="52" bestFit="1" customWidth="1"/>
    <col min="4" max="4" width="20.25" style="52" bestFit="1" customWidth="1"/>
    <col min="5" max="5" width="23" style="43" customWidth="1"/>
    <col min="6" max="6" width="7.625" style="55" bestFit="1" customWidth="1"/>
    <col min="7" max="7" width="8.25" style="55" customWidth="1"/>
    <col min="8" max="8" width="6.375" style="52" bestFit="1" customWidth="1"/>
    <col min="9" max="9" width="20.5" style="52" customWidth="1"/>
    <col min="10" max="10" width="21.875" style="52" bestFit="1" customWidth="1"/>
    <col min="11" max="11" width="10.5" style="52" customWidth="1"/>
    <col min="12" max="12" width="7" style="52" customWidth="1"/>
    <col min="13" max="13" width="3.75" style="52" bestFit="1" customWidth="1"/>
    <col min="14" max="16384" width="9" style="52"/>
  </cols>
  <sheetData>
    <row r="2" spans="1:13">
      <c r="D2" s="53"/>
      <c r="E2" s="54"/>
    </row>
    <row r="3" spans="1:13">
      <c r="D3" s="53"/>
      <c r="E3" s="54"/>
      <c r="F3" s="56"/>
    </row>
    <row r="4" spans="1:13">
      <c r="D4" s="53"/>
      <c r="E4" s="54"/>
    </row>
    <row r="5" spans="1:13" ht="13.5" thickBot="1">
      <c r="D5" s="53"/>
      <c r="E5" s="54"/>
    </row>
    <row r="6" spans="1:13" ht="14.25">
      <c r="B6" s="52" t="s">
        <v>285</v>
      </c>
      <c r="C6" s="57" t="s">
        <v>267</v>
      </c>
      <c r="D6" s="58" t="s">
        <v>388</v>
      </c>
      <c r="F6" s="56" t="s">
        <v>288</v>
      </c>
    </row>
    <row r="7" spans="1:13">
      <c r="C7" s="59" t="s">
        <v>268</v>
      </c>
      <c r="D7" s="60" t="s">
        <v>389</v>
      </c>
      <c r="F7" s="56" t="s">
        <v>296</v>
      </c>
    </row>
    <row r="8" spans="1:13" ht="14.25">
      <c r="C8" s="59" t="s">
        <v>269</v>
      </c>
      <c r="D8" s="60" t="s">
        <v>391</v>
      </c>
      <c r="F8" s="56" t="s">
        <v>291</v>
      </c>
    </row>
    <row r="9" spans="1:13">
      <c r="C9" s="59" t="s">
        <v>270</v>
      </c>
      <c r="D9" s="60" t="s">
        <v>122</v>
      </c>
      <c r="E9" s="54"/>
      <c r="F9" s="56" t="s">
        <v>293</v>
      </c>
    </row>
    <row r="10" spans="1:13">
      <c r="C10" s="59" t="s">
        <v>271</v>
      </c>
      <c r="D10" s="60" t="s">
        <v>390</v>
      </c>
      <c r="E10" s="52"/>
      <c r="F10" s="56" t="s">
        <v>292</v>
      </c>
    </row>
    <row r="11" spans="1:13">
      <c r="C11" s="59" t="s">
        <v>272</v>
      </c>
      <c r="D11" s="60" t="s">
        <v>392</v>
      </c>
      <c r="E11" s="52"/>
    </row>
    <row r="12" spans="1:13">
      <c r="C12" s="59" t="s">
        <v>273</v>
      </c>
      <c r="D12" s="60" t="s">
        <v>393</v>
      </c>
      <c r="E12" s="52"/>
      <c r="H12" s="55"/>
      <c r="I12" s="55"/>
    </row>
    <row r="13" spans="1:13" ht="13.5" thickBot="1">
      <c r="C13" s="61" t="s">
        <v>274</v>
      </c>
      <c r="D13" s="62" t="s">
        <v>124</v>
      </c>
      <c r="H13" s="55"/>
      <c r="I13" s="55"/>
    </row>
    <row r="14" spans="1:13" ht="13.5" thickBot="1">
      <c r="H14" s="55"/>
      <c r="I14" s="55"/>
      <c r="K14" s="52" t="s">
        <v>283</v>
      </c>
      <c r="M14" s="63"/>
    </row>
    <row r="15" spans="1:13" ht="13.5" thickBot="1">
      <c r="A15" s="64"/>
      <c r="B15" s="65" t="s">
        <v>275</v>
      </c>
      <c r="C15" s="65" t="s">
        <v>276</v>
      </c>
      <c r="D15" s="65" t="s">
        <v>273</v>
      </c>
      <c r="E15" s="65" t="s">
        <v>277</v>
      </c>
      <c r="F15" s="66" t="s">
        <v>278</v>
      </c>
      <c r="G15" s="66" t="s">
        <v>290</v>
      </c>
      <c r="H15" s="66" t="s">
        <v>279</v>
      </c>
      <c r="I15" s="66" t="s">
        <v>280</v>
      </c>
      <c r="J15" s="66" t="s">
        <v>289</v>
      </c>
      <c r="K15" s="66" t="s">
        <v>286</v>
      </c>
      <c r="L15" s="66" t="s">
        <v>287</v>
      </c>
      <c r="M15" s="67"/>
    </row>
    <row r="16" spans="1:13">
      <c r="B16" s="52" t="s">
        <v>266</v>
      </c>
      <c r="C16" s="74" t="str">
        <f>VLOOKUP(B16,ROM_MAP!$C$1:$F$27535,4,FALSE)</f>
        <v>0x00000000</v>
      </c>
      <c r="D16" s="52" t="s">
        <v>121</v>
      </c>
      <c r="E16" s="52" t="s">
        <v>75</v>
      </c>
      <c r="F16" s="73" t="str">
        <f>"B"&amp;ROW(B23)</f>
        <v>B23</v>
      </c>
      <c r="G16" s="68">
        <v>2</v>
      </c>
      <c r="H16" s="55"/>
      <c r="I16" s="55">
        <v>13</v>
      </c>
      <c r="J16" s="55"/>
    </row>
    <row r="17" spans="1:13">
      <c r="B17" s="52" t="s">
        <v>321</v>
      </c>
      <c r="C17" s="74" t="str">
        <f>VLOOKUP(B17,ROM_MAP!$C$7:$F$27535,4,FALSE)</f>
        <v>0x00000D00</v>
      </c>
      <c r="E17" s="52"/>
      <c r="K17" s="55"/>
      <c r="L17" s="55"/>
      <c r="M17" s="63"/>
    </row>
    <row r="18" spans="1:13" ht="15" thickBot="1">
      <c r="B18" s="69"/>
      <c r="E18" s="52"/>
      <c r="H18" s="55"/>
      <c r="I18" s="55"/>
      <c r="J18" s="55"/>
      <c r="K18" s="55"/>
      <c r="L18" s="55"/>
      <c r="M18" s="63"/>
    </row>
    <row r="19" spans="1:13" s="70" customFormat="1" ht="13.5" thickBot="1">
      <c r="B19" s="64" t="s">
        <v>297</v>
      </c>
      <c r="C19" s="65"/>
      <c r="D19" s="65"/>
      <c r="E19" s="65"/>
      <c r="F19" s="66"/>
      <c r="G19" s="66"/>
      <c r="H19" s="65"/>
      <c r="I19" s="65"/>
      <c r="J19" s="65"/>
      <c r="K19" s="65"/>
      <c r="L19" s="71"/>
    </row>
    <row r="22" spans="1:13">
      <c r="B22" s="52" t="s">
        <v>298</v>
      </c>
      <c r="D22" s="43"/>
      <c r="H22" s="55"/>
      <c r="I22" s="55"/>
    </row>
    <row r="23" spans="1:13">
      <c r="B23" s="52" t="s">
        <v>266</v>
      </c>
      <c r="C23" s="74" t="str">
        <f>VLOOKUP(B23,B16:C16,2,FALSE)</f>
        <v>0x00000000</v>
      </c>
      <c r="D23" s="72" t="s">
        <v>322</v>
      </c>
      <c r="E23" s="43" t="s">
        <v>123</v>
      </c>
      <c r="G23" s="55">
        <v>1</v>
      </c>
      <c r="H23" s="55">
        <v>1</v>
      </c>
      <c r="I23" s="55">
        <v>1</v>
      </c>
      <c r="J23" s="52">
        <v>1</v>
      </c>
    </row>
    <row r="24" spans="1:13">
      <c r="B24" s="52" t="s">
        <v>265</v>
      </c>
      <c r="C24" s="74" t="str">
        <f>"0x"&amp;DEC2HEX(HEX2DEC(REPLACE(C23,1,2,""))+256,8)</f>
        <v>0x00000100</v>
      </c>
      <c r="D24" s="43"/>
      <c r="H24" s="55"/>
      <c r="I24" s="55"/>
    </row>
    <row r="25" spans="1:13">
      <c r="D25" s="43"/>
      <c r="H25" s="55"/>
      <c r="I25" s="55"/>
    </row>
    <row r="26" spans="1:13">
      <c r="A26" s="162"/>
      <c r="B26" s="162"/>
      <c r="C26" s="162"/>
      <c r="D26" s="162"/>
    </row>
    <row r="27" spans="1:13">
      <c r="A27" s="162"/>
      <c r="B27" s="162"/>
      <c r="C27" s="162"/>
      <c r="D27" s="162"/>
    </row>
    <row r="28" spans="1:13">
      <c r="A28" s="162"/>
      <c r="B28" s="162"/>
      <c r="C28" s="162"/>
      <c r="D28" s="162"/>
    </row>
  </sheetData>
  <sheetProtection formatCells="0"/>
  <phoneticPr fontId="10"/>
  <conditionalFormatting sqref="G16:G20">
    <cfRule type="cellIs" dxfId="227" priority="373" stopIfTrue="1" operator="equal">
      <formula>1</formula>
    </cfRule>
    <cfRule type="cellIs" dxfId="226" priority="374" stopIfTrue="1" operator="equal">
      <formula>2</formula>
    </cfRule>
    <cfRule type="cellIs" dxfId="225" priority="375" stopIfTrue="1" operator="equal">
      <formula>3</formula>
    </cfRule>
  </conditionalFormatting>
  <conditionalFormatting sqref="G22:G25">
    <cfRule type="cellIs" dxfId="224" priority="376" stopIfTrue="1" operator="equal">
      <formula>1</formula>
    </cfRule>
    <cfRule type="cellIs" dxfId="223" priority="377" stopIfTrue="1" operator="equal">
      <formula>2</formula>
    </cfRule>
    <cfRule type="cellIs" dxfId="222" priority="378" stopIfTrue="1" operator="equal">
      <formula>3</formula>
    </cfRule>
  </conditionalFormatting>
  <pageMargins left="0.78700000000000003" right="0.78700000000000003" top="0.98399999999999999" bottom="0.98399999999999999" header="0.51200000000000001" footer="0.51200000000000001"/>
  <pageSetup paperSize="9" scale="44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Line="0" autoPict="0" macro="[1]!ROM_HEAD_MAKE">
                <anchor moveWithCells="1" sizeWithCells="1">
                  <from>
                    <xdr:col>1</xdr:col>
                    <xdr:colOff>2438400</xdr:colOff>
                    <xdr:row>1</xdr:row>
                    <xdr:rowOff>0</xdr:rowOff>
                  </from>
                  <to>
                    <xdr:col>2</xdr:col>
                    <xdr:colOff>1371600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F468"/>
  <sheetViews>
    <sheetView zoomScale="70" zoomScaleNormal="70" workbookViewId="0"/>
  </sheetViews>
  <sheetFormatPr defaultColWidth="9" defaultRowHeight="14.25"/>
  <cols>
    <col min="1" max="1" width="2.375" style="105" customWidth="1"/>
    <col min="2" max="18" width="4.5" style="76" customWidth="1"/>
    <col min="19" max="19" width="4.125" style="76" customWidth="1"/>
    <col min="20" max="20" width="9" style="77" customWidth="1"/>
    <col min="21" max="21" width="4.375" style="106" customWidth="1"/>
    <col min="22" max="26" width="7" style="77" customWidth="1"/>
    <col min="27" max="29" width="9" style="77" customWidth="1"/>
    <col min="30" max="16384" width="9" style="77"/>
  </cols>
  <sheetData>
    <row r="1" spans="1:29">
      <c r="A1" s="75" t="s">
        <v>302</v>
      </c>
      <c r="U1" s="78"/>
    </row>
    <row r="2" spans="1:29" ht="15" thickBot="1">
      <c r="A2" s="79" t="s">
        <v>303</v>
      </c>
      <c r="U2" s="6" t="str">
        <f>A1&amp;"Work領域"</f>
        <v>Setting of AE Weight TableWork領域</v>
      </c>
      <c r="AA2" s="80" t="s">
        <v>305</v>
      </c>
      <c r="AB2" s="81"/>
    </row>
    <row r="3" spans="1:29" s="81" customFormat="1" ht="15" thickBot="1">
      <c r="A3" s="80" t="s">
        <v>304</v>
      </c>
      <c r="U3" s="8" t="str">
        <f>A3</f>
        <v>1.All block integral (Storage to ROM)</v>
      </c>
      <c r="AA3" s="82" t="s">
        <v>306</v>
      </c>
      <c r="AB3" s="83" t="s">
        <v>307</v>
      </c>
    </row>
    <row r="4" spans="1:29" s="81" customFormat="1" ht="15.75" thickTop="1" thickBot="1">
      <c r="A4" s="80"/>
      <c r="C4" s="84">
        <v>0</v>
      </c>
      <c r="D4" s="84">
        <v>1</v>
      </c>
      <c r="E4" s="84">
        <v>2</v>
      </c>
      <c r="F4" s="84">
        <v>3</v>
      </c>
      <c r="G4" s="84">
        <v>4</v>
      </c>
      <c r="H4" s="84">
        <v>5</v>
      </c>
      <c r="I4" s="84">
        <v>6</v>
      </c>
      <c r="J4" s="84">
        <v>7</v>
      </c>
      <c r="K4" s="84">
        <v>8</v>
      </c>
      <c r="L4" s="84">
        <v>9</v>
      </c>
      <c r="M4" s="84">
        <v>10</v>
      </c>
      <c r="N4" s="84">
        <v>11</v>
      </c>
      <c r="O4" s="84">
        <v>12</v>
      </c>
      <c r="P4" s="84">
        <v>13</v>
      </c>
      <c r="Q4" s="84">
        <v>14</v>
      </c>
      <c r="R4" s="84">
        <v>15</v>
      </c>
      <c r="U4" s="85"/>
      <c r="V4" s="7" t="str">
        <f t="shared" ref="V4" si="0">C4&amp;D4&amp;E4&amp;F4</f>
        <v>0123</v>
      </c>
      <c r="W4" s="7" t="str">
        <f t="shared" ref="W4" si="1">G4&amp;H4&amp;I4&amp;J4</f>
        <v>4567</v>
      </c>
      <c r="X4" s="7" t="str">
        <f t="shared" ref="X4" si="2">K4&amp;L4&amp;M4&amp;N4</f>
        <v>891011</v>
      </c>
      <c r="Y4" s="7" t="str">
        <f t="shared" ref="Y4" si="3">O4&amp;P4&amp;Q4&amp;R4</f>
        <v>12131415</v>
      </c>
      <c r="AA4" s="86">
        <v>15</v>
      </c>
      <c r="AB4" s="87">
        <v>15</v>
      </c>
    </row>
    <row r="5" spans="1:29" s="81" customFormat="1" ht="14.1" customHeight="1">
      <c r="A5" s="80"/>
      <c r="B5" s="84">
        <v>0</v>
      </c>
      <c r="C5" s="111">
        <v>15</v>
      </c>
      <c r="D5" s="112">
        <v>15</v>
      </c>
      <c r="E5" s="112">
        <v>15</v>
      </c>
      <c r="F5" s="112">
        <v>15</v>
      </c>
      <c r="G5" s="112">
        <v>15</v>
      </c>
      <c r="H5" s="112">
        <v>15</v>
      </c>
      <c r="I5" s="112">
        <v>15</v>
      </c>
      <c r="J5" s="112">
        <v>15</v>
      </c>
      <c r="K5" s="112">
        <v>15</v>
      </c>
      <c r="L5" s="112">
        <v>15</v>
      </c>
      <c r="M5" s="112">
        <v>15</v>
      </c>
      <c r="N5" s="112">
        <v>15</v>
      </c>
      <c r="O5" s="112">
        <v>15</v>
      </c>
      <c r="P5" s="112">
        <v>15</v>
      </c>
      <c r="Q5" s="112">
        <v>15</v>
      </c>
      <c r="R5" s="113">
        <v>15</v>
      </c>
      <c r="U5" s="9">
        <f t="shared" ref="U5:U36" si="4">B5</f>
        <v>0</v>
      </c>
      <c r="V5" s="7" t="str">
        <f>DEC2HEX(C5)&amp;DEC2HEX(D5)&amp;DEC2HEX(E5)&amp;DEC2HEX(F5)</f>
        <v>FFFF</v>
      </c>
      <c r="W5" s="7" t="str">
        <f>DEC2HEX(G5)&amp;DEC2HEX(H5)&amp;DEC2HEX(I5)&amp;DEC2HEX(J5)</f>
        <v>FFFF</v>
      </c>
      <c r="X5" s="7" t="str">
        <f>DEC2HEX(K5)&amp;DEC2HEX(L5)&amp;DEC2HEX(M5)&amp;DEC2HEX(N5)</f>
        <v>FFFF</v>
      </c>
      <c r="Y5" s="7" t="str">
        <f>DEC2HEX(O5)&amp;DEC2HEX(P5)&amp;DEC2HEX(Q5)&amp;DEC2HEX(R5)</f>
        <v>FFFF</v>
      </c>
      <c r="AA5" s="89">
        <v>13</v>
      </c>
      <c r="AB5" s="90">
        <v>13</v>
      </c>
    </row>
    <row r="6" spans="1:29" s="81" customFormat="1" ht="14.1" customHeight="1">
      <c r="A6" s="80"/>
      <c r="B6" s="84">
        <v>1</v>
      </c>
      <c r="C6" s="114">
        <v>15</v>
      </c>
      <c r="D6" s="115">
        <v>15</v>
      </c>
      <c r="E6" s="115">
        <v>15</v>
      </c>
      <c r="F6" s="115">
        <v>15</v>
      </c>
      <c r="G6" s="115">
        <v>15</v>
      </c>
      <c r="H6" s="115">
        <v>15</v>
      </c>
      <c r="I6" s="115">
        <v>15</v>
      </c>
      <c r="J6" s="115">
        <v>15</v>
      </c>
      <c r="K6" s="115">
        <v>15</v>
      </c>
      <c r="L6" s="115">
        <v>15</v>
      </c>
      <c r="M6" s="115">
        <v>15</v>
      </c>
      <c r="N6" s="115">
        <v>15</v>
      </c>
      <c r="O6" s="115">
        <v>15</v>
      </c>
      <c r="P6" s="115">
        <v>15</v>
      </c>
      <c r="Q6" s="115">
        <v>15</v>
      </c>
      <c r="R6" s="116">
        <v>15</v>
      </c>
      <c r="U6" s="9">
        <f t="shared" si="4"/>
        <v>1</v>
      </c>
      <c r="V6" s="7" t="str">
        <f t="shared" ref="V6:V36" si="5">DEC2HEX(C6)&amp;DEC2HEX(D6)&amp;DEC2HEX(E6)&amp;DEC2HEX(F6)</f>
        <v>FFFF</v>
      </c>
      <c r="W6" s="7" t="str">
        <f t="shared" ref="W6:W36" si="6">DEC2HEX(G6)&amp;DEC2HEX(H6)&amp;DEC2HEX(I6)&amp;DEC2HEX(J6)</f>
        <v>FFFF</v>
      </c>
      <c r="X6" s="7" t="str">
        <f t="shared" ref="X6:X36" si="7">DEC2HEX(K6)&amp;DEC2HEX(L6)&amp;DEC2HEX(M6)&amp;DEC2HEX(N6)</f>
        <v>FFFF</v>
      </c>
      <c r="Y6" s="7" t="str">
        <f t="shared" ref="Y6:Y35" si="8">DEC2HEX(O6)&amp;DEC2HEX(P6)&amp;DEC2HEX(Q6)&amp;DEC2HEX(R6)</f>
        <v>FFFF</v>
      </c>
      <c r="AA6" s="91">
        <v>11</v>
      </c>
      <c r="AB6" s="92">
        <v>11</v>
      </c>
    </row>
    <row r="7" spans="1:29" s="81" customFormat="1" ht="14.1" customHeight="1">
      <c r="A7" s="80"/>
      <c r="B7" s="84">
        <v>2</v>
      </c>
      <c r="C7" s="114">
        <v>15</v>
      </c>
      <c r="D7" s="115">
        <v>15</v>
      </c>
      <c r="E7" s="115">
        <v>15</v>
      </c>
      <c r="F7" s="115">
        <v>15</v>
      </c>
      <c r="G7" s="115">
        <v>15</v>
      </c>
      <c r="H7" s="115">
        <v>15</v>
      </c>
      <c r="I7" s="115">
        <v>15</v>
      </c>
      <c r="J7" s="115">
        <v>15</v>
      </c>
      <c r="K7" s="115">
        <v>15</v>
      </c>
      <c r="L7" s="115">
        <v>15</v>
      </c>
      <c r="M7" s="115">
        <v>15</v>
      </c>
      <c r="N7" s="115">
        <v>15</v>
      </c>
      <c r="O7" s="115">
        <v>15</v>
      </c>
      <c r="P7" s="115">
        <v>15</v>
      </c>
      <c r="Q7" s="115">
        <v>15</v>
      </c>
      <c r="R7" s="116">
        <v>15</v>
      </c>
      <c r="U7" s="9">
        <f t="shared" si="4"/>
        <v>2</v>
      </c>
      <c r="V7" s="7" t="str">
        <f t="shared" si="5"/>
        <v>FFFF</v>
      </c>
      <c r="W7" s="7" t="str">
        <f t="shared" si="6"/>
        <v>FFFF</v>
      </c>
      <c r="X7" s="7" t="str">
        <f t="shared" si="7"/>
        <v>FFFF</v>
      </c>
      <c r="Y7" s="7" t="str">
        <f t="shared" si="8"/>
        <v>FFFF</v>
      </c>
      <c r="AA7" s="93">
        <v>8</v>
      </c>
      <c r="AB7" s="94">
        <v>8</v>
      </c>
    </row>
    <row r="8" spans="1:29" s="81" customFormat="1" ht="14.1" customHeight="1">
      <c r="A8" s="80"/>
      <c r="B8" s="84">
        <v>3</v>
      </c>
      <c r="C8" s="114">
        <v>15</v>
      </c>
      <c r="D8" s="115">
        <v>15</v>
      </c>
      <c r="E8" s="115">
        <v>15</v>
      </c>
      <c r="F8" s="115">
        <v>15</v>
      </c>
      <c r="G8" s="115">
        <v>15</v>
      </c>
      <c r="H8" s="115">
        <v>15</v>
      </c>
      <c r="I8" s="115">
        <v>15</v>
      </c>
      <c r="J8" s="115">
        <v>15</v>
      </c>
      <c r="K8" s="115">
        <v>15</v>
      </c>
      <c r="L8" s="115">
        <v>15</v>
      </c>
      <c r="M8" s="115">
        <v>15</v>
      </c>
      <c r="N8" s="115">
        <v>15</v>
      </c>
      <c r="O8" s="115">
        <v>15</v>
      </c>
      <c r="P8" s="115">
        <v>15</v>
      </c>
      <c r="Q8" s="115">
        <v>15</v>
      </c>
      <c r="R8" s="116">
        <v>15</v>
      </c>
      <c r="U8" s="9">
        <f t="shared" si="4"/>
        <v>3</v>
      </c>
      <c r="V8" s="7" t="str">
        <f t="shared" si="5"/>
        <v>FFFF</v>
      </c>
      <c r="W8" s="7" t="str">
        <f t="shared" si="6"/>
        <v>FFFF</v>
      </c>
      <c r="X8" s="7" t="str">
        <f t="shared" si="7"/>
        <v>FFFF</v>
      </c>
      <c r="Y8" s="7" t="str">
        <f t="shared" si="8"/>
        <v>FFFF</v>
      </c>
      <c r="AA8" s="95">
        <v>6</v>
      </c>
      <c r="AB8" s="96">
        <v>6</v>
      </c>
    </row>
    <row r="9" spans="1:29" s="81" customFormat="1" ht="14.1" customHeight="1">
      <c r="A9" s="80"/>
      <c r="B9" s="84">
        <v>4</v>
      </c>
      <c r="C9" s="153">
        <v>15</v>
      </c>
      <c r="D9" s="154">
        <v>15</v>
      </c>
      <c r="E9" s="154">
        <v>15</v>
      </c>
      <c r="F9" s="154">
        <v>15</v>
      </c>
      <c r="G9" s="154">
        <v>15</v>
      </c>
      <c r="H9" s="154">
        <v>15</v>
      </c>
      <c r="I9" s="154">
        <v>15</v>
      </c>
      <c r="J9" s="154">
        <v>15</v>
      </c>
      <c r="K9" s="154">
        <v>15</v>
      </c>
      <c r="L9" s="154">
        <v>15</v>
      </c>
      <c r="M9" s="154">
        <v>15</v>
      </c>
      <c r="N9" s="154">
        <v>15</v>
      </c>
      <c r="O9" s="154">
        <v>15</v>
      </c>
      <c r="P9" s="154">
        <v>15</v>
      </c>
      <c r="Q9" s="154">
        <v>15</v>
      </c>
      <c r="R9" s="155">
        <v>15</v>
      </c>
      <c r="U9" s="9">
        <f t="shared" si="4"/>
        <v>4</v>
      </c>
      <c r="V9" s="7" t="str">
        <f t="shared" si="5"/>
        <v>FFFF</v>
      </c>
      <c r="W9" s="7" t="str">
        <f t="shared" si="6"/>
        <v>FFFF</v>
      </c>
      <c r="X9" s="7" t="str">
        <f t="shared" si="7"/>
        <v>FFFF</v>
      </c>
      <c r="Y9" s="7" t="str">
        <f t="shared" si="8"/>
        <v>FFFF</v>
      </c>
      <c r="AA9" s="97">
        <v>4</v>
      </c>
      <c r="AB9" s="98">
        <v>4</v>
      </c>
    </row>
    <row r="10" spans="1:29" s="81" customFormat="1" ht="14.1" customHeight="1">
      <c r="A10" s="80"/>
      <c r="B10" s="84">
        <v>5</v>
      </c>
      <c r="C10" s="153">
        <v>15</v>
      </c>
      <c r="D10" s="154">
        <v>15</v>
      </c>
      <c r="E10" s="154">
        <v>15</v>
      </c>
      <c r="F10" s="154">
        <v>15</v>
      </c>
      <c r="G10" s="154">
        <v>15</v>
      </c>
      <c r="H10" s="154">
        <v>15</v>
      </c>
      <c r="I10" s="154">
        <v>15</v>
      </c>
      <c r="J10" s="154">
        <v>15</v>
      </c>
      <c r="K10" s="154">
        <v>15</v>
      </c>
      <c r="L10" s="154">
        <v>15</v>
      </c>
      <c r="M10" s="154">
        <v>15</v>
      </c>
      <c r="N10" s="154">
        <v>15</v>
      </c>
      <c r="O10" s="154">
        <v>15</v>
      </c>
      <c r="P10" s="154">
        <v>15</v>
      </c>
      <c r="Q10" s="154">
        <v>15</v>
      </c>
      <c r="R10" s="155">
        <v>15</v>
      </c>
      <c r="U10" s="9">
        <f t="shared" si="4"/>
        <v>5</v>
      </c>
      <c r="V10" s="7" t="str">
        <f t="shared" si="5"/>
        <v>FFFF</v>
      </c>
      <c r="W10" s="7" t="str">
        <f t="shared" si="6"/>
        <v>FFFF</v>
      </c>
      <c r="X10" s="7" t="str">
        <f t="shared" si="7"/>
        <v>FFFF</v>
      </c>
      <c r="Y10" s="7" t="str">
        <f t="shared" si="8"/>
        <v>FFFF</v>
      </c>
      <c r="AA10" s="99">
        <v>2</v>
      </c>
      <c r="AB10" s="100">
        <v>3</v>
      </c>
    </row>
    <row r="11" spans="1:29" s="81" customFormat="1" ht="14.1" customHeight="1" thickBot="1">
      <c r="A11" s="80"/>
      <c r="B11" s="84">
        <v>6</v>
      </c>
      <c r="C11" s="153">
        <v>15</v>
      </c>
      <c r="D11" s="154">
        <v>15</v>
      </c>
      <c r="E11" s="154">
        <v>15</v>
      </c>
      <c r="F11" s="154">
        <v>15</v>
      </c>
      <c r="G11" s="154">
        <v>15</v>
      </c>
      <c r="H11" s="154">
        <v>15</v>
      </c>
      <c r="I11" s="154">
        <v>15</v>
      </c>
      <c r="J11" s="154">
        <v>15</v>
      </c>
      <c r="K11" s="154">
        <v>15</v>
      </c>
      <c r="L11" s="154">
        <v>15</v>
      </c>
      <c r="M11" s="154">
        <v>15</v>
      </c>
      <c r="N11" s="154">
        <v>15</v>
      </c>
      <c r="O11" s="154">
        <v>15</v>
      </c>
      <c r="P11" s="154">
        <v>15</v>
      </c>
      <c r="Q11" s="154">
        <v>15</v>
      </c>
      <c r="R11" s="155">
        <v>15</v>
      </c>
      <c r="U11" s="9">
        <f t="shared" si="4"/>
        <v>6</v>
      </c>
      <c r="V11" s="7" t="str">
        <f t="shared" si="5"/>
        <v>FFFF</v>
      </c>
      <c r="W11" s="7" t="str">
        <f t="shared" si="6"/>
        <v>FFFF</v>
      </c>
      <c r="X11" s="7" t="str">
        <f t="shared" si="7"/>
        <v>FFFF</v>
      </c>
      <c r="Y11" s="7" t="str">
        <f t="shared" si="8"/>
        <v>FFFF</v>
      </c>
      <c r="AA11" s="101">
        <v>1</v>
      </c>
      <c r="AB11" s="102">
        <v>1</v>
      </c>
    </row>
    <row r="12" spans="1:29" s="81" customFormat="1" ht="14.1" customHeight="1">
      <c r="A12" s="80"/>
      <c r="B12" s="84">
        <v>7</v>
      </c>
      <c r="C12" s="153">
        <v>15</v>
      </c>
      <c r="D12" s="154">
        <v>15</v>
      </c>
      <c r="E12" s="154">
        <v>15</v>
      </c>
      <c r="F12" s="154">
        <v>15</v>
      </c>
      <c r="G12" s="154">
        <v>15</v>
      </c>
      <c r="H12" s="154">
        <v>15</v>
      </c>
      <c r="I12" s="154">
        <v>15</v>
      </c>
      <c r="J12" s="154">
        <v>15</v>
      </c>
      <c r="K12" s="154">
        <v>15</v>
      </c>
      <c r="L12" s="154">
        <v>15</v>
      </c>
      <c r="M12" s="154">
        <v>15</v>
      </c>
      <c r="N12" s="154">
        <v>15</v>
      </c>
      <c r="O12" s="154">
        <v>15</v>
      </c>
      <c r="P12" s="154">
        <v>15</v>
      </c>
      <c r="Q12" s="154">
        <v>15</v>
      </c>
      <c r="R12" s="155">
        <v>15</v>
      </c>
      <c r="U12" s="9">
        <f t="shared" si="4"/>
        <v>7</v>
      </c>
      <c r="V12" s="7" t="str">
        <f t="shared" si="5"/>
        <v>FFFF</v>
      </c>
      <c r="W12" s="7" t="str">
        <f t="shared" si="6"/>
        <v>FFFF</v>
      </c>
      <c r="X12" s="7" t="str">
        <f t="shared" si="7"/>
        <v>FFFF</v>
      </c>
      <c r="Y12" s="7" t="str">
        <f t="shared" si="8"/>
        <v>FFFF</v>
      </c>
    </row>
    <row r="13" spans="1:29" s="81" customFormat="1" ht="14.1" customHeight="1" thickBot="1">
      <c r="A13" s="80"/>
      <c r="B13" s="84">
        <v>8</v>
      </c>
      <c r="C13" s="153">
        <v>15</v>
      </c>
      <c r="D13" s="154">
        <v>15</v>
      </c>
      <c r="E13" s="154">
        <v>15</v>
      </c>
      <c r="F13" s="154">
        <v>15</v>
      </c>
      <c r="G13" s="154">
        <v>15</v>
      </c>
      <c r="H13" s="154">
        <v>15</v>
      </c>
      <c r="I13" s="154">
        <v>15</v>
      </c>
      <c r="J13" s="154">
        <v>15</v>
      </c>
      <c r="K13" s="154">
        <v>15</v>
      </c>
      <c r="L13" s="154">
        <v>15</v>
      </c>
      <c r="M13" s="154">
        <v>15</v>
      </c>
      <c r="N13" s="154">
        <v>15</v>
      </c>
      <c r="O13" s="154">
        <v>15</v>
      </c>
      <c r="P13" s="154">
        <v>15</v>
      </c>
      <c r="Q13" s="154">
        <v>15</v>
      </c>
      <c r="R13" s="155">
        <v>15</v>
      </c>
      <c r="U13" s="9">
        <f t="shared" si="4"/>
        <v>8</v>
      </c>
      <c r="V13" s="7" t="str">
        <f t="shared" si="5"/>
        <v>FFFF</v>
      </c>
      <c r="W13" s="7" t="str">
        <f t="shared" si="6"/>
        <v>FFFF</v>
      </c>
      <c r="X13" s="7" t="str">
        <f t="shared" si="7"/>
        <v>FFFF</v>
      </c>
      <c r="Y13" s="7" t="str">
        <f t="shared" si="8"/>
        <v>FFFF</v>
      </c>
      <c r="AA13" s="80" t="s">
        <v>308</v>
      </c>
    </row>
    <row r="14" spans="1:29" s="81" customFormat="1" ht="14.1" customHeight="1" thickBot="1">
      <c r="A14" s="80"/>
      <c r="B14" s="84">
        <v>9</v>
      </c>
      <c r="C14" s="153">
        <v>15</v>
      </c>
      <c r="D14" s="154">
        <v>15</v>
      </c>
      <c r="E14" s="154">
        <v>15</v>
      </c>
      <c r="F14" s="154">
        <v>15</v>
      </c>
      <c r="G14" s="154">
        <v>15</v>
      </c>
      <c r="H14" s="154">
        <v>15</v>
      </c>
      <c r="I14" s="154">
        <v>15</v>
      </c>
      <c r="J14" s="154">
        <v>15</v>
      </c>
      <c r="K14" s="154">
        <v>15</v>
      </c>
      <c r="L14" s="154">
        <v>15</v>
      </c>
      <c r="M14" s="154">
        <v>15</v>
      </c>
      <c r="N14" s="154">
        <v>15</v>
      </c>
      <c r="O14" s="154">
        <v>15</v>
      </c>
      <c r="P14" s="154">
        <v>15</v>
      </c>
      <c r="Q14" s="154">
        <v>15</v>
      </c>
      <c r="R14" s="155">
        <v>15</v>
      </c>
      <c r="U14" s="9">
        <f t="shared" si="4"/>
        <v>9</v>
      </c>
      <c r="V14" s="7" t="str">
        <f t="shared" si="5"/>
        <v>FFFF</v>
      </c>
      <c r="W14" s="7" t="str">
        <f t="shared" si="6"/>
        <v>FFFF</v>
      </c>
      <c r="X14" s="7" t="str">
        <f t="shared" si="7"/>
        <v>FFFF</v>
      </c>
      <c r="Y14" s="7" t="str">
        <f t="shared" si="8"/>
        <v>FFFF</v>
      </c>
      <c r="AA14" s="82" t="s">
        <v>309</v>
      </c>
      <c r="AB14" s="217" t="s">
        <v>310</v>
      </c>
      <c r="AC14" s="218"/>
    </row>
    <row r="15" spans="1:29" s="81" customFormat="1" ht="14.1" customHeight="1" thickTop="1">
      <c r="A15" s="80"/>
      <c r="B15" s="84">
        <v>10</v>
      </c>
      <c r="C15" s="153">
        <v>15</v>
      </c>
      <c r="D15" s="154">
        <v>15</v>
      </c>
      <c r="E15" s="154">
        <v>15</v>
      </c>
      <c r="F15" s="154">
        <v>15</v>
      </c>
      <c r="G15" s="154">
        <v>15</v>
      </c>
      <c r="H15" s="154">
        <v>15</v>
      </c>
      <c r="I15" s="154">
        <v>15</v>
      </c>
      <c r="J15" s="154">
        <v>15</v>
      </c>
      <c r="K15" s="154">
        <v>15</v>
      </c>
      <c r="L15" s="154">
        <v>15</v>
      </c>
      <c r="M15" s="154">
        <v>15</v>
      </c>
      <c r="N15" s="154">
        <v>15</v>
      </c>
      <c r="O15" s="154">
        <v>15</v>
      </c>
      <c r="P15" s="154">
        <v>15</v>
      </c>
      <c r="Q15" s="154">
        <v>15</v>
      </c>
      <c r="R15" s="155">
        <v>15</v>
      </c>
      <c r="U15" s="9">
        <f t="shared" si="4"/>
        <v>10</v>
      </c>
      <c r="V15" s="7" t="str">
        <f t="shared" si="5"/>
        <v>FFFF</v>
      </c>
      <c r="W15" s="7" t="str">
        <f t="shared" si="6"/>
        <v>FFFF</v>
      </c>
      <c r="X15" s="7" t="str">
        <f t="shared" si="7"/>
        <v>FFFF</v>
      </c>
      <c r="Y15" s="7" t="str">
        <f t="shared" si="8"/>
        <v>FFFF</v>
      </c>
      <c r="AA15" s="207">
        <v>0</v>
      </c>
      <c r="AB15" s="219" t="s">
        <v>311</v>
      </c>
      <c r="AC15" s="220"/>
    </row>
    <row r="16" spans="1:29" s="81" customFormat="1" ht="14.1" customHeight="1">
      <c r="A16" s="80"/>
      <c r="B16" s="84">
        <v>11</v>
      </c>
      <c r="C16" s="153">
        <v>15</v>
      </c>
      <c r="D16" s="154">
        <v>15</v>
      </c>
      <c r="E16" s="154">
        <v>15</v>
      </c>
      <c r="F16" s="154">
        <v>15</v>
      </c>
      <c r="G16" s="154">
        <v>15</v>
      </c>
      <c r="H16" s="154">
        <v>15</v>
      </c>
      <c r="I16" s="154">
        <v>15</v>
      </c>
      <c r="J16" s="154">
        <v>15</v>
      </c>
      <c r="K16" s="154">
        <v>15</v>
      </c>
      <c r="L16" s="154">
        <v>15</v>
      </c>
      <c r="M16" s="154">
        <v>15</v>
      </c>
      <c r="N16" s="154">
        <v>15</v>
      </c>
      <c r="O16" s="154">
        <v>15</v>
      </c>
      <c r="P16" s="154">
        <v>15</v>
      </c>
      <c r="Q16" s="154">
        <v>15</v>
      </c>
      <c r="R16" s="155">
        <v>15</v>
      </c>
      <c r="U16" s="9">
        <f t="shared" si="4"/>
        <v>11</v>
      </c>
      <c r="V16" s="7" t="str">
        <f t="shared" si="5"/>
        <v>FFFF</v>
      </c>
      <c r="W16" s="7" t="str">
        <f t="shared" si="6"/>
        <v>FFFF</v>
      </c>
      <c r="X16" s="7" t="str">
        <f t="shared" si="7"/>
        <v>FFFF</v>
      </c>
      <c r="Y16" s="7" t="str">
        <f t="shared" si="8"/>
        <v>FFFF</v>
      </c>
      <c r="AA16" s="208">
        <v>1</v>
      </c>
      <c r="AB16" s="221" t="s">
        <v>402</v>
      </c>
      <c r="AC16" s="222"/>
    </row>
    <row r="17" spans="1:32" s="81" customFormat="1" ht="14.1" customHeight="1">
      <c r="A17" s="80"/>
      <c r="B17" s="84">
        <v>12</v>
      </c>
      <c r="C17" s="153">
        <v>15</v>
      </c>
      <c r="D17" s="154">
        <v>15</v>
      </c>
      <c r="E17" s="154">
        <v>15</v>
      </c>
      <c r="F17" s="154">
        <v>15</v>
      </c>
      <c r="G17" s="154">
        <v>15</v>
      </c>
      <c r="H17" s="154">
        <v>15</v>
      </c>
      <c r="I17" s="154">
        <v>15</v>
      </c>
      <c r="J17" s="154">
        <v>15</v>
      </c>
      <c r="K17" s="154">
        <v>15</v>
      </c>
      <c r="L17" s="154">
        <v>15</v>
      </c>
      <c r="M17" s="154">
        <v>15</v>
      </c>
      <c r="N17" s="154">
        <v>15</v>
      </c>
      <c r="O17" s="154">
        <v>15</v>
      </c>
      <c r="P17" s="154">
        <v>15</v>
      </c>
      <c r="Q17" s="154">
        <v>15</v>
      </c>
      <c r="R17" s="155">
        <v>15</v>
      </c>
      <c r="U17" s="9">
        <f t="shared" si="4"/>
        <v>12</v>
      </c>
      <c r="V17" s="7" t="str">
        <f t="shared" si="5"/>
        <v>FFFF</v>
      </c>
      <c r="W17" s="7" t="str">
        <f t="shared" si="6"/>
        <v>FFFF</v>
      </c>
      <c r="X17" s="7" t="str">
        <f t="shared" si="7"/>
        <v>FFFF</v>
      </c>
      <c r="Y17" s="7" t="str">
        <f t="shared" si="8"/>
        <v>FFFF</v>
      </c>
      <c r="AA17" s="209">
        <v>2</v>
      </c>
      <c r="AB17" s="223" t="s">
        <v>403</v>
      </c>
      <c r="AC17" s="224"/>
    </row>
    <row r="18" spans="1:32" s="81" customFormat="1" ht="14.1" customHeight="1">
      <c r="A18" s="80"/>
      <c r="B18" s="84">
        <v>13</v>
      </c>
      <c r="C18" s="153">
        <v>15</v>
      </c>
      <c r="D18" s="154">
        <v>15</v>
      </c>
      <c r="E18" s="154">
        <v>15</v>
      </c>
      <c r="F18" s="154">
        <v>15</v>
      </c>
      <c r="G18" s="154">
        <v>15</v>
      </c>
      <c r="H18" s="154">
        <v>15</v>
      </c>
      <c r="I18" s="154">
        <v>15</v>
      </c>
      <c r="J18" s="154">
        <v>15</v>
      </c>
      <c r="K18" s="154">
        <v>15</v>
      </c>
      <c r="L18" s="154">
        <v>15</v>
      </c>
      <c r="M18" s="154">
        <v>15</v>
      </c>
      <c r="N18" s="154">
        <v>15</v>
      </c>
      <c r="O18" s="154">
        <v>15</v>
      </c>
      <c r="P18" s="154">
        <v>15</v>
      </c>
      <c r="Q18" s="154">
        <v>15</v>
      </c>
      <c r="R18" s="155">
        <v>15</v>
      </c>
      <c r="U18" s="9">
        <f t="shared" si="4"/>
        <v>13</v>
      </c>
      <c r="V18" s="7" t="str">
        <f t="shared" si="5"/>
        <v>FFFF</v>
      </c>
      <c r="W18" s="7" t="str">
        <f t="shared" si="6"/>
        <v>FFFF</v>
      </c>
      <c r="X18" s="7" t="str">
        <f t="shared" si="7"/>
        <v>FFFF</v>
      </c>
      <c r="Y18" s="7" t="str">
        <f t="shared" si="8"/>
        <v>FFFF</v>
      </c>
      <c r="AA18" s="103">
        <v>3</v>
      </c>
      <c r="AB18" s="225" t="s">
        <v>404</v>
      </c>
      <c r="AC18" s="226"/>
    </row>
    <row r="19" spans="1:32" s="81" customFormat="1" ht="14.1" customHeight="1">
      <c r="A19" s="80"/>
      <c r="B19" s="84">
        <v>14</v>
      </c>
      <c r="C19" s="153">
        <v>15</v>
      </c>
      <c r="D19" s="154">
        <v>15</v>
      </c>
      <c r="E19" s="154">
        <v>15</v>
      </c>
      <c r="F19" s="154">
        <v>15</v>
      </c>
      <c r="G19" s="154">
        <v>15</v>
      </c>
      <c r="H19" s="154">
        <v>15</v>
      </c>
      <c r="I19" s="154">
        <v>15</v>
      </c>
      <c r="J19" s="154">
        <v>15</v>
      </c>
      <c r="K19" s="154">
        <v>15</v>
      </c>
      <c r="L19" s="154">
        <v>15</v>
      </c>
      <c r="M19" s="154">
        <v>15</v>
      </c>
      <c r="N19" s="154">
        <v>15</v>
      </c>
      <c r="O19" s="154">
        <v>15</v>
      </c>
      <c r="P19" s="154">
        <v>15</v>
      </c>
      <c r="Q19" s="154">
        <v>15</v>
      </c>
      <c r="R19" s="155">
        <v>15</v>
      </c>
      <c r="U19" s="9">
        <f t="shared" si="4"/>
        <v>14</v>
      </c>
      <c r="V19" s="7" t="str">
        <f t="shared" si="5"/>
        <v>FFFF</v>
      </c>
      <c r="W19" s="7" t="str">
        <f t="shared" si="6"/>
        <v>FFFF</v>
      </c>
      <c r="X19" s="7" t="str">
        <f t="shared" si="7"/>
        <v>FFFF</v>
      </c>
      <c r="Y19" s="7" t="str">
        <f t="shared" si="8"/>
        <v>FFFF</v>
      </c>
      <c r="AA19" s="210">
        <v>4</v>
      </c>
      <c r="AB19" s="227" t="s">
        <v>405</v>
      </c>
      <c r="AC19" s="228"/>
    </row>
    <row r="20" spans="1:32" s="81" customFormat="1" ht="14.1" customHeight="1">
      <c r="A20" s="80"/>
      <c r="B20" s="84">
        <v>15</v>
      </c>
      <c r="C20" s="153">
        <v>15</v>
      </c>
      <c r="D20" s="154">
        <v>15</v>
      </c>
      <c r="E20" s="154">
        <v>15</v>
      </c>
      <c r="F20" s="154">
        <v>15</v>
      </c>
      <c r="G20" s="154">
        <v>15</v>
      </c>
      <c r="H20" s="154">
        <v>15</v>
      </c>
      <c r="I20" s="154">
        <v>15</v>
      </c>
      <c r="J20" s="154">
        <v>15</v>
      </c>
      <c r="K20" s="154">
        <v>15</v>
      </c>
      <c r="L20" s="154">
        <v>15</v>
      </c>
      <c r="M20" s="154">
        <v>15</v>
      </c>
      <c r="N20" s="154">
        <v>15</v>
      </c>
      <c r="O20" s="154">
        <v>15</v>
      </c>
      <c r="P20" s="154">
        <v>15</v>
      </c>
      <c r="Q20" s="154">
        <v>15</v>
      </c>
      <c r="R20" s="155">
        <v>15</v>
      </c>
      <c r="U20" s="9">
        <f t="shared" si="4"/>
        <v>15</v>
      </c>
      <c r="V20" s="7" t="str">
        <f t="shared" si="5"/>
        <v>FFFF</v>
      </c>
      <c r="W20" s="7" t="str">
        <f t="shared" si="6"/>
        <v>FFFF</v>
      </c>
      <c r="X20" s="7" t="str">
        <f t="shared" si="7"/>
        <v>FFFF</v>
      </c>
      <c r="Y20" s="7" t="str">
        <f t="shared" si="8"/>
        <v>FFFF</v>
      </c>
      <c r="AA20" s="103">
        <v>5</v>
      </c>
      <c r="AB20" s="225" t="s">
        <v>406</v>
      </c>
      <c r="AC20" s="226"/>
    </row>
    <row r="21" spans="1:32" s="81" customFormat="1" ht="14.1" customHeight="1">
      <c r="A21" s="80"/>
      <c r="B21" s="84">
        <v>16</v>
      </c>
      <c r="C21" s="153">
        <v>15</v>
      </c>
      <c r="D21" s="154">
        <v>15</v>
      </c>
      <c r="E21" s="154">
        <v>15</v>
      </c>
      <c r="F21" s="154">
        <v>15</v>
      </c>
      <c r="G21" s="154">
        <v>15</v>
      </c>
      <c r="H21" s="154">
        <v>15</v>
      </c>
      <c r="I21" s="154">
        <v>15</v>
      </c>
      <c r="J21" s="154">
        <v>15</v>
      </c>
      <c r="K21" s="154">
        <v>15</v>
      </c>
      <c r="L21" s="154">
        <v>15</v>
      </c>
      <c r="M21" s="154">
        <v>15</v>
      </c>
      <c r="N21" s="154">
        <v>15</v>
      </c>
      <c r="O21" s="154">
        <v>15</v>
      </c>
      <c r="P21" s="154">
        <v>15</v>
      </c>
      <c r="Q21" s="154">
        <v>15</v>
      </c>
      <c r="R21" s="155">
        <v>15</v>
      </c>
      <c r="U21" s="9">
        <f t="shared" si="4"/>
        <v>16</v>
      </c>
      <c r="V21" s="7" t="str">
        <f t="shared" si="5"/>
        <v>FFFF</v>
      </c>
      <c r="W21" s="7" t="str">
        <f t="shared" si="6"/>
        <v>FFFF</v>
      </c>
      <c r="X21" s="7" t="str">
        <f t="shared" si="7"/>
        <v>FFFF</v>
      </c>
      <c r="Y21" s="7" t="str">
        <f t="shared" si="8"/>
        <v>FFFF</v>
      </c>
      <c r="AA21" s="211">
        <v>6</v>
      </c>
      <c r="AB21" s="229" t="s">
        <v>407</v>
      </c>
      <c r="AC21" s="230"/>
    </row>
    <row r="22" spans="1:32" s="81" customFormat="1" ht="14.1" customHeight="1">
      <c r="A22" s="80"/>
      <c r="B22" s="84">
        <v>17</v>
      </c>
      <c r="C22" s="153">
        <v>15</v>
      </c>
      <c r="D22" s="154">
        <v>15</v>
      </c>
      <c r="E22" s="154">
        <v>15</v>
      </c>
      <c r="F22" s="154">
        <v>15</v>
      </c>
      <c r="G22" s="154">
        <v>15</v>
      </c>
      <c r="H22" s="154">
        <v>15</v>
      </c>
      <c r="I22" s="154">
        <v>15</v>
      </c>
      <c r="J22" s="154">
        <v>15</v>
      </c>
      <c r="K22" s="154">
        <v>15</v>
      </c>
      <c r="L22" s="154">
        <v>15</v>
      </c>
      <c r="M22" s="154">
        <v>15</v>
      </c>
      <c r="N22" s="154">
        <v>15</v>
      </c>
      <c r="O22" s="154">
        <v>15</v>
      </c>
      <c r="P22" s="154">
        <v>15</v>
      </c>
      <c r="Q22" s="154">
        <v>15</v>
      </c>
      <c r="R22" s="155">
        <v>15</v>
      </c>
      <c r="U22" s="9">
        <f t="shared" si="4"/>
        <v>17</v>
      </c>
      <c r="V22" s="7" t="str">
        <f t="shared" si="5"/>
        <v>FFFF</v>
      </c>
      <c r="W22" s="7" t="str">
        <f t="shared" si="6"/>
        <v>FFFF</v>
      </c>
      <c r="X22" s="7" t="str">
        <f t="shared" si="7"/>
        <v>FFFF</v>
      </c>
      <c r="Y22" s="7" t="str">
        <f t="shared" si="8"/>
        <v>FFFF</v>
      </c>
      <c r="AA22" s="103">
        <v>7</v>
      </c>
      <c r="AB22" s="225" t="s">
        <v>408</v>
      </c>
      <c r="AC22" s="226"/>
    </row>
    <row r="23" spans="1:32" s="81" customFormat="1" ht="14.1" customHeight="1">
      <c r="A23" s="80"/>
      <c r="B23" s="84">
        <v>18</v>
      </c>
      <c r="C23" s="153">
        <v>15</v>
      </c>
      <c r="D23" s="154">
        <v>15</v>
      </c>
      <c r="E23" s="154">
        <v>15</v>
      </c>
      <c r="F23" s="154">
        <v>15</v>
      </c>
      <c r="G23" s="154">
        <v>15</v>
      </c>
      <c r="H23" s="154">
        <v>15</v>
      </c>
      <c r="I23" s="154">
        <v>15</v>
      </c>
      <c r="J23" s="154">
        <v>15</v>
      </c>
      <c r="K23" s="154">
        <v>15</v>
      </c>
      <c r="L23" s="154">
        <v>15</v>
      </c>
      <c r="M23" s="154">
        <v>15</v>
      </c>
      <c r="N23" s="154">
        <v>15</v>
      </c>
      <c r="O23" s="154">
        <v>15</v>
      </c>
      <c r="P23" s="154">
        <v>15</v>
      </c>
      <c r="Q23" s="154">
        <v>15</v>
      </c>
      <c r="R23" s="155">
        <v>15</v>
      </c>
      <c r="U23" s="9">
        <f t="shared" si="4"/>
        <v>18</v>
      </c>
      <c r="V23" s="7" t="str">
        <f t="shared" si="5"/>
        <v>FFFF</v>
      </c>
      <c r="W23" s="7" t="str">
        <f t="shared" si="6"/>
        <v>FFFF</v>
      </c>
      <c r="X23" s="7" t="str">
        <f t="shared" si="7"/>
        <v>FFFF</v>
      </c>
      <c r="Y23" s="7" t="str">
        <f t="shared" si="8"/>
        <v>FFFF</v>
      </c>
      <c r="AA23" s="212">
        <v>8</v>
      </c>
      <c r="AB23" s="231" t="s">
        <v>409</v>
      </c>
      <c r="AC23" s="232"/>
    </row>
    <row r="24" spans="1:32" s="81" customFormat="1" ht="14.1" customHeight="1">
      <c r="A24" s="80"/>
      <c r="B24" s="84">
        <v>19</v>
      </c>
      <c r="C24" s="153">
        <v>15</v>
      </c>
      <c r="D24" s="154">
        <v>15</v>
      </c>
      <c r="E24" s="154">
        <v>15</v>
      </c>
      <c r="F24" s="154">
        <v>15</v>
      </c>
      <c r="G24" s="154">
        <v>15</v>
      </c>
      <c r="H24" s="154">
        <v>15</v>
      </c>
      <c r="I24" s="154">
        <v>15</v>
      </c>
      <c r="J24" s="154">
        <v>15</v>
      </c>
      <c r="K24" s="154">
        <v>15</v>
      </c>
      <c r="L24" s="154">
        <v>15</v>
      </c>
      <c r="M24" s="154">
        <v>15</v>
      </c>
      <c r="N24" s="154">
        <v>15</v>
      </c>
      <c r="O24" s="154">
        <v>15</v>
      </c>
      <c r="P24" s="154">
        <v>15</v>
      </c>
      <c r="Q24" s="154">
        <v>15</v>
      </c>
      <c r="R24" s="155">
        <v>15</v>
      </c>
      <c r="U24" s="9">
        <f t="shared" si="4"/>
        <v>19</v>
      </c>
      <c r="V24" s="7" t="str">
        <f t="shared" si="5"/>
        <v>FFFF</v>
      </c>
      <c r="W24" s="7" t="str">
        <f t="shared" si="6"/>
        <v>FFFF</v>
      </c>
      <c r="X24" s="7" t="str">
        <f t="shared" si="7"/>
        <v>FFFF</v>
      </c>
      <c r="Y24" s="7" t="str">
        <f t="shared" si="8"/>
        <v>FFFF</v>
      </c>
      <c r="AA24" s="103">
        <v>9</v>
      </c>
      <c r="AB24" s="225" t="s">
        <v>410</v>
      </c>
      <c r="AC24" s="226"/>
    </row>
    <row r="25" spans="1:32" s="81" customFormat="1" ht="14.1" customHeight="1">
      <c r="A25" s="80"/>
      <c r="B25" s="84">
        <v>20</v>
      </c>
      <c r="C25" s="153">
        <v>15</v>
      </c>
      <c r="D25" s="154">
        <v>15</v>
      </c>
      <c r="E25" s="154">
        <v>15</v>
      </c>
      <c r="F25" s="154">
        <v>15</v>
      </c>
      <c r="G25" s="154">
        <v>15</v>
      </c>
      <c r="H25" s="154">
        <v>15</v>
      </c>
      <c r="I25" s="154">
        <v>15</v>
      </c>
      <c r="J25" s="154">
        <v>15</v>
      </c>
      <c r="K25" s="154">
        <v>15</v>
      </c>
      <c r="L25" s="154">
        <v>15</v>
      </c>
      <c r="M25" s="154">
        <v>15</v>
      </c>
      <c r="N25" s="154">
        <v>15</v>
      </c>
      <c r="O25" s="154">
        <v>15</v>
      </c>
      <c r="P25" s="154">
        <v>15</v>
      </c>
      <c r="Q25" s="154">
        <v>15</v>
      </c>
      <c r="R25" s="155">
        <v>15</v>
      </c>
      <c r="U25" s="9">
        <f t="shared" si="4"/>
        <v>20</v>
      </c>
      <c r="V25" s="7" t="str">
        <f t="shared" si="5"/>
        <v>FFFF</v>
      </c>
      <c r="W25" s="7" t="str">
        <f t="shared" si="6"/>
        <v>FFFF</v>
      </c>
      <c r="X25" s="7" t="str">
        <f t="shared" si="7"/>
        <v>FFFF</v>
      </c>
      <c r="Y25" s="7" t="str">
        <f t="shared" si="8"/>
        <v>FFFF</v>
      </c>
      <c r="AA25" s="213">
        <v>10</v>
      </c>
      <c r="AB25" s="237" t="s">
        <v>411</v>
      </c>
      <c r="AC25" s="238"/>
    </row>
    <row r="26" spans="1:32" s="81" customFormat="1" ht="14.1" customHeight="1">
      <c r="A26" s="80"/>
      <c r="B26" s="84">
        <v>21</v>
      </c>
      <c r="C26" s="153">
        <v>15</v>
      </c>
      <c r="D26" s="154">
        <v>15</v>
      </c>
      <c r="E26" s="154">
        <v>15</v>
      </c>
      <c r="F26" s="154">
        <v>15</v>
      </c>
      <c r="G26" s="154">
        <v>15</v>
      </c>
      <c r="H26" s="154">
        <v>15</v>
      </c>
      <c r="I26" s="154">
        <v>15</v>
      </c>
      <c r="J26" s="154">
        <v>15</v>
      </c>
      <c r="K26" s="154">
        <v>15</v>
      </c>
      <c r="L26" s="154">
        <v>15</v>
      </c>
      <c r="M26" s="154">
        <v>15</v>
      </c>
      <c r="N26" s="154">
        <v>15</v>
      </c>
      <c r="O26" s="154">
        <v>15</v>
      </c>
      <c r="P26" s="154">
        <v>15</v>
      </c>
      <c r="Q26" s="154">
        <v>15</v>
      </c>
      <c r="R26" s="155">
        <v>15</v>
      </c>
      <c r="U26" s="9">
        <f t="shared" si="4"/>
        <v>21</v>
      </c>
      <c r="V26" s="7" t="str">
        <f t="shared" si="5"/>
        <v>FFFF</v>
      </c>
      <c r="W26" s="7" t="str">
        <f t="shared" si="6"/>
        <v>FFFF</v>
      </c>
      <c r="X26" s="7" t="str">
        <f t="shared" si="7"/>
        <v>FFFF</v>
      </c>
      <c r="Y26" s="7" t="str">
        <f t="shared" si="8"/>
        <v>FFFF</v>
      </c>
      <c r="AA26" s="103">
        <v>11</v>
      </c>
      <c r="AB26" s="225" t="s">
        <v>412</v>
      </c>
      <c r="AC26" s="226"/>
    </row>
    <row r="27" spans="1:32" s="81" customFormat="1" ht="14.1" customHeight="1">
      <c r="A27" s="80"/>
      <c r="B27" s="84">
        <v>22</v>
      </c>
      <c r="C27" s="153">
        <v>15</v>
      </c>
      <c r="D27" s="154">
        <v>15</v>
      </c>
      <c r="E27" s="154">
        <v>15</v>
      </c>
      <c r="F27" s="154">
        <v>15</v>
      </c>
      <c r="G27" s="154">
        <v>15</v>
      </c>
      <c r="H27" s="154">
        <v>15</v>
      </c>
      <c r="I27" s="154">
        <v>15</v>
      </c>
      <c r="J27" s="154">
        <v>15</v>
      </c>
      <c r="K27" s="154">
        <v>15</v>
      </c>
      <c r="L27" s="154">
        <v>15</v>
      </c>
      <c r="M27" s="154">
        <v>15</v>
      </c>
      <c r="N27" s="154">
        <v>15</v>
      </c>
      <c r="O27" s="154">
        <v>15</v>
      </c>
      <c r="P27" s="154">
        <v>15</v>
      </c>
      <c r="Q27" s="154">
        <v>15</v>
      </c>
      <c r="R27" s="155">
        <v>15</v>
      </c>
      <c r="U27" s="9">
        <f t="shared" si="4"/>
        <v>22</v>
      </c>
      <c r="V27" s="7" t="str">
        <f t="shared" si="5"/>
        <v>FFFF</v>
      </c>
      <c r="W27" s="7" t="str">
        <f t="shared" si="6"/>
        <v>FFFF</v>
      </c>
      <c r="X27" s="7" t="str">
        <f t="shared" si="7"/>
        <v>FFFF</v>
      </c>
      <c r="Y27" s="7" t="str">
        <f t="shared" si="8"/>
        <v>FFFF</v>
      </c>
      <c r="AA27" s="214">
        <v>12</v>
      </c>
      <c r="AB27" s="239" t="s">
        <v>413</v>
      </c>
      <c r="AC27" s="240"/>
    </row>
    <row r="28" spans="1:32" s="81" customFormat="1" ht="14.1" customHeight="1">
      <c r="A28" s="80"/>
      <c r="B28" s="84">
        <v>23</v>
      </c>
      <c r="C28" s="153">
        <v>15</v>
      </c>
      <c r="D28" s="154">
        <v>15</v>
      </c>
      <c r="E28" s="154">
        <v>15</v>
      </c>
      <c r="F28" s="154">
        <v>15</v>
      </c>
      <c r="G28" s="154">
        <v>15</v>
      </c>
      <c r="H28" s="154">
        <v>15</v>
      </c>
      <c r="I28" s="154">
        <v>15</v>
      </c>
      <c r="J28" s="154">
        <v>15</v>
      </c>
      <c r="K28" s="154">
        <v>15</v>
      </c>
      <c r="L28" s="154">
        <v>15</v>
      </c>
      <c r="M28" s="154">
        <v>15</v>
      </c>
      <c r="N28" s="154">
        <v>15</v>
      </c>
      <c r="O28" s="154">
        <v>15</v>
      </c>
      <c r="P28" s="154">
        <v>15</v>
      </c>
      <c r="Q28" s="154">
        <v>15</v>
      </c>
      <c r="R28" s="155">
        <v>15</v>
      </c>
      <c r="U28" s="9">
        <f t="shared" si="4"/>
        <v>23</v>
      </c>
      <c r="V28" s="7" t="str">
        <f t="shared" si="5"/>
        <v>FFFF</v>
      </c>
      <c r="W28" s="7" t="str">
        <f t="shared" si="6"/>
        <v>FFFF</v>
      </c>
      <c r="X28" s="7" t="str">
        <f t="shared" si="7"/>
        <v>FFFF</v>
      </c>
      <c r="Y28" s="7" t="str">
        <f t="shared" si="8"/>
        <v>FFFF</v>
      </c>
      <c r="AA28" s="104">
        <v>13</v>
      </c>
      <c r="AB28" s="225" t="s">
        <v>414</v>
      </c>
      <c r="AC28" s="226"/>
    </row>
    <row r="29" spans="1:32" s="81" customFormat="1" ht="14.1" customHeight="1">
      <c r="A29" s="80"/>
      <c r="B29" s="84">
        <v>24</v>
      </c>
      <c r="C29" s="153">
        <v>15</v>
      </c>
      <c r="D29" s="154">
        <v>15</v>
      </c>
      <c r="E29" s="154">
        <v>15</v>
      </c>
      <c r="F29" s="154">
        <v>15</v>
      </c>
      <c r="G29" s="154">
        <v>15</v>
      </c>
      <c r="H29" s="154">
        <v>15</v>
      </c>
      <c r="I29" s="154">
        <v>15</v>
      </c>
      <c r="J29" s="154">
        <v>15</v>
      </c>
      <c r="K29" s="154">
        <v>15</v>
      </c>
      <c r="L29" s="154">
        <v>15</v>
      </c>
      <c r="M29" s="154">
        <v>15</v>
      </c>
      <c r="N29" s="154">
        <v>15</v>
      </c>
      <c r="O29" s="154">
        <v>15</v>
      </c>
      <c r="P29" s="154">
        <v>15</v>
      </c>
      <c r="Q29" s="154">
        <v>15</v>
      </c>
      <c r="R29" s="155">
        <v>15</v>
      </c>
      <c r="U29" s="9">
        <f t="shared" si="4"/>
        <v>24</v>
      </c>
      <c r="V29" s="7" t="str">
        <f t="shared" si="5"/>
        <v>FFFF</v>
      </c>
      <c r="W29" s="7" t="str">
        <f t="shared" si="6"/>
        <v>FFFF</v>
      </c>
      <c r="X29" s="7" t="str">
        <f t="shared" si="7"/>
        <v>FFFF</v>
      </c>
      <c r="Y29" s="7" t="str">
        <f t="shared" si="8"/>
        <v>FFFF</v>
      </c>
      <c r="AA29" s="153">
        <v>14</v>
      </c>
      <c r="AB29" s="233" t="s">
        <v>415</v>
      </c>
      <c r="AC29" s="234"/>
    </row>
    <row r="30" spans="1:32" s="81" customFormat="1" ht="14.1" customHeight="1" thickBot="1">
      <c r="A30" s="80"/>
      <c r="B30" s="84">
        <v>25</v>
      </c>
      <c r="C30" s="153">
        <v>15</v>
      </c>
      <c r="D30" s="154">
        <v>15</v>
      </c>
      <c r="E30" s="154">
        <v>15</v>
      </c>
      <c r="F30" s="154">
        <v>15</v>
      </c>
      <c r="G30" s="154">
        <v>15</v>
      </c>
      <c r="H30" s="154">
        <v>15</v>
      </c>
      <c r="I30" s="154">
        <v>15</v>
      </c>
      <c r="J30" s="154">
        <v>15</v>
      </c>
      <c r="K30" s="154">
        <v>15</v>
      </c>
      <c r="L30" s="154">
        <v>15</v>
      </c>
      <c r="M30" s="154">
        <v>15</v>
      </c>
      <c r="N30" s="154">
        <v>15</v>
      </c>
      <c r="O30" s="154">
        <v>15</v>
      </c>
      <c r="P30" s="154">
        <v>15</v>
      </c>
      <c r="Q30" s="154">
        <v>15</v>
      </c>
      <c r="R30" s="155">
        <v>15</v>
      </c>
      <c r="U30" s="9">
        <f t="shared" si="4"/>
        <v>25</v>
      </c>
      <c r="V30" s="7" t="str">
        <f t="shared" si="5"/>
        <v>FFFF</v>
      </c>
      <c r="W30" s="7" t="str">
        <f t="shared" si="6"/>
        <v>FFFF</v>
      </c>
      <c r="X30" s="7" t="str">
        <f t="shared" si="7"/>
        <v>FFFF</v>
      </c>
      <c r="Y30" s="7" t="str">
        <f t="shared" si="8"/>
        <v>FFFF</v>
      </c>
      <c r="AA30" s="215">
        <v>15</v>
      </c>
      <c r="AB30" s="235" t="s">
        <v>416</v>
      </c>
      <c r="AC30" s="236"/>
    </row>
    <row r="31" spans="1:32" s="81" customFormat="1" ht="14.1" customHeight="1">
      <c r="A31" s="80"/>
      <c r="B31" s="84">
        <v>26</v>
      </c>
      <c r="C31" s="153">
        <v>15</v>
      </c>
      <c r="D31" s="154">
        <v>15</v>
      </c>
      <c r="E31" s="154">
        <v>15</v>
      </c>
      <c r="F31" s="154">
        <v>15</v>
      </c>
      <c r="G31" s="154">
        <v>15</v>
      </c>
      <c r="H31" s="154">
        <v>15</v>
      </c>
      <c r="I31" s="154">
        <v>15</v>
      </c>
      <c r="J31" s="154">
        <v>15</v>
      </c>
      <c r="K31" s="154">
        <v>15</v>
      </c>
      <c r="L31" s="154">
        <v>15</v>
      </c>
      <c r="M31" s="154">
        <v>15</v>
      </c>
      <c r="N31" s="154">
        <v>15</v>
      </c>
      <c r="O31" s="154">
        <v>15</v>
      </c>
      <c r="P31" s="154">
        <v>15</v>
      </c>
      <c r="Q31" s="154">
        <v>15</v>
      </c>
      <c r="R31" s="155">
        <v>15</v>
      </c>
      <c r="U31" s="9">
        <f t="shared" si="4"/>
        <v>26</v>
      </c>
      <c r="V31" s="7" t="str">
        <f t="shared" si="5"/>
        <v>FFFF</v>
      </c>
      <c r="W31" s="7" t="str">
        <f t="shared" si="6"/>
        <v>FFFF</v>
      </c>
      <c r="X31" s="7" t="str">
        <f t="shared" si="7"/>
        <v>FFFF</v>
      </c>
      <c r="Y31" s="7" t="str">
        <f t="shared" si="8"/>
        <v>FFFF</v>
      </c>
      <c r="AA31" s="77"/>
      <c r="AB31" s="77"/>
      <c r="AC31" s="77"/>
      <c r="AD31" s="77"/>
      <c r="AE31" s="77"/>
      <c r="AF31" s="77"/>
    </row>
    <row r="32" spans="1:32" s="81" customFormat="1" ht="14.1" customHeight="1">
      <c r="A32" s="80"/>
      <c r="B32" s="84">
        <v>27</v>
      </c>
      <c r="C32" s="153">
        <v>15</v>
      </c>
      <c r="D32" s="154">
        <v>15</v>
      </c>
      <c r="E32" s="154">
        <v>15</v>
      </c>
      <c r="F32" s="154">
        <v>15</v>
      </c>
      <c r="G32" s="154">
        <v>15</v>
      </c>
      <c r="H32" s="154">
        <v>15</v>
      </c>
      <c r="I32" s="154">
        <v>15</v>
      </c>
      <c r="J32" s="154">
        <v>15</v>
      </c>
      <c r="K32" s="154">
        <v>15</v>
      </c>
      <c r="L32" s="154">
        <v>15</v>
      </c>
      <c r="M32" s="154">
        <v>15</v>
      </c>
      <c r="N32" s="154">
        <v>15</v>
      </c>
      <c r="O32" s="154">
        <v>15</v>
      </c>
      <c r="P32" s="154">
        <v>15</v>
      </c>
      <c r="Q32" s="154">
        <v>15</v>
      </c>
      <c r="R32" s="155">
        <v>15</v>
      </c>
      <c r="U32" s="9">
        <f t="shared" si="4"/>
        <v>27</v>
      </c>
      <c r="V32" s="7" t="str">
        <f t="shared" si="5"/>
        <v>FFFF</v>
      </c>
      <c r="W32" s="7" t="str">
        <f t="shared" si="6"/>
        <v>FFFF</v>
      </c>
      <c r="X32" s="7" t="str">
        <f t="shared" si="7"/>
        <v>FFFF</v>
      </c>
      <c r="Y32" s="7" t="str">
        <f t="shared" si="8"/>
        <v>FFFF</v>
      </c>
      <c r="AA32" s="156" t="s">
        <v>337</v>
      </c>
      <c r="AB32" s="77"/>
      <c r="AC32" s="77"/>
      <c r="AD32" s="77"/>
      <c r="AE32" s="77"/>
      <c r="AF32" s="77"/>
    </row>
    <row r="33" spans="1:32" s="81" customFormat="1" ht="14.1" customHeight="1">
      <c r="A33" s="80"/>
      <c r="B33" s="84">
        <v>28</v>
      </c>
      <c r="C33" s="153">
        <v>15</v>
      </c>
      <c r="D33" s="154">
        <v>15</v>
      </c>
      <c r="E33" s="154">
        <v>15</v>
      </c>
      <c r="F33" s="154">
        <v>15</v>
      </c>
      <c r="G33" s="154">
        <v>15</v>
      </c>
      <c r="H33" s="154">
        <v>15</v>
      </c>
      <c r="I33" s="154">
        <v>15</v>
      </c>
      <c r="J33" s="154">
        <v>15</v>
      </c>
      <c r="K33" s="154">
        <v>15</v>
      </c>
      <c r="L33" s="154">
        <v>15</v>
      </c>
      <c r="M33" s="154">
        <v>15</v>
      </c>
      <c r="N33" s="154">
        <v>15</v>
      </c>
      <c r="O33" s="154">
        <v>15</v>
      </c>
      <c r="P33" s="154">
        <v>15</v>
      </c>
      <c r="Q33" s="154">
        <v>15</v>
      </c>
      <c r="R33" s="155">
        <v>15</v>
      </c>
      <c r="U33" s="9">
        <f t="shared" si="4"/>
        <v>28</v>
      </c>
      <c r="V33" s="7" t="str">
        <f t="shared" si="5"/>
        <v>FFFF</v>
      </c>
      <c r="W33" s="7" t="str">
        <f t="shared" si="6"/>
        <v>FFFF</v>
      </c>
      <c r="X33" s="7" t="str">
        <f t="shared" si="7"/>
        <v>FFFF</v>
      </c>
      <c r="Y33" s="7" t="str">
        <f t="shared" si="8"/>
        <v>FFFF</v>
      </c>
      <c r="AA33" s="157" t="s">
        <v>338</v>
      </c>
      <c r="AB33" s="77"/>
      <c r="AC33" s="77"/>
      <c r="AD33" s="77"/>
      <c r="AE33" s="77"/>
      <c r="AF33" s="77"/>
    </row>
    <row r="34" spans="1:32" s="81" customFormat="1" ht="14.1" customHeight="1">
      <c r="A34" s="80"/>
      <c r="B34" s="84">
        <v>29</v>
      </c>
      <c r="C34" s="153">
        <v>15</v>
      </c>
      <c r="D34" s="154">
        <v>15</v>
      </c>
      <c r="E34" s="154">
        <v>15</v>
      </c>
      <c r="F34" s="154">
        <v>15</v>
      </c>
      <c r="G34" s="154">
        <v>15</v>
      </c>
      <c r="H34" s="154">
        <v>15</v>
      </c>
      <c r="I34" s="154">
        <v>15</v>
      </c>
      <c r="J34" s="154">
        <v>15</v>
      </c>
      <c r="K34" s="154">
        <v>15</v>
      </c>
      <c r="L34" s="154">
        <v>15</v>
      </c>
      <c r="M34" s="154">
        <v>15</v>
      </c>
      <c r="N34" s="154">
        <v>15</v>
      </c>
      <c r="O34" s="154">
        <v>15</v>
      </c>
      <c r="P34" s="154">
        <v>15</v>
      </c>
      <c r="Q34" s="154">
        <v>15</v>
      </c>
      <c r="R34" s="155">
        <v>15</v>
      </c>
      <c r="U34" s="9">
        <f t="shared" si="4"/>
        <v>29</v>
      </c>
      <c r="V34" s="7" t="str">
        <f t="shared" si="5"/>
        <v>FFFF</v>
      </c>
      <c r="W34" s="7" t="str">
        <f t="shared" si="6"/>
        <v>FFFF</v>
      </c>
      <c r="X34" s="7" t="str">
        <f t="shared" si="7"/>
        <v>FFFF</v>
      </c>
      <c r="Y34" s="7" t="str">
        <f t="shared" si="8"/>
        <v>FFFF</v>
      </c>
      <c r="AA34" s="156" t="s">
        <v>339</v>
      </c>
      <c r="AB34" s="77"/>
      <c r="AC34" s="77"/>
      <c r="AD34" s="77"/>
      <c r="AE34" s="77"/>
      <c r="AF34" s="77"/>
    </row>
    <row r="35" spans="1:32" s="81" customFormat="1" ht="14.1" customHeight="1">
      <c r="A35" s="80"/>
      <c r="B35" s="84">
        <v>30</v>
      </c>
      <c r="C35" s="153">
        <v>15</v>
      </c>
      <c r="D35" s="154">
        <v>15</v>
      </c>
      <c r="E35" s="154">
        <v>15</v>
      </c>
      <c r="F35" s="154">
        <v>15</v>
      </c>
      <c r="G35" s="154">
        <v>15</v>
      </c>
      <c r="H35" s="154">
        <v>15</v>
      </c>
      <c r="I35" s="154">
        <v>15</v>
      </c>
      <c r="J35" s="154">
        <v>15</v>
      </c>
      <c r="K35" s="154">
        <v>15</v>
      </c>
      <c r="L35" s="154">
        <v>15</v>
      </c>
      <c r="M35" s="154">
        <v>15</v>
      </c>
      <c r="N35" s="154">
        <v>15</v>
      </c>
      <c r="O35" s="154">
        <v>15</v>
      </c>
      <c r="P35" s="154">
        <v>15</v>
      </c>
      <c r="Q35" s="154">
        <v>15</v>
      </c>
      <c r="R35" s="155">
        <v>15</v>
      </c>
      <c r="U35" s="9">
        <f>B35</f>
        <v>30</v>
      </c>
      <c r="V35" s="7" t="str">
        <f t="shared" si="5"/>
        <v>FFFF</v>
      </c>
      <c r="W35" s="7" t="str">
        <f t="shared" si="6"/>
        <v>FFFF</v>
      </c>
      <c r="X35" s="7" t="str">
        <f t="shared" si="7"/>
        <v>FFFF</v>
      </c>
      <c r="Y35" s="7" t="str">
        <f t="shared" si="8"/>
        <v>FFFF</v>
      </c>
      <c r="AA35" s="77"/>
      <c r="AB35" s="77"/>
      <c r="AC35" s="77"/>
      <c r="AD35" s="77"/>
      <c r="AE35" s="77"/>
      <c r="AF35" s="77"/>
    </row>
    <row r="36" spans="1:32" s="81" customFormat="1" ht="14.1" customHeight="1" thickBot="1">
      <c r="A36" s="80"/>
      <c r="B36" s="84">
        <v>31</v>
      </c>
      <c r="C36" s="108">
        <v>15</v>
      </c>
      <c r="D36" s="109">
        <v>15</v>
      </c>
      <c r="E36" s="148">
        <v>15</v>
      </c>
      <c r="F36" s="148">
        <v>15</v>
      </c>
      <c r="G36" s="148">
        <v>15</v>
      </c>
      <c r="H36" s="148">
        <v>15</v>
      </c>
      <c r="I36" s="148">
        <v>15</v>
      </c>
      <c r="J36" s="148">
        <v>15</v>
      </c>
      <c r="K36" s="148">
        <v>15</v>
      </c>
      <c r="L36" s="148">
        <v>15</v>
      </c>
      <c r="M36" s="148">
        <v>15</v>
      </c>
      <c r="N36" s="148">
        <v>15</v>
      </c>
      <c r="O36" s="148">
        <v>15</v>
      </c>
      <c r="P36" s="148">
        <v>15</v>
      </c>
      <c r="Q36" s="148">
        <v>15</v>
      </c>
      <c r="R36" s="110">
        <v>15</v>
      </c>
      <c r="U36" s="9">
        <f t="shared" si="4"/>
        <v>31</v>
      </c>
      <c r="V36" s="7" t="str">
        <f t="shared" si="5"/>
        <v>FFFF</v>
      </c>
      <c r="W36" s="7" t="str">
        <f t="shared" si="6"/>
        <v>FFFF</v>
      </c>
      <c r="X36" s="7" t="str">
        <f t="shared" si="7"/>
        <v>FFFF</v>
      </c>
      <c r="Y36" s="7" t="str">
        <f>DEC2HEX(O36)&amp;DEC2HEX(P36)&amp;DEC2HEX(Q36)&amp;DEC2HEX(R36)</f>
        <v>FFFF</v>
      </c>
      <c r="AA36" s="156" t="s">
        <v>341</v>
      </c>
      <c r="AB36" s="77"/>
      <c r="AC36" s="77"/>
      <c r="AD36" s="77"/>
      <c r="AE36" s="77"/>
      <c r="AF36" s="77"/>
    </row>
    <row r="37" spans="1:32" s="81" customFormat="1">
      <c r="A37" s="80"/>
      <c r="U37" s="85"/>
      <c r="AA37" s="77"/>
      <c r="AB37" s="77"/>
      <c r="AC37" s="77"/>
      <c r="AD37" s="77"/>
      <c r="AE37" s="77"/>
      <c r="AF37" s="77"/>
    </row>
    <row r="38" spans="1:32" s="81" customFormat="1">
      <c r="A38" s="80"/>
      <c r="U38" s="85"/>
      <c r="AA38" s="77"/>
      <c r="AB38" s="77"/>
      <c r="AC38" s="77"/>
    </row>
    <row r="39" spans="1:32" s="81" customFormat="1">
      <c r="A39" s="80" t="s">
        <v>397</v>
      </c>
      <c r="U39" s="8" t="str">
        <f>A39</f>
        <v>2.Center-weighted average 1 (Storage to ROM)</v>
      </c>
    </row>
    <row r="40" spans="1:32" s="81" customFormat="1" ht="15" thickBot="1">
      <c r="A40" s="80"/>
      <c r="C40" s="84">
        <v>0</v>
      </c>
      <c r="D40" s="84">
        <v>1</v>
      </c>
      <c r="E40" s="84">
        <v>2</v>
      </c>
      <c r="F40" s="84">
        <v>3</v>
      </c>
      <c r="G40" s="84">
        <v>4</v>
      </c>
      <c r="H40" s="84">
        <v>5</v>
      </c>
      <c r="I40" s="84">
        <v>6</v>
      </c>
      <c r="J40" s="84">
        <v>7</v>
      </c>
      <c r="K40" s="84">
        <v>8</v>
      </c>
      <c r="L40" s="84">
        <v>9</v>
      </c>
      <c r="M40" s="84">
        <v>10</v>
      </c>
      <c r="N40" s="84">
        <v>11</v>
      </c>
      <c r="O40" s="84">
        <v>12</v>
      </c>
      <c r="P40" s="84">
        <v>13</v>
      </c>
      <c r="Q40" s="84">
        <v>14</v>
      </c>
      <c r="R40" s="84">
        <v>15</v>
      </c>
      <c r="U40" s="85"/>
      <c r="V40" s="7" t="str">
        <f t="shared" ref="V40" si="9">C40&amp;D40&amp;E40&amp;F40</f>
        <v>0123</v>
      </c>
      <c r="W40" s="7" t="str">
        <f t="shared" ref="W40" si="10">G40&amp;H40&amp;I40&amp;J40</f>
        <v>4567</v>
      </c>
      <c r="X40" s="7" t="str">
        <f t="shared" ref="X40" si="11">K40&amp;L40&amp;M40&amp;N40</f>
        <v>891011</v>
      </c>
      <c r="Y40" s="7" t="str">
        <f t="shared" ref="Y40" si="12">O40&amp;P40&amp;Q40&amp;R40</f>
        <v>12131415</v>
      </c>
    </row>
    <row r="41" spans="1:32" s="81" customFormat="1" ht="14.1" customHeight="1">
      <c r="A41" s="80"/>
      <c r="B41" s="84">
        <v>0</v>
      </c>
      <c r="C41" s="150">
        <v>0</v>
      </c>
      <c r="D41" s="151">
        <v>0</v>
      </c>
      <c r="E41" s="151">
        <v>0</v>
      </c>
      <c r="F41" s="151">
        <v>0</v>
      </c>
      <c r="G41" s="151">
        <v>0</v>
      </c>
      <c r="H41" s="151">
        <v>0</v>
      </c>
      <c r="I41" s="151">
        <v>0</v>
      </c>
      <c r="J41" s="151">
        <v>0</v>
      </c>
      <c r="K41" s="151">
        <v>0</v>
      </c>
      <c r="L41" s="151">
        <v>0</v>
      </c>
      <c r="M41" s="151">
        <v>0</v>
      </c>
      <c r="N41" s="151">
        <v>0</v>
      </c>
      <c r="O41" s="151">
        <v>0</v>
      </c>
      <c r="P41" s="151">
        <v>0</v>
      </c>
      <c r="Q41" s="151">
        <v>0</v>
      </c>
      <c r="R41" s="152">
        <v>0</v>
      </c>
      <c r="U41" s="9">
        <f t="shared" ref="U41:U72" si="13">B41</f>
        <v>0</v>
      </c>
      <c r="V41" s="7" t="str">
        <f t="shared" ref="V41:V100" si="14">DEC2HEX(C41)&amp;DEC2HEX(D41)&amp;DEC2HEX(E41)&amp;DEC2HEX(F41)</f>
        <v>0000</v>
      </c>
      <c r="W41" s="7" t="str">
        <f t="shared" ref="W41:W100" si="15">DEC2HEX(G41)&amp;DEC2HEX(H41)&amp;DEC2HEX(I41)&amp;DEC2HEX(J41)</f>
        <v>0000</v>
      </c>
      <c r="X41" s="7" t="str">
        <f t="shared" ref="X41:X100" si="16">DEC2HEX(K41)&amp;DEC2HEX(L41)&amp;DEC2HEX(M41)&amp;DEC2HEX(N41)</f>
        <v>0000</v>
      </c>
      <c r="Y41" s="7" t="str">
        <f t="shared" ref="Y41:Y100" si="17">DEC2HEX(O41)&amp;DEC2HEX(P41)&amp;DEC2HEX(Q41)&amp;DEC2HEX(R41)</f>
        <v>0000</v>
      </c>
    </row>
    <row r="42" spans="1:32" s="81" customFormat="1" ht="14.1" customHeight="1">
      <c r="A42" s="80"/>
      <c r="B42" s="84">
        <v>1</v>
      </c>
      <c r="C42" s="138">
        <v>0</v>
      </c>
      <c r="D42" s="146">
        <v>0</v>
      </c>
      <c r="E42" s="146">
        <v>0</v>
      </c>
      <c r="F42" s="146">
        <v>0</v>
      </c>
      <c r="G42" s="146">
        <v>0</v>
      </c>
      <c r="H42" s="146">
        <v>0</v>
      </c>
      <c r="I42" s="146">
        <v>0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39">
        <v>0</v>
      </c>
      <c r="U42" s="9">
        <f t="shared" si="13"/>
        <v>1</v>
      </c>
      <c r="V42" s="7" t="str">
        <f t="shared" si="14"/>
        <v>0000</v>
      </c>
      <c r="W42" s="7" t="str">
        <f t="shared" si="15"/>
        <v>0000</v>
      </c>
      <c r="X42" s="7" t="str">
        <f t="shared" si="16"/>
        <v>0000</v>
      </c>
      <c r="Y42" s="7" t="str">
        <f t="shared" si="17"/>
        <v>0000</v>
      </c>
    </row>
    <row r="43" spans="1:32" s="81" customFormat="1" ht="14.1" customHeight="1">
      <c r="A43" s="80"/>
      <c r="B43" s="84">
        <v>2</v>
      </c>
      <c r="C43" s="138">
        <v>0</v>
      </c>
      <c r="D43" s="146">
        <v>0</v>
      </c>
      <c r="E43" s="146">
        <v>0</v>
      </c>
      <c r="F43" s="146">
        <v>0</v>
      </c>
      <c r="G43" s="146">
        <v>0</v>
      </c>
      <c r="H43" s="146">
        <v>0</v>
      </c>
      <c r="I43" s="146">
        <v>0</v>
      </c>
      <c r="J43" s="146">
        <v>0</v>
      </c>
      <c r="K43" s="146">
        <v>0</v>
      </c>
      <c r="L43" s="146">
        <v>0</v>
      </c>
      <c r="M43" s="146">
        <v>0</v>
      </c>
      <c r="N43" s="146">
        <v>0</v>
      </c>
      <c r="O43" s="146">
        <v>0</v>
      </c>
      <c r="P43" s="146">
        <v>0</v>
      </c>
      <c r="Q43" s="146">
        <v>0</v>
      </c>
      <c r="R43" s="139">
        <v>0</v>
      </c>
      <c r="U43" s="9">
        <f t="shared" si="13"/>
        <v>2</v>
      </c>
      <c r="V43" s="7" t="str">
        <f t="shared" si="14"/>
        <v>0000</v>
      </c>
      <c r="W43" s="7" t="str">
        <f t="shared" si="15"/>
        <v>0000</v>
      </c>
      <c r="X43" s="7" t="str">
        <f t="shared" si="16"/>
        <v>0000</v>
      </c>
      <c r="Y43" s="7" t="str">
        <f t="shared" si="17"/>
        <v>0000</v>
      </c>
    </row>
    <row r="44" spans="1:32" s="81" customFormat="1" ht="14.1" customHeight="1">
      <c r="A44" s="80"/>
      <c r="B44" s="84">
        <v>3</v>
      </c>
      <c r="C44" s="138">
        <v>0</v>
      </c>
      <c r="D44" s="146">
        <v>0</v>
      </c>
      <c r="E44" s="146">
        <v>0</v>
      </c>
      <c r="F44" s="146">
        <v>0</v>
      </c>
      <c r="G44" s="146">
        <v>0</v>
      </c>
      <c r="H44" s="146">
        <v>0</v>
      </c>
      <c r="I44" s="146">
        <v>0</v>
      </c>
      <c r="J44" s="146">
        <v>0</v>
      </c>
      <c r="K44" s="146">
        <v>0</v>
      </c>
      <c r="L44" s="146">
        <v>0</v>
      </c>
      <c r="M44" s="146">
        <v>0</v>
      </c>
      <c r="N44" s="146">
        <v>0</v>
      </c>
      <c r="O44" s="146">
        <v>0</v>
      </c>
      <c r="P44" s="146">
        <v>0</v>
      </c>
      <c r="Q44" s="146">
        <v>0</v>
      </c>
      <c r="R44" s="139">
        <v>0</v>
      </c>
      <c r="U44" s="9">
        <f t="shared" si="13"/>
        <v>3</v>
      </c>
      <c r="V44" s="7" t="str">
        <f t="shared" si="14"/>
        <v>0000</v>
      </c>
      <c r="W44" s="7" t="str">
        <f t="shared" si="15"/>
        <v>0000</v>
      </c>
      <c r="X44" s="7" t="str">
        <f t="shared" si="16"/>
        <v>0000</v>
      </c>
      <c r="Y44" s="7" t="str">
        <f t="shared" si="17"/>
        <v>0000</v>
      </c>
    </row>
    <row r="45" spans="1:32" s="81" customFormat="1" ht="14.1" customHeight="1">
      <c r="A45" s="80"/>
      <c r="B45" s="84">
        <v>4</v>
      </c>
      <c r="C45" s="138">
        <v>0</v>
      </c>
      <c r="D45" s="146">
        <v>0</v>
      </c>
      <c r="E45" s="146">
        <v>0</v>
      </c>
      <c r="F45" s="146">
        <v>0</v>
      </c>
      <c r="G45" s="146"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39">
        <v>0</v>
      </c>
      <c r="U45" s="9">
        <f t="shared" si="13"/>
        <v>4</v>
      </c>
      <c r="V45" s="7" t="str">
        <f t="shared" si="14"/>
        <v>0000</v>
      </c>
      <c r="W45" s="7" t="str">
        <f t="shared" si="15"/>
        <v>0000</v>
      </c>
      <c r="X45" s="7" t="str">
        <f t="shared" si="16"/>
        <v>0000</v>
      </c>
      <c r="Y45" s="7" t="str">
        <f t="shared" si="17"/>
        <v>0000</v>
      </c>
    </row>
    <row r="46" spans="1:32" s="81" customFormat="1" ht="14.1" customHeight="1">
      <c r="A46" s="80"/>
      <c r="B46" s="84">
        <v>5</v>
      </c>
      <c r="C46" s="138">
        <v>0</v>
      </c>
      <c r="D46" s="146">
        <v>0</v>
      </c>
      <c r="E46" s="146">
        <v>0</v>
      </c>
      <c r="F46" s="146">
        <v>0</v>
      </c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39">
        <v>0</v>
      </c>
      <c r="U46" s="9">
        <f t="shared" si="13"/>
        <v>5</v>
      </c>
      <c r="V46" s="7" t="str">
        <f t="shared" si="14"/>
        <v>0000</v>
      </c>
      <c r="W46" s="7" t="str">
        <f t="shared" si="15"/>
        <v>0000</v>
      </c>
      <c r="X46" s="7" t="str">
        <f t="shared" si="16"/>
        <v>0000</v>
      </c>
      <c r="Y46" s="7" t="str">
        <f t="shared" si="17"/>
        <v>0000</v>
      </c>
    </row>
    <row r="47" spans="1:32" s="81" customFormat="1" ht="14.1" customHeight="1">
      <c r="A47" s="80"/>
      <c r="B47" s="84">
        <v>6</v>
      </c>
      <c r="C47" s="138">
        <v>0</v>
      </c>
      <c r="D47" s="146">
        <v>0</v>
      </c>
      <c r="E47" s="146">
        <v>0</v>
      </c>
      <c r="F47" s="146">
        <v>0</v>
      </c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39">
        <v>0</v>
      </c>
      <c r="U47" s="9">
        <f t="shared" si="13"/>
        <v>6</v>
      </c>
      <c r="V47" s="7" t="str">
        <f t="shared" si="14"/>
        <v>0000</v>
      </c>
      <c r="W47" s="7" t="str">
        <f t="shared" si="15"/>
        <v>0000</v>
      </c>
      <c r="X47" s="7" t="str">
        <f t="shared" si="16"/>
        <v>0000</v>
      </c>
      <c r="Y47" s="7" t="str">
        <f t="shared" si="17"/>
        <v>0000</v>
      </c>
    </row>
    <row r="48" spans="1:32" s="81" customFormat="1" ht="14.1" customHeight="1">
      <c r="A48" s="80"/>
      <c r="B48" s="84">
        <v>7</v>
      </c>
      <c r="C48" s="138">
        <v>0</v>
      </c>
      <c r="D48" s="146">
        <v>0</v>
      </c>
      <c r="E48" s="154">
        <v>0</v>
      </c>
      <c r="F48" s="146">
        <v>0</v>
      </c>
      <c r="G48" s="146">
        <v>0</v>
      </c>
      <c r="H48" s="146">
        <v>0</v>
      </c>
      <c r="I48" s="146">
        <v>0</v>
      </c>
      <c r="J48" s="154">
        <v>2</v>
      </c>
      <c r="K48" s="154">
        <v>2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39">
        <v>0</v>
      </c>
      <c r="U48" s="9">
        <f t="shared" si="13"/>
        <v>7</v>
      </c>
      <c r="V48" s="7" t="str">
        <f t="shared" si="14"/>
        <v>0000</v>
      </c>
      <c r="W48" s="7" t="str">
        <f t="shared" si="15"/>
        <v>0002</v>
      </c>
      <c r="X48" s="7" t="str">
        <f t="shared" si="16"/>
        <v>2000</v>
      </c>
      <c r="Y48" s="7" t="str">
        <f t="shared" si="17"/>
        <v>0000</v>
      </c>
    </row>
    <row r="49" spans="1:25" s="81" customFormat="1" ht="14.1" customHeight="1">
      <c r="A49" s="80"/>
      <c r="B49" s="84">
        <v>8</v>
      </c>
      <c r="C49" s="138">
        <v>0</v>
      </c>
      <c r="D49" s="146">
        <v>0</v>
      </c>
      <c r="E49" s="154">
        <v>0</v>
      </c>
      <c r="F49" s="146">
        <v>0</v>
      </c>
      <c r="G49" s="154">
        <v>2</v>
      </c>
      <c r="H49" s="154">
        <v>2</v>
      </c>
      <c r="I49" s="154">
        <v>2</v>
      </c>
      <c r="J49" s="154">
        <v>3</v>
      </c>
      <c r="K49" s="154">
        <v>3</v>
      </c>
      <c r="L49" s="154">
        <v>2</v>
      </c>
      <c r="M49" s="154">
        <v>2</v>
      </c>
      <c r="N49" s="154">
        <v>2</v>
      </c>
      <c r="O49" s="146">
        <v>0</v>
      </c>
      <c r="P49" s="146">
        <v>0</v>
      </c>
      <c r="Q49" s="146">
        <v>0</v>
      </c>
      <c r="R49" s="139">
        <v>0</v>
      </c>
      <c r="U49" s="9">
        <f t="shared" si="13"/>
        <v>8</v>
      </c>
      <c r="V49" s="7" t="str">
        <f t="shared" si="14"/>
        <v>0000</v>
      </c>
      <c r="W49" s="7" t="str">
        <f t="shared" si="15"/>
        <v>2223</v>
      </c>
      <c r="X49" s="7" t="str">
        <f t="shared" si="16"/>
        <v>3222</v>
      </c>
      <c r="Y49" s="7" t="str">
        <f t="shared" si="17"/>
        <v>0000</v>
      </c>
    </row>
    <row r="50" spans="1:25" s="81" customFormat="1" ht="14.1" customHeight="1">
      <c r="A50" s="80"/>
      <c r="B50" s="84">
        <v>9</v>
      </c>
      <c r="C50" s="138">
        <v>0</v>
      </c>
      <c r="D50" s="146">
        <v>0</v>
      </c>
      <c r="E50" s="154">
        <v>0</v>
      </c>
      <c r="F50" s="146">
        <v>0</v>
      </c>
      <c r="G50" s="154">
        <v>2</v>
      </c>
      <c r="H50" s="154">
        <v>2</v>
      </c>
      <c r="I50" s="154">
        <v>3</v>
      </c>
      <c r="J50" s="154">
        <v>3</v>
      </c>
      <c r="K50" s="154">
        <v>3</v>
      </c>
      <c r="L50" s="154">
        <v>3</v>
      </c>
      <c r="M50" s="154">
        <v>2</v>
      </c>
      <c r="N50" s="154">
        <v>2</v>
      </c>
      <c r="O50" s="146">
        <v>0</v>
      </c>
      <c r="P50" s="146">
        <v>0</v>
      </c>
      <c r="Q50" s="146">
        <v>0</v>
      </c>
      <c r="R50" s="139">
        <v>0</v>
      </c>
      <c r="U50" s="9">
        <f t="shared" si="13"/>
        <v>9</v>
      </c>
      <c r="V50" s="7" t="str">
        <f t="shared" si="14"/>
        <v>0000</v>
      </c>
      <c r="W50" s="7" t="str">
        <f t="shared" si="15"/>
        <v>2233</v>
      </c>
      <c r="X50" s="7" t="str">
        <f t="shared" si="16"/>
        <v>3322</v>
      </c>
      <c r="Y50" s="7" t="str">
        <f t="shared" si="17"/>
        <v>0000</v>
      </c>
    </row>
    <row r="51" spans="1:25" s="81" customFormat="1" ht="14.1" customHeight="1">
      <c r="A51" s="80"/>
      <c r="B51" s="84">
        <v>10</v>
      </c>
      <c r="C51" s="138">
        <v>0</v>
      </c>
      <c r="D51" s="146">
        <v>0</v>
      </c>
      <c r="E51" s="154">
        <v>0</v>
      </c>
      <c r="F51" s="146">
        <v>0</v>
      </c>
      <c r="G51" s="154">
        <v>2</v>
      </c>
      <c r="H51" s="154">
        <v>3</v>
      </c>
      <c r="I51" s="154">
        <v>3</v>
      </c>
      <c r="J51" s="154">
        <v>3</v>
      </c>
      <c r="K51" s="154">
        <v>3</v>
      </c>
      <c r="L51" s="154">
        <v>3</v>
      </c>
      <c r="M51" s="154">
        <v>3</v>
      </c>
      <c r="N51" s="154">
        <v>2</v>
      </c>
      <c r="O51" s="146">
        <v>0</v>
      </c>
      <c r="P51" s="146">
        <v>0</v>
      </c>
      <c r="Q51" s="146">
        <v>0</v>
      </c>
      <c r="R51" s="139">
        <v>0</v>
      </c>
      <c r="U51" s="9">
        <f t="shared" si="13"/>
        <v>10</v>
      </c>
      <c r="V51" s="7" t="str">
        <f t="shared" si="14"/>
        <v>0000</v>
      </c>
      <c r="W51" s="7" t="str">
        <f t="shared" si="15"/>
        <v>2333</v>
      </c>
      <c r="X51" s="7" t="str">
        <f t="shared" si="16"/>
        <v>3332</v>
      </c>
      <c r="Y51" s="7" t="str">
        <f t="shared" si="17"/>
        <v>0000</v>
      </c>
    </row>
    <row r="52" spans="1:25" s="81" customFormat="1" ht="14.1" customHeight="1">
      <c r="A52" s="80"/>
      <c r="B52" s="84">
        <v>11</v>
      </c>
      <c r="C52" s="138">
        <v>0</v>
      </c>
      <c r="D52" s="146">
        <v>0</v>
      </c>
      <c r="E52" s="154">
        <v>0</v>
      </c>
      <c r="F52" s="146">
        <v>0</v>
      </c>
      <c r="G52" s="154">
        <v>2</v>
      </c>
      <c r="H52" s="154">
        <v>3</v>
      </c>
      <c r="I52" s="154">
        <v>3</v>
      </c>
      <c r="J52" s="154">
        <v>3</v>
      </c>
      <c r="K52" s="154">
        <v>3</v>
      </c>
      <c r="L52" s="154">
        <v>3</v>
      </c>
      <c r="M52" s="154">
        <v>3</v>
      </c>
      <c r="N52" s="154">
        <v>2</v>
      </c>
      <c r="O52" s="146">
        <v>0</v>
      </c>
      <c r="P52" s="146">
        <v>0</v>
      </c>
      <c r="Q52" s="146">
        <v>0</v>
      </c>
      <c r="R52" s="139">
        <v>0</v>
      </c>
      <c r="U52" s="9">
        <f t="shared" si="13"/>
        <v>11</v>
      </c>
      <c r="V52" s="7" t="str">
        <f t="shared" si="14"/>
        <v>0000</v>
      </c>
      <c r="W52" s="7" t="str">
        <f t="shared" si="15"/>
        <v>2333</v>
      </c>
      <c r="X52" s="7" t="str">
        <f t="shared" si="16"/>
        <v>3332</v>
      </c>
      <c r="Y52" s="7" t="str">
        <f t="shared" si="17"/>
        <v>0000</v>
      </c>
    </row>
    <row r="53" spans="1:25" s="81" customFormat="1" ht="14.1" customHeight="1">
      <c r="A53" s="80"/>
      <c r="B53" s="84">
        <v>12</v>
      </c>
      <c r="C53" s="138">
        <v>0</v>
      </c>
      <c r="D53" s="146">
        <v>0</v>
      </c>
      <c r="E53" s="154">
        <v>0</v>
      </c>
      <c r="F53" s="146">
        <v>0</v>
      </c>
      <c r="G53" s="154">
        <v>2</v>
      </c>
      <c r="H53" s="154">
        <v>3</v>
      </c>
      <c r="I53" s="154">
        <v>3</v>
      </c>
      <c r="J53" s="154">
        <v>3</v>
      </c>
      <c r="K53" s="154">
        <v>3</v>
      </c>
      <c r="L53" s="154">
        <v>3</v>
      </c>
      <c r="M53" s="154">
        <v>3</v>
      </c>
      <c r="N53" s="154">
        <v>2</v>
      </c>
      <c r="O53" s="146">
        <v>0</v>
      </c>
      <c r="P53" s="146">
        <v>0</v>
      </c>
      <c r="Q53" s="146">
        <v>0</v>
      </c>
      <c r="R53" s="139">
        <v>0</v>
      </c>
      <c r="U53" s="9">
        <f t="shared" si="13"/>
        <v>12</v>
      </c>
      <c r="V53" s="7" t="str">
        <f t="shared" si="14"/>
        <v>0000</v>
      </c>
      <c r="W53" s="7" t="str">
        <f t="shared" si="15"/>
        <v>2333</v>
      </c>
      <c r="X53" s="7" t="str">
        <f t="shared" si="16"/>
        <v>3332</v>
      </c>
      <c r="Y53" s="7" t="str">
        <f t="shared" si="17"/>
        <v>0000</v>
      </c>
    </row>
    <row r="54" spans="1:25" s="81" customFormat="1" ht="14.1" customHeight="1">
      <c r="A54" s="80"/>
      <c r="B54" s="84">
        <v>13</v>
      </c>
      <c r="C54" s="138">
        <v>0</v>
      </c>
      <c r="D54" s="146">
        <v>0</v>
      </c>
      <c r="E54" s="146">
        <v>0</v>
      </c>
      <c r="F54" s="154">
        <v>2</v>
      </c>
      <c r="G54" s="154">
        <v>3</v>
      </c>
      <c r="H54" s="154">
        <v>3</v>
      </c>
      <c r="I54" s="154">
        <v>3</v>
      </c>
      <c r="J54" s="154">
        <v>3</v>
      </c>
      <c r="K54" s="154">
        <v>3</v>
      </c>
      <c r="L54" s="154">
        <v>3</v>
      </c>
      <c r="M54" s="154">
        <v>3</v>
      </c>
      <c r="N54" s="154">
        <v>3</v>
      </c>
      <c r="O54" s="154">
        <v>2</v>
      </c>
      <c r="P54" s="146">
        <v>0</v>
      </c>
      <c r="Q54" s="146">
        <v>0</v>
      </c>
      <c r="R54" s="139">
        <v>0</v>
      </c>
      <c r="U54" s="9">
        <f t="shared" si="13"/>
        <v>13</v>
      </c>
      <c r="V54" s="7" t="str">
        <f t="shared" si="14"/>
        <v>0002</v>
      </c>
      <c r="W54" s="7" t="str">
        <f t="shared" si="15"/>
        <v>3333</v>
      </c>
      <c r="X54" s="7" t="str">
        <f t="shared" si="16"/>
        <v>3333</v>
      </c>
      <c r="Y54" s="7" t="str">
        <f t="shared" si="17"/>
        <v>2000</v>
      </c>
    </row>
    <row r="55" spans="1:25" s="81" customFormat="1" ht="14.1" customHeight="1">
      <c r="A55" s="80"/>
      <c r="B55" s="84">
        <v>14</v>
      </c>
      <c r="C55" s="138">
        <v>0</v>
      </c>
      <c r="D55" s="146">
        <v>0</v>
      </c>
      <c r="E55" s="146">
        <v>0</v>
      </c>
      <c r="F55" s="154">
        <v>2</v>
      </c>
      <c r="G55" s="154">
        <v>3</v>
      </c>
      <c r="H55" s="154">
        <v>3</v>
      </c>
      <c r="I55" s="154">
        <v>3</v>
      </c>
      <c r="J55" s="154">
        <v>3</v>
      </c>
      <c r="K55" s="154">
        <v>3</v>
      </c>
      <c r="L55" s="154">
        <v>3</v>
      </c>
      <c r="M55" s="154">
        <v>3</v>
      </c>
      <c r="N55" s="154">
        <v>3</v>
      </c>
      <c r="O55" s="154">
        <v>2</v>
      </c>
      <c r="P55" s="146">
        <v>0</v>
      </c>
      <c r="Q55" s="146">
        <v>0</v>
      </c>
      <c r="R55" s="139">
        <v>0</v>
      </c>
      <c r="U55" s="9">
        <f t="shared" si="13"/>
        <v>14</v>
      </c>
      <c r="V55" s="7" t="str">
        <f t="shared" si="14"/>
        <v>0002</v>
      </c>
      <c r="W55" s="7" t="str">
        <f t="shared" si="15"/>
        <v>3333</v>
      </c>
      <c r="X55" s="7" t="str">
        <f t="shared" si="16"/>
        <v>3333</v>
      </c>
      <c r="Y55" s="7" t="str">
        <f t="shared" si="17"/>
        <v>2000</v>
      </c>
    </row>
    <row r="56" spans="1:25" s="81" customFormat="1" ht="14.1" customHeight="1">
      <c r="A56" s="80"/>
      <c r="B56" s="84">
        <v>15</v>
      </c>
      <c r="C56" s="138">
        <v>0</v>
      </c>
      <c r="D56" s="146">
        <v>0</v>
      </c>
      <c r="E56" s="146">
        <v>0</v>
      </c>
      <c r="F56" s="154">
        <v>2</v>
      </c>
      <c r="G56" s="154">
        <v>3</v>
      </c>
      <c r="H56" s="154">
        <v>3</v>
      </c>
      <c r="I56" s="154">
        <v>3</v>
      </c>
      <c r="J56" s="154">
        <v>3</v>
      </c>
      <c r="K56" s="154">
        <v>3</v>
      </c>
      <c r="L56" s="154">
        <v>3</v>
      </c>
      <c r="M56" s="154">
        <v>3</v>
      </c>
      <c r="N56" s="154">
        <v>3</v>
      </c>
      <c r="O56" s="154">
        <v>2</v>
      </c>
      <c r="P56" s="146">
        <v>0</v>
      </c>
      <c r="Q56" s="146">
        <v>0</v>
      </c>
      <c r="R56" s="139">
        <v>0</v>
      </c>
      <c r="U56" s="9">
        <f t="shared" si="13"/>
        <v>15</v>
      </c>
      <c r="V56" s="7" t="str">
        <f t="shared" si="14"/>
        <v>0002</v>
      </c>
      <c r="W56" s="7" t="str">
        <f t="shared" si="15"/>
        <v>3333</v>
      </c>
      <c r="X56" s="7" t="str">
        <f t="shared" si="16"/>
        <v>3333</v>
      </c>
      <c r="Y56" s="7" t="str">
        <f t="shared" si="17"/>
        <v>2000</v>
      </c>
    </row>
    <row r="57" spans="1:25" s="81" customFormat="1" ht="14.1" customHeight="1">
      <c r="A57" s="80"/>
      <c r="B57" s="84">
        <v>16</v>
      </c>
      <c r="C57" s="138">
        <v>0</v>
      </c>
      <c r="D57" s="146">
        <v>0</v>
      </c>
      <c r="E57" s="146">
        <v>0</v>
      </c>
      <c r="F57" s="154">
        <v>2</v>
      </c>
      <c r="G57" s="154">
        <v>3</v>
      </c>
      <c r="H57" s="154">
        <v>3</v>
      </c>
      <c r="I57" s="154">
        <v>3</v>
      </c>
      <c r="J57" s="154">
        <v>3</v>
      </c>
      <c r="K57" s="154">
        <v>3</v>
      </c>
      <c r="L57" s="154">
        <v>3</v>
      </c>
      <c r="M57" s="154">
        <v>3</v>
      </c>
      <c r="N57" s="154">
        <v>3</v>
      </c>
      <c r="O57" s="154">
        <v>2</v>
      </c>
      <c r="P57" s="146">
        <v>0</v>
      </c>
      <c r="Q57" s="146">
        <v>0</v>
      </c>
      <c r="R57" s="139">
        <v>0</v>
      </c>
      <c r="U57" s="9">
        <f t="shared" si="13"/>
        <v>16</v>
      </c>
      <c r="V57" s="7" t="str">
        <f t="shared" si="14"/>
        <v>0002</v>
      </c>
      <c r="W57" s="7" t="str">
        <f t="shared" si="15"/>
        <v>3333</v>
      </c>
      <c r="X57" s="7" t="str">
        <f t="shared" si="16"/>
        <v>3333</v>
      </c>
      <c r="Y57" s="7" t="str">
        <f t="shared" si="17"/>
        <v>2000</v>
      </c>
    </row>
    <row r="58" spans="1:25" s="81" customFormat="1" ht="14.1" customHeight="1">
      <c r="A58" s="80"/>
      <c r="B58" s="84">
        <v>17</v>
      </c>
      <c r="C58" s="138">
        <v>0</v>
      </c>
      <c r="D58" s="146">
        <v>0</v>
      </c>
      <c r="E58" s="146">
        <v>0</v>
      </c>
      <c r="F58" s="154">
        <v>2</v>
      </c>
      <c r="G58" s="154">
        <v>3</v>
      </c>
      <c r="H58" s="154">
        <v>3</v>
      </c>
      <c r="I58" s="154">
        <v>3</v>
      </c>
      <c r="J58" s="154">
        <v>3</v>
      </c>
      <c r="K58" s="154">
        <v>3</v>
      </c>
      <c r="L58" s="154">
        <v>3</v>
      </c>
      <c r="M58" s="154">
        <v>3</v>
      </c>
      <c r="N58" s="154">
        <v>3</v>
      </c>
      <c r="O58" s="154">
        <v>2</v>
      </c>
      <c r="P58" s="146">
        <v>0</v>
      </c>
      <c r="Q58" s="146">
        <v>0</v>
      </c>
      <c r="R58" s="139">
        <v>0</v>
      </c>
      <c r="U58" s="9">
        <f t="shared" si="13"/>
        <v>17</v>
      </c>
      <c r="V58" s="7" t="str">
        <f t="shared" si="14"/>
        <v>0002</v>
      </c>
      <c r="W58" s="7" t="str">
        <f t="shared" si="15"/>
        <v>3333</v>
      </c>
      <c r="X58" s="7" t="str">
        <f t="shared" si="16"/>
        <v>3333</v>
      </c>
      <c r="Y58" s="7" t="str">
        <f t="shared" si="17"/>
        <v>2000</v>
      </c>
    </row>
    <row r="59" spans="1:25" s="81" customFormat="1" ht="14.1" customHeight="1">
      <c r="A59" s="80"/>
      <c r="B59" s="84">
        <v>18</v>
      </c>
      <c r="C59" s="138">
        <v>0</v>
      </c>
      <c r="D59" s="146">
        <v>0</v>
      </c>
      <c r="E59" s="146">
        <v>0</v>
      </c>
      <c r="F59" s="154">
        <v>2</v>
      </c>
      <c r="G59" s="154">
        <v>3</v>
      </c>
      <c r="H59" s="154">
        <v>3</v>
      </c>
      <c r="I59" s="154">
        <v>3</v>
      </c>
      <c r="J59" s="154">
        <v>3</v>
      </c>
      <c r="K59" s="154">
        <v>3</v>
      </c>
      <c r="L59" s="154">
        <v>3</v>
      </c>
      <c r="M59" s="154">
        <v>3</v>
      </c>
      <c r="N59" s="154">
        <v>3</v>
      </c>
      <c r="O59" s="154">
        <v>2</v>
      </c>
      <c r="P59" s="146">
        <v>0</v>
      </c>
      <c r="Q59" s="146">
        <v>0</v>
      </c>
      <c r="R59" s="139">
        <v>0</v>
      </c>
      <c r="U59" s="9">
        <f t="shared" si="13"/>
        <v>18</v>
      </c>
      <c r="V59" s="7" t="str">
        <f t="shared" si="14"/>
        <v>0002</v>
      </c>
      <c r="W59" s="7" t="str">
        <f t="shared" si="15"/>
        <v>3333</v>
      </c>
      <c r="X59" s="7" t="str">
        <f t="shared" si="16"/>
        <v>3333</v>
      </c>
      <c r="Y59" s="7" t="str">
        <f t="shared" si="17"/>
        <v>2000</v>
      </c>
    </row>
    <row r="60" spans="1:25" s="81" customFormat="1" ht="14.1" customHeight="1">
      <c r="A60" s="80"/>
      <c r="B60" s="84">
        <v>19</v>
      </c>
      <c r="C60" s="138">
        <v>0</v>
      </c>
      <c r="D60" s="146">
        <v>0</v>
      </c>
      <c r="E60" s="154">
        <v>0</v>
      </c>
      <c r="F60" s="146">
        <v>0</v>
      </c>
      <c r="G60" s="154">
        <v>2</v>
      </c>
      <c r="H60" s="154">
        <v>3</v>
      </c>
      <c r="I60" s="154">
        <v>3</v>
      </c>
      <c r="J60" s="154">
        <v>3</v>
      </c>
      <c r="K60" s="154">
        <v>3</v>
      </c>
      <c r="L60" s="154">
        <v>3</v>
      </c>
      <c r="M60" s="154">
        <v>3</v>
      </c>
      <c r="N60" s="154">
        <v>2</v>
      </c>
      <c r="O60" s="154">
        <v>0</v>
      </c>
      <c r="P60" s="154">
        <v>0</v>
      </c>
      <c r="Q60" s="146">
        <v>0</v>
      </c>
      <c r="R60" s="139">
        <v>0</v>
      </c>
      <c r="U60" s="9">
        <f t="shared" si="13"/>
        <v>19</v>
      </c>
      <c r="V60" s="7" t="str">
        <f t="shared" si="14"/>
        <v>0000</v>
      </c>
      <c r="W60" s="7" t="str">
        <f t="shared" si="15"/>
        <v>2333</v>
      </c>
      <c r="X60" s="7" t="str">
        <f t="shared" si="16"/>
        <v>3332</v>
      </c>
      <c r="Y60" s="7" t="str">
        <f t="shared" si="17"/>
        <v>0000</v>
      </c>
    </row>
    <row r="61" spans="1:25" s="81" customFormat="1" ht="14.1" customHeight="1">
      <c r="A61" s="80"/>
      <c r="B61" s="84">
        <v>20</v>
      </c>
      <c r="C61" s="138">
        <v>0</v>
      </c>
      <c r="D61" s="146">
        <v>0</v>
      </c>
      <c r="E61" s="154">
        <v>0</v>
      </c>
      <c r="F61" s="146">
        <v>0</v>
      </c>
      <c r="G61" s="154">
        <v>2</v>
      </c>
      <c r="H61" s="154">
        <v>3</v>
      </c>
      <c r="I61" s="154">
        <v>3</v>
      </c>
      <c r="J61" s="154">
        <v>3</v>
      </c>
      <c r="K61" s="154">
        <v>3</v>
      </c>
      <c r="L61" s="154">
        <v>3</v>
      </c>
      <c r="M61" s="154">
        <v>3</v>
      </c>
      <c r="N61" s="154">
        <v>2</v>
      </c>
      <c r="O61" s="154">
        <v>0</v>
      </c>
      <c r="P61" s="154">
        <v>0</v>
      </c>
      <c r="Q61" s="146">
        <v>0</v>
      </c>
      <c r="R61" s="139">
        <v>0</v>
      </c>
      <c r="U61" s="9">
        <f t="shared" si="13"/>
        <v>20</v>
      </c>
      <c r="V61" s="7" t="str">
        <f t="shared" si="14"/>
        <v>0000</v>
      </c>
      <c r="W61" s="7" t="str">
        <f t="shared" si="15"/>
        <v>2333</v>
      </c>
      <c r="X61" s="7" t="str">
        <f t="shared" si="16"/>
        <v>3332</v>
      </c>
      <c r="Y61" s="7" t="str">
        <f t="shared" si="17"/>
        <v>0000</v>
      </c>
    </row>
    <row r="62" spans="1:25" s="81" customFormat="1" ht="14.1" customHeight="1">
      <c r="A62" s="80"/>
      <c r="B62" s="84">
        <v>21</v>
      </c>
      <c r="C62" s="138">
        <v>0</v>
      </c>
      <c r="D62" s="146">
        <v>0</v>
      </c>
      <c r="E62" s="154">
        <v>0</v>
      </c>
      <c r="F62" s="146">
        <v>0</v>
      </c>
      <c r="G62" s="154">
        <v>2</v>
      </c>
      <c r="H62" s="154">
        <v>3</v>
      </c>
      <c r="I62" s="154">
        <v>3</v>
      </c>
      <c r="J62" s="154">
        <v>3</v>
      </c>
      <c r="K62" s="154">
        <v>3</v>
      </c>
      <c r="L62" s="154">
        <v>3</v>
      </c>
      <c r="M62" s="154">
        <v>3</v>
      </c>
      <c r="N62" s="154">
        <v>2</v>
      </c>
      <c r="O62" s="154">
        <v>0</v>
      </c>
      <c r="P62" s="154">
        <v>0</v>
      </c>
      <c r="Q62" s="146">
        <v>0</v>
      </c>
      <c r="R62" s="139">
        <v>0</v>
      </c>
      <c r="U62" s="9">
        <f t="shared" si="13"/>
        <v>21</v>
      </c>
      <c r="V62" s="7" t="str">
        <f t="shared" si="14"/>
        <v>0000</v>
      </c>
      <c r="W62" s="7" t="str">
        <f t="shared" si="15"/>
        <v>2333</v>
      </c>
      <c r="X62" s="7" t="str">
        <f t="shared" si="16"/>
        <v>3332</v>
      </c>
      <c r="Y62" s="7" t="str">
        <f t="shared" si="17"/>
        <v>0000</v>
      </c>
    </row>
    <row r="63" spans="1:25" s="81" customFormat="1" ht="14.1" customHeight="1">
      <c r="A63" s="80"/>
      <c r="B63" s="84">
        <v>22</v>
      </c>
      <c r="C63" s="138">
        <v>0</v>
      </c>
      <c r="D63" s="146">
        <v>0</v>
      </c>
      <c r="E63" s="154">
        <v>0</v>
      </c>
      <c r="F63" s="146">
        <v>0</v>
      </c>
      <c r="G63" s="154">
        <v>2</v>
      </c>
      <c r="H63" s="154">
        <v>3</v>
      </c>
      <c r="I63" s="154">
        <v>3</v>
      </c>
      <c r="J63" s="154">
        <v>3</v>
      </c>
      <c r="K63" s="154">
        <v>3</v>
      </c>
      <c r="L63" s="154">
        <v>3</v>
      </c>
      <c r="M63" s="154">
        <v>3</v>
      </c>
      <c r="N63" s="154">
        <v>2</v>
      </c>
      <c r="O63" s="154">
        <v>0</v>
      </c>
      <c r="P63" s="154">
        <v>0</v>
      </c>
      <c r="Q63" s="146">
        <v>0</v>
      </c>
      <c r="R63" s="139">
        <v>0</v>
      </c>
      <c r="U63" s="9">
        <f t="shared" si="13"/>
        <v>22</v>
      </c>
      <c r="V63" s="7" t="str">
        <f t="shared" si="14"/>
        <v>0000</v>
      </c>
      <c r="W63" s="7" t="str">
        <f t="shared" si="15"/>
        <v>2333</v>
      </c>
      <c r="X63" s="7" t="str">
        <f t="shared" si="16"/>
        <v>3332</v>
      </c>
      <c r="Y63" s="7" t="str">
        <f t="shared" si="17"/>
        <v>0000</v>
      </c>
    </row>
    <row r="64" spans="1:25" s="81" customFormat="1" ht="14.1" customHeight="1">
      <c r="A64" s="80"/>
      <c r="B64" s="84">
        <v>23</v>
      </c>
      <c r="C64" s="138">
        <v>0</v>
      </c>
      <c r="D64" s="146">
        <v>0</v>
      </c>
      <c r="E64" s="154">
        <v>0</v>
      </c>
      <c r="F64" s="146">
        <v>0</v>
      </c>
      <c r="G64" s="154">
        <v>2</v>
      </c>
      <c r="H64" s="154">
        <v>2</v>
      </c>
      <c r="I64" s="154">
        <v>3</v>
      </c>
      <c r="J64" s="154">
        <v>3</v>
      </c>
      <c r="K64" s="154">
        <v>3</v>
      </c>
      <c r="L64" s="154">
        <v>3</v>
      </c>
      <c r="M64" s="154">
        <v>2</v>
      </c>
      <c r="N64" s="154">
        <v>2</v>
      </c>
      <c r="O64" s="154">
        <v>0</v>
      </c>
      <c r="P64" s="154">
        <v>0</v>
      </c>
      <c r="Q64" s="146">
        <v>0</v>
      </c>
      <c r="R64" s="139">
        <v>0</v>
      </c>
      <c r="U64" s="9">
        <f t="shared" si="13"/>
        <v>23</v>
      </c>
      <c r="V64" s="7" t="str">
        <f t="shared" si="14"/>
        <v>0000</v>
      </c>
      <c r="W64" s="7" t="str">
        <f t="shared" si="15"/>
        <v>2233</v>
      </c>
      <c r="X64" s="7" t="str">
        <f t="shared" si="16"/>
        <v>3322</v>
      </c>
      <c r="Y64" s="7" t="str">
        <f t="shared" si="17"/>
        <v>0000</v>
      </c>
    </row>
    <row r="65" spans="1:25" s="81" customFormat="1" ht="14.1" customHeight="1">
      <c r="A65" s="80"/>
      <c r="B65" s="84">
        <v>24</v>
      </c>
      <c r="C65" s="138">
        <v>0</v>
      </c>
      <c r="D65" s="146">
        <v>0</v>
      </c>
      <c r="E65" s="154">
        <v>0</v>
      </c>
      <c r="F65" s="146">
        <v>0</v>
      </c>
      <c r="G65" s="154">
        <v>2</v>
      </c>
      <c r="H65" s="154">
        <v>2</v>
      </c>
      <c r="I65" s="154">
        <v>2</v>
      </c>
      <c r="J65" s="154">
        <v>3</v>
      </c>
      <c r="K65" s="154">
        <v>3</v>
      </c>
      <c r="L65" s="154">
        <v>2</v>
      </c>
      <c r="M65" s="154">
        <v>2</v>
      </c>
      <c r="N65" s="154">
        <v>2</v>
      </c>
      <c r="O65" s="154">
        <v>0</v>
      </c>
      <c r="P65" s="154">
        <v>0</v>
      </c>
      <c r="Q65" s="146">
        <v>0</v>
      </c>
      <c r="R65" s="139">
        <v>0</v>
      </c>
      <c r="U65" s="9">
        <f t="shared" si="13"/>
        <v>24</v>
      </c>
      <c r="V65" s="7" t="str">
        <f t="shared" si="14"/>
        <v>0000</v>
      </c>
      <c r="W65" s="7" t="str">
        <f t="shared" si="15"/>
        <v>2223</v>
      </c>
      <c r="X65" s="7" t="str">
        <f t="shared" si="16"/>
        <v>3222</v>
      </c>
      <c r="Y65" s="7" t="str">
        <f t="shared" si="17"/>
        <v>0000</v>
      </c>
    </row>
    <row r="66" spans="1:25" s="81" customFormat="1" ht="14.1" customHeight="1">
      <c r="A66" s="80"/>
      <c r="B66" s="84">
        <v>25</v>
      </c>
      <c r="C66" s="138">
        <v>0</v>
      </c>
      <c r="D66" s="146">
        <v>0</v>
      </c>
      <c r="E66" s="154">
        <v>0</v>
      </c>
      <c r="F66" s="146">
        <v>0</v>
      </c>
      <c r="G66" s="146">
        <v>0</v>
      </c>
      <c r="H66" s="146">
        <v>0</v>
      </c>
      <c r="I66" s="146">
        <v>0</v>
      </c>
      <c r="J66" s="154">
        <v>2</v>
      </c>
      <c r="K66" s="154">
        <v>2</v>
      </c>
      <c r="L66" s="146">
        <v>0</v>
      </c>
      <c r="M66" s="146">
        <v>0</v>
      </c>
      <c r="N66" s="146">
        <v>0</v>
      </c>
      <c r="O66" s="146">
        <v>0</v>
      </c>
      <c r="P66" s="154">
        <v>0</v>
      </c>
      <c r="Q66" s="146">
        <v>0</v>
      </c>
      <c r="R66" s="139">
        <v>0</v>
      </c>
      <c r="U66" s="9">
        <f t="shared" si="13"/>
        <v>25</v>
      </c>
      <c r="V66" s="7" t="str">
        <f t="shared" si="14"/>
        <v>0000</v>
      </c>
      <c r="W66" s="7" t="str">
        <f t="shared" si="15"/>
        <v>0002</v>
      </c>
      <c r="X66" s="7" t="str">
        <f t="shared" si="16"/>
        <v>2000</v>
      </c>
      <c r="Y66" s="7" t="str">
        <f t="shared" si="17"/>
        <v>0000</v>
      </c>
    </row>
    <row r="67" spans="1:25" s="81" customFormat="1" ht="14.1" customHeight="1">
      <c r="A67" s="80"/>
      <c r="B67" s="84">
        <v>26</v>
      </c>
      <c r="C67" s="138">
        <v>0</v>
      </c>
      <c r="D67" s="146">
        <v>0</v>
      </c>
      <c r="E67" s="146">
        <v>0</v>
      </c>
      <c r="F67" s="146">
        <v>0</v>
      </c>
      <c r="G67" s="146">
        <v>0</v>
      </c>
      <c r="H67" s="146">
        <v>0</v>
      </c>
      <c r="I67" s="146">
        <v>0</v>
      </c>
      <c r="J67" s="146">
        <v>0</v>
      </c>
      <c r="K67" s="146">
        <v>0</v>
      </c>
      <c r="L67" s="146">
        <v>0</v>
      </c>
      <c r="M67" s="146">
        <v>0</v>
      </c>
      <c r="N67" s="146">
        <v>0</v>
      </c>
      <c r="O67" s="146">
        <v>0</v>
      </c>
      <c r="P67" s="146">
        <v>0</v>
      </c>
      <c r="Q67" s="146">
        <v>0</v>
      </c>
      <c r="R67" s="139">
        <v>0</v>
      </c>
      <c r="U67" s="9">
        <f t="shared" si="13"/>
        <v>26</v>
      </c>
      <c r="V67" s="7" t="str">
        <f t="shared" si="14"/>
        <v>0000</v>
      </c>
      <c r="W67" s="7" t="str">
        <f t="shared" si="15"/>
        <v>0000</v>
      </c>
      <c r="X67" s="7" t="str">
        <f t="shared" si="16"/>
        <v>0000</v>
      </c>
      <c r="Y67" s="7" t="str">
        <f t="shared" si="17"/>
        <v>0000</v>
      </c>
    </row>
    <row r="68" spans="1:25" s="81" customFormat="1" ht="14.1" customHeight="1">
      <c r="A68" s="80"/>
      <c r="B68" s="84">
        <v>27</v>
      </c>
      <c r="C68" s="138">
        <v>0</v>
      </c>
      <c r="D68" s="146">
        <v>0</v>
      </c>
      <c r="E68" s="146">
        <v>0</v>
      </c>
      <c r="F68" s="146">
        <v>0</v>
      </c>
      <c r="G68" s="146">
        <v>0</v>
      </c>
      <c r="H68" s="146">
        <v>0</v>
      </c>
      <c r="I68" s="146">
        <v>0</v>
      </c>
      <c r="J68" s="146">
        <v>0</v>
      </c>
      <c r="K68" s="146">
        <v>0</v>
      </c>
      <c r="L68" s="146">
        <v>0</v>
      </c>
      <c r="M68" s="146">
        <v>0</v>
      </c>
      <c r="N68" s="146">
        <v>0</v>
      </c>
      <c r="O68" s="146">
        <v>0</v>
      </c>
      <c r="P68" s="146">
        <v>0</v>
      </c>
      <c r="Q68" s="146">
        <v>0</v>
      </c>
      <c r="R68" s="139">
        <v>0</v>
      </c>
      <c r="U68" s="9">
        <f t="shared" si="13"/>
        <v>27</v>
      </c>
      <c r="V68" s="7" t="str">
        <f t="shared" si="14"/>
        <v>0000</v>
      </c>
      <c r="W68" s="7" t="str">
        <f t="shared" si="15"/>
        <v>0000</v>
      </c>
      <c r="X68" s="7" t="str">
        <f t="shared" si="16"/>
        <v>0000</v>
      </c>
      <c r="Y68" s="7" t="str">
        <f t="shared" si="17"/>
        <v>0000</v>
      </c>
    </row>
    <row r="69" spans="1:25" s="81" customFormat="1" ht="14.1" customHeight="1">
      <c r="A69" s="80"/>
      <c r="B69" s="84">
        <v>28</v>
      </c>
      <c r="C69" s="138">
        <v>0</v>
      </c>
      <c r="D69" s="146">
        <v>0</v>
      </c>
      <c r="E69" s="146">
        <v>0</v>
      </c>
      <c r="F69" s="146">
        <v>0</v>
      </c>
      <c r="G69" s="146">
        <v>0</v>
      </c>
      <c r="H69" s="146">
        <v>0</v>
      </c>
      <c r="I69" s="146">
        <v>0</v>
      </c>
      <c r="J69" s="146">
        <v>0</v>
      </c>
      <c r="K69" s="146">
        <v>0</v>
      </c>
      <c r="L69" s="146">
        <v>0</v>
      </c>
      <c r="M69" s="146">
        <v>0</v>
      </c>
      <c r="N69" s="146">
        <v>0</v>
      </c>
      <c r="O69" s="146">
        <v>0</v>
      </c>
      <c r="P69" s="146">
        <v>0</v>
      </c>
      <c r="Q69" s="146">
        <v>0</v>
      </c>
      <c r="R69" s="139">
        <v>0</v>
      </c>
      <c r="U69" s="9">
        <f t="shared" si="13"/>
        <v>28</v>
      </c>
      <c r="V69" s="7" t="str">
        <f t="shared" si="14"/>
        <v>0000</v>
      </c>
      <c r="W69" s="7" t="str">
        <f t="shared" si="15"/>
        <v>0000</v>
      </c>
      <c r="X69" s="7" t="str">
        <f t="shared" si="16"/>
        <v>0000</v>
      </c>
      <c r="Y69" s="7" t="str">
        <f t="shared" si="17"/>
        <v>0000</v>
      </c>
    </row>
    <row r="70" spans="1:25" s="81" customFormat="1" ht="14.1" customHeight="1">
      <c r="A70" s="80"/>
      <c r="B70" s="84">
        <v>29</v>
      </c>
      <c r="C70" s="138">
        <v>0</v>
      </c>
      <c r="D70" s="146">
        <v>0</v>
      </c>
      <c r="E70" s="146">
        <v>0</v>
      </c>
      <c r="F70" s="146">
        <v>0</v>
      </c>
      <c r="G70" s="146">
        <v>0</v>
      </c>
      <c r="H70" s="146">
        <v>0</v>
      </c>
      <c r="I70" s="146">
        <v>0</v>
      </c>
      <c r="J70" s="146">
        <v>0</v>
      </c>
      <c r="K70" s="146">
        <v>0</v>
      </c>
      <c r="L70" s="146">
        <v>0</v>
      </c>
      <c r="M70" s="146">
        <v>0</v>
      </c>
      <c r="N70" s="146">
        <v>0</v>
      </c>
      <c r="O70" s="146">
        <v>0</v>
      </c>
      <c r="P70" s="146">
        <v>0</v>
      </c>
      <c r="Q70" s="146">
        <v>0</v>
      </c>
      <c r="R70" s="139">
        <v>0</v>
      </c>
      <c r="U70" s="9">
        <f t="shared" si="13"/>
        <v>29</v>
      </c>
      <c r="V70" s="7" t="str">
        <f t="shared" si="14"/>
        <v>0000</v>
      </c>
      <c r="W70" s="7" t="str">
        <f t="shared" si="15"/>
        <v>0000</v>
      </c>
      <c r="X70" s="7" t="str">
        <f t="shared" si="16"/>
        <v>0000</v>
      </c>
      <c r="Y70" s="7" t="str">
        <f t="shared" si="17"/>
        <v>0000</v>
      </c>
    </row>
    <row r="71" spans="1:25" s="81" customFormat="1" ht="14.1" customHeight="1">
      <c r="A71" s="80"/>
      <c r="B71" s="84">
        <v>30</v>
      </c>
      <c r="C71" s="138">
        <v>0</v>
      </c>
      <c r="D71" s="146">
        <v>0</v>
      </c>
      <c r="E71" s="146">
        <v>0</v>
      </c>
      <c r="F71" s="146">
        <v>0</v>
      </c>
      <c r="G71" s="146">
        <v>0</v>
      </c>
      <c r="H71" s="146">
        <v>0</v>
      </c>
      <c r="I71" s="146">
        <v>0</v>
      </c>
      <c r="J71" s="146">
        <v>0</v>
      </c>
      <c r="K71" s="146">
        <v>0</v>
      </c>
      <c r="L71" s="146">
        <v>0</v>
      </c>
      <c r="M71" s="146">
        <v>0</v>
      </c>
      <c r="N71" s="146">
        <v>0</v>
      </c>
      <c r="O71" s="146">
        <v>0</v>
      </c>
      <c r="P71" s="146">
        <v>0</v>
      </c>
      <c r="Q71" s="146">
        <v>0</v>
      </c>
      <c r="R71" s="139">
        <v>0</v>
      </c>
      <c r="U71" s="9">
        <f t="shared" si="13"/>
        <v>30</v>
      </c>
      <c r="V71" s="7" t="str">
        <f t="shared" si="14"/>
        <v>0000</v>
      </c>
      <c r="W71" s="7" t="str">
        <f t="shared" si="15"/>
        <v>0000</v>
      </c>
      <c r="X71" s="7" t="str">
        <f t="shared" si="16"/>
        <v>0000</v>
      </c>
      <c r="Y71" s="7" t="str">
        <f t="shared" si="17"/>
        <v>0000</v>
      </c>
    </row>
    <row r="72" spans="1:25" s="81" customFormat="1" ht="14.1" customHeight="1" thickBot="1">
      <c r="A72" s="80"/>
      <c r="B72" s="84">
        <v>31</v>
      </c>
      <c r="C72" s="132">
        <v>0</v>
      </c>
      <c r="D72" s="133">
        <v>0</v>
      </c>
      <c r="E72" s="133">
        <v>0</v>
      </c>
      <c r="F72" s="133">
        <v>0</v>
      </c>
      <c r="G72" s="133">
        <v>0</v>
      </c>
      <c r="H72" s="133">
        <v>0</v>
      </c>
      <c r="I72" s="133">
        <v>0</v>
      </c>
      <c r="J72" s="133">
        <v>0</v>
      </c>
      <c r="K72" s="133">
        <v>0</v>
      </c>
      <c r="L72" s="133">
        <v>0</v>
      </c>
      <c r="M72" s="133">
        <v>0</v>
      </c>
      <c r="N72" s="133">
        <v>0</v>
      </c>
      <c r="O72" s="133">
        <v>0</v>
      </c>
      <c r="P72" s="133">
        <v>0</v>
      </c>
      <c r="Q72" s="133">
        <v>0</v>
      </c>
      <c r="R72" s="134">
        <v>0</v>
      </c>
      <c r="U72" s="9">
        <f t="shared" si="13"/>
        <v>31</v>
      </c>
      <c r="V72" s="7" t="str">
        <f t="shared" si="14"/>
        <v>0000</v>
      </c>
      <c r="W72" s="7" t="str">
        <f t="shared" si="15"/>
        <v>0000</v>
      </c>
      <c r="X72" s="7" t="str">
        <f t="shared" si="16"/>
        <v>0000</v>
      </c>
      <c r="Y72" s="7" t="str">
        <f t="shared" si="17"/>
        <v>0000</v>
      </c>
    </row>
    <row r="73" spans="1:25" s="81" customFormat="1">
      <c r="A73" s="80"/>
      <c r="U73" s="85"/>
    </row>
    <row r="74" spans="1:25" s="81" customFormat="1">
      <c r="A74" s="80"/>
      <c r="U74" s="85"/>
    </row>
    <row r="75" spans="1:25" s="81" customFormat="1">
      <c r="A75" s="80" t="s">
        <v>312</v>
      </c>
      <c r="U75" s="8" t="str">
        <f>A75</f>
        <v>3.Center-weighted average 2(Storage to ROM)</v>
      </c>
    </row>
    <row r="76" spans="1:25" s="81" customFormat="1" ht="15" thickBot="1">
      <c r="A76" s="80"/>
      <c r="C76" s="84">
        <v>0</v>
      </c>
      <c r="D76" s="84">
        <v>1</v>
      </c>
      <c r="E76" s="84">
        <v>2</v>
      </c>
      <c r="F76" s="84">
        <v>3</v>
      </c>
      <c r="G76" s="84">
        <v>4</v>
      </c>
      <c r="H76" s="84">
        <v>5</v>
      </c>
      <c r="I76" s="84">
        <v>6</v>
      </c>
      <c r="J76" s="84">
        <v>7</v>
      </c>
      <c r="K76" s="84">
        <v>8</v>
      </c>
      <c r="L76" s="84">
        <v>9</v>
      </c>
      <c r="M76" s="84">
        <v>10</v>
      </c>
      <c r="N76" s="84">
        <v>11</v>
      </c>
      <c r="O76" s="84">
        <v>12</v>
      </c>
      <c r="P76" s="84">
        <v>13</v>
      </c>
      <c r="Q76" s="84">
        <v>14</v>
      </c>
      <c r="R76" s="84">
        <v>15</v>
      </c>
      <c r="U76" s="85"/>
      <c r="V76" s="7" t="str">
        <f t="shared" ref="V76" si="18">C76&amp;D76&amp;E76&amp;F76</f>
        <v>0123</v>
      </c>
      <c r="W76" s="7" t="str">
        <f t="shared" ref="W76" si="19">G76&amp;H76&amp;I76&amp;J76</f>
        <v>4567</v>
      </c>
      <c r="X76" s="7" t="str">
        <f t="shared" ref="X76" si="20">K76&amp;L76&amp;M76&amp;N76</f>
        <v>891011</v>
      </c>
      <c r="Y76" s="7" t="str">
        <f t="shared" ref="Y76" si="21">O76&amp;P76&amp;Q76&amp;R76</f>
        <v>12131415</v>
      </c>
    </row>
    <row r="77" spans="1:25" s="81" customFormat="1" ht="14.1" customHeight="1" thickBot="1">
      <c r="A77" s="80"/>
      <c r="B77" s="84">
        <v>0</v>
      </c>
      <c r="C77" s="118">
        <v>0</v>
      </c>
      <c r="D77" s="150">
        <v>0</v>
      </c>
      <c r="E77" s="150">
        <v>0</v>
      </c>
      <c r="F77" s="150">
        <v>0</v>
      </c>
      <c r="G77" s="150">
        <v>0</v>
      </c>
      <c r="H77" s="150">
        <v>0</v>
      </c>
      <c r="I77" s="150">
        <v>0</v>
      </c>
      <c r="J77" s="150">
        <v>0</v>
      </c>
      <c r="K77" s="150">
        <v>0</v>
      </c>
      <c r="L77" s="150">
        <v>0</v>
      </c>
      <c r="M77" s="150">
        <v>0</v>
      </c>
      <c r="N77" s="150">
        <v>0</v>
      </c>
      <c r="O77" s="150">
        <v>0</v>
      </c>
      <c r="P77" s="150">
        <v>0</v>
      </c>
      <c r="Q77" s="150">
        <v>0</v>
      </c>
      <c r="R77" s="150">
        <v>0</v>
      </c>
      <c r="U77" s="9">
        <f t="shared" ref="U77:U108" si="22">B77</f>
        <v>0</v>
      </c>
      <c r="V77" s="7" t="str">
        <f t="shared" si="14"/>
        <v>0000</v>
      </c>
      <c r="W77" s="7" t="str">
        <f t="shared" si="15"/>
        <v>0000</v>
      </c>
      <c r="X77" s="7" t="str">
        <f t="shared" si="16"/>
        <v>0000</v>
      </c>
      <c r="Y77" s="7" t="str">
        <f t="shared" si="17"/>
        <v>0000</v>
      </c>
    </row>
    <row r="78" spans="1:25" s="81" customFormat="1" ht="14.1" customHeight="1" thickBot="1">
      <c r="A78" s="80"/>
      <c r="B78" s="84">
        <v>1</v>
      </c>
      <c r="C78" s="117">
        <v>0</v>
      </c>
      <c r="D78" s="138">
        <v>0</v>
      </c>
      <c r="E78" s="138">
        <v>0</v>
      </c>
      <c r="F78" s="138">
        <v>0</v>
      </c>
      <c r="G78" s="138">
        <v>0</v>
      </c>
      <c r="H78" s="138">
        <v>0</v>
      </c>
      <c r="I78" s="138">
        <v>0</v>
      </c>
      <c r="J78" s="138">
        <v>0</v>
      </c>
      <c r="K78" s="138">
        <v>0</v>
      </c>
      <c r="L78" s="138">
        <v>0</v>
      </c>
      <c r="M78" s="138">
        <v>0</v>
      </c>
      <c r="N78" s="138">
        <v>0</v>
      </c>
      <c r="O78" s="138">
        <v>0</v>
      </c>
      <c r="P78" s="138">
        <v>0</v>
      </c>
      <c r="Q78" s="138">
        <v>0</v>
      </c>
      <c r="R78" s="150">
        <v>0</v>
      </c>
      <c r="U78" s="9">
        <f t="shared" si="22"/>
        <v>1</v>
      </c>
      <c r="V78" s="7" t="str">
        <f t="shared" si="14"/>
        <v>0000</v>
      </c>
      <c r="W78" s="7" t="str">
        <f t="shared" si="15"/>
        <v>0000</v>
      </c>
      <c r="X78" s="7" t="str">
        <f t="shared" si="16"/>
        <v>0000</v>
      </c>
      <c r="Y78" s="7" t="str">
        <f t="shared" si="17"/>
        <v>0000</v>
      </c>
    </row>
    <row r="79" spans="1:25" s="81" customFormat="1" ht="14.1" customHeight="1" thickBot="1">
      <c r="A79" s="80"/>
      <c r="B79" s="84">
        <v>2</v>
      </c>
      <c r="C79" s="119">
        <v>0</v>
      </c>
      <c r="D79" s="121">
        <v>0</v>
      </c>
      <c r="E79" s="146">
        <v>0</v>
      </c>
      <c r="F79" s="146">
        <v>0</v>
      </c>
      <c r="G79" s="146">
        <v>0</v>
      </c>
      <c r="H79" s="120">
        <v>0</v>
      </c>
      <c r="I79" s="120">
        <v>0</v>
      </c>
      <c r="J79" s="120">
        <v>0</v>
      </c>
      <c r="K79" s="120">
        <v>0</v>
      </c>
      <c r="L79" s="120">
        <v>0</v>
      </c>
      <c r="M79" s="120">
        <v>0</v>
      </c>
      <c r="N79" s="121">
        <v>0</v>
      </c>
      <c r="O79" s="121">
        <v>0</v>
      </c>
      <c r="P79" s="121">
        <v>0</v>
      </c>
      <c r="Q79" s="121">
        <v>0</v>
      </c>
      <c r="R79" s="150">
        <v>0</v>
      </c>
      <c r="U79" s="9">
        <f t="shared" si="22"/>
        <v>2</v>
      </c>
      <c r="V79" s="7" t="str">
        <f t="shared" si="14"/>
        <v>0000</v>
      </c>
      <c r="W79" s="7" t="str">
        <f t="shared" si="15"/>
        <v>0000</v>
      </c>
      <c r="X79" s="7" t="str">
        <f t="shared" si="16"/>
        <v>0000</v>
      </c>
      <c r="Y79" s="7" t="str">
        <f t="shared" si="17"/>
        <v>0000</v>
      </c>
    </row>
    <row r="80" spans="1:25" s="81" customFormat="1" ht="14.1" customHeight="1" thickBot="1">
      <c r="A80" s="80"/>
      <c r="B80" s="84">
        <v>3</v>
      </c>
      <c r="C80" s="153">
        <v>0</v>
      </c>
      <c r="D80" s="153">
        <v>0</v>
      </c>
      <c r="E80" s="153">
        <v>0</v>
      </c>
      <c r="F80" s="153">
        <v>0</v>
      </c>
      <c r="G80" s="153">
        <v>0</v>
      </c>
      <c r="H80" s="120">
        <v>0</v>
      </c>
      <c r="I80" s="120">
        <v>0</v>
      </c>
      <c r="J80" s="120">
        <v>0</v>
      </c>
      <c r="K80" s="120">
        <v>0</v>
      </c>
      <c r="L80" s="120">
        <v>0</v>
      </c>
      <c r="M80" s="120">
        <v>0</v>
      </c>
      <c r="N80" s="121">
        <v>0</v>
      </c>
      <c r="O80" s="121">
        <v>0</v>
      </c>
      <c r="P80" s="121">
        <v>0</v>
      </c>
      <c r="Q80" s="121">
        <v>0</v>
      </c>
      <c r="R80" s="150">
        <v>0</v>
      </c>
      <c r="U80" s="9">
        <f t="shared" si="22"/>
        <v>3</v>
      </c>
      <c r="V80" s="7" t="str">
        <f t="shared" si="14"/>
        <v>0000</v>
      </c>
      <c r="W80" s="7" t="str">
        <f t="shared" si="15"/>
        <v>0000</v>
      </c>
      <c r="X80" s="7" t="str">
        <f t="shared" si="16"/>
        <v>0000</v>
      </c>
      <c r="Y80" s="7" t="str">
        <f t="shared" si="17"/>
        <v>0000</v>
      </c>
    </row>
    <row r="81" spans="1:25" s="81" customFormat="1" ht="14.1" customHeight="1" thickBot="1">
      <c r="A81" s="80"/>
      <c r="B81" s="84">
        <v>4</v>
      </c>
      <c r="C81" s="153">
        <v>0</v>
      </c>
      <c r="D81" s="153">
        <v>0</v>
      </c>
      <c r="E81" s="153">
        <v>0</v>
      </c>
      <c r="F81" s="120">
        <v>0</v>
      </c>
      <c r="G81" s="120">
        <v>0</v>
      </c>
      <c r="H81" s="120">
        <v>0</v>
      </c>
      <c r="I81" s="120">
        <v>2</v>
      </c>
      <c r="J81" s="120">
        <v>2</v>
      </c>
      <c r="K81" s="120">
        <v>2</v>
      </c>
      <c r="L81" s="120">
        <v>2</v>
      </c>
      <c r="M81" s="120">
        <v>0</v>
      </c>
      <c r="N81" s="120">
        <v>0</v>
      </c>
      <c r="O81" s="120">
        <v>0</v>
      </c>
      <c r="P81" s="121">
        <v>0</v>
      </c>
      <c r="Q81" s="121">
        <v>0</v>
      </c>
      <c r="R81" s="150">
        <v>0</v>
      </c>
      <c r="U81" s="9">
        <f t="shared" si="22"/>
        <v>4</v>
      </c>
      <c r="V81" s="7" t="str">
        <f t="shared" si="14"/>
        <v>0000</v>
      </c>
      <c r="W81" s="7" t="str">
        <f t="shared" si="15"/>
        <v>0022</v>
      </c>
      <c r="X81" s="7" t="str">
        <f t="shared" si="16"/>
        <v>2200</v>
      </c>
      <c r="Y81" s="7" t="str">
        <f t="shared" si="17"/>
        <v>0000</v>
      </c>
    </row>
    <row r="82" spans="1:25" s="81" customFormat="1" ht="14.1" customHeight="1" thickBot="1">
      <c r="A82" s="80"/>
      <c r="B82" s="84">
        <v>5</v>
      </c>
      <c r="C82" s="153">
        <v>0</v>
      </c>
      <c r="D82" s="153">
        <v>0</v>
      </c>
      <c r="E82" s="153">
        <v>0</v>
      </c>
      <c r="F82" s="120">
        <v>0</v>
      </c>
      <c r="G82" s="120">
        <v>0</v>
      </c>
      <c r="H82" s="120">
        <v>0</v>
      </c>
      <c r="I82" s="120">
        <v>2</v>
      </c>
      <c r="J82" s="120">
        <v>2</v>
      </c>
      <c r="K82" s="120">
        <v>2</v>
      </c>
      <c r="L82" s="120">
        <v>2</v>
      </c>
      <c r="M82" s="120">
        <v>0</v>
      </c>
      <c r="N82" s="120">
        <v>0</v>
      </c>
      <c r="O82" s="120">
        <v>0</v>
      </c>
      <c r="P82" s="121">
        <v>0</v>
      </c>
      <c r="Q82" s="121">
        <v>0</v>
      </c>
      <c r="R82" s="150">
        <v>0</v>
      </c>
      <c r="U82" s="9">
        <f t="shared" si="22"/>
        <v>5</v>
      </c>
      <c r="V82" s="7" t="str">
        <f t="shared" si="14"/>
        <v>0000</v>
      </c>
      <c r="W82" s="7" t="str">
        <f t="shared" si="15"/>
        <v>0022</v>
      </c>
      <c r="X82" s="7" t="str">
        <f t="shared" si="16"/>
        <v>2200</v>
      </c>
      <c r="Y82" s="7" t="str">
        <f t="shared" si="17"/>
        <v>0000</v>
      </c>
    </row>
    <row r="83" spans="1:25" s="81" customFormat="1" ht="14.1" customHeight="1" thickBot="1">
      <c r="A83" s="80"/>
      <c r="B83" s="84">
        <v>6</v>
      </c>
      <c r="C83" s="153">
        <v>0</v>
      </c>
      <c r="D83" s="153">
        <v>0</v>
      </c>
      <c r="E83" s="120">
        <v>0</v>
      </c>
      <c r="F83" s="120">
        <v>0</v>
      </c>
      <c r="G83" s="120">
        <v>2</v>
      </c>
      <c r="H83" s="120">
        <v>2</v>
      </c>
      <c r="I83" s="120">
        <v>2</v>
      </c>
      <c r="J83" s="120">
        <v>3</v>
      </c>
      <c r="K83" s="120">
        <v>3</v>
      </c>
      <c r="L83" s="120">
        <v>2</v>
      </c>
      <c r="M83" s="120">
        <v>2</v>
      </c>
      <c r="N83" s="120">
        <v>2</v>
      </c>
      <c r="O83" s="120">
        <v>0</v>
      </c>
      <c r="P83" s="120">
        <v>0</v>
      </c>
      <c r="Q83" s="120">
        <v>0</v>
      </c>
      <c r="R83" s="150">
        <v>0</v>
      </c>
      <c r="U83" s="9">
        <f t="shared" si="22"/>
        <v>6</v>
      </c>
      <c r="V83" s="7" t="str">
        <f t="shared" si="14"/>
        <v>0000</v>
      </c>
      <c r="W83" s="7" t="str">
        <f t="shared" si="15"/>
        <v>2223</v>
      </c>
      <c r="X83" s="7" t="str">
        <f t="shared" si="16"/>
        <v>3222</v>
      </c>
      <c r="Y83" s="7" t="str">
        <f t="shared" si="17"/>
        <v>0000</v>
      </c>
    </row>
    <row r="84" spans="1:25" s="81" customFormat="1" ht="14.1" customHeight="1" thickBot="1">
      <c r="A84" s="80"/>
      <c r="B84" s="84">
        <v>7</v>
      </c>
      <c r="C84" s="153">
        <v>0</v>
      </c>
      <c r="D84" s="153">
        <v>0</v>
      </c>
      <c r="E84" s="120">
        <v>0</v>
      </c>
      <c r="F84" s="120">
        <v>0</v>
      </c>
      <c r="G84" s="120">
        <v>2</v>
      </c>
      <c r="H84" s="120">
        <v>2</v>
      </c>
      <c r="I84" s="120">
        <v>2</v>
      </c>
      <c r="J84" s="120">
        <v>3</v>
      </c>
      <c r="K84" s="120">
        <v>3</v>
      </c>
      <c r="L84" s="120">
        <v>2</v>
      </c>
      <c r="M84" s="120">
        <v>2</v>
      </c>
      <c r="N84" s="120">
        <v>2</v>
      </c>
      <c r="O84" s="120">
        <v>0</v>
      </c>
      <c r="P84" s="120">
        <v>0</v>
      </c>
      <c r="Q84" s="120">
        <v>0</v>
      </c>
      <c r="R84" s="150">
        <v>0</v>
      </c>
      <c r="U84" s="9">
        <f t="shared" si="22"/>
        <v>7</v>
      </c>
      <c r="V84" s="7" t="str">
        <f t="shared" si="14"/>
        <v>0000</v>
      </c>
      <c r="W84" s="7" t="str">
        <f t="shared" si="15"/>
        <v>2223</v>
      </c>
      <c r="X84" s="7" t="str">
        <f t="shared" si="16"/>
        <v>3222</v>
      </c>
      <c r="Y84" s="7" t="str">
        <f t="shared" si="17"/>
        <v>0000</v>
      </c>
    </row>
    <row r="85" spans="1:25" s="81" customFormat="1" ht="14.1" customHeight="1" thickBot="1">
      <c r="A85" s="80"/>
      <c r="B85" s="84">
        <v>8</v>
      </c>
      <c r="C85" s="153">
        <v>0</v>
      </c>
      <c r="D85" s="153">
        <v>0</v>
      </c>
      <c r="E85" s="120">
        <v>0</v>
      </c>
      <c r="F85" s="120">
        <v>2</v>
      </c>
      <c r="G85" s="120">
        <v>2</v>
      </c>
      <c r="H85" s="120">
        <v>3</v>
      </c>
      <c r="I85" s="120">
        <v>3</v>
      </c>
      <c r="J85" s="120">
        <v>4</v>
      </c>
      <c r="K85" s="120">
        <v>4</v>
      </c>
      <c r="L85" s="120">
        <v>3</v>
      </c>
      <c r="M85" s="120">
        <v>3</v>
      </c>
      <c r="N85" s="120">
        <v>2</v>
      </c>
      <c r="O85" s="120">
        <v>2</v>
      </c>
      <c r="P85" s="120">
        <v>0</v>
      </c>
      <c r="Q85" s="120">
        <v>0</v>
      </c>
      <c r="R85" s="150">
        <v>0</v>
      </c>
      <c r="U85" s="9">
        <f t="shared" si="22"/>
        <v>8</v>
      </c>
      <c r="V85" s="7" t="str">
        <f t="shared" si="14"/>
        <v>0002</v>
      </c>
      <c r="W85" s="7" t="str">
        <f t="shared" si="15"/>
        <v>2334</v>
      </c>
      <c r="X85" s="7" t="str">
        <f t="shared" si="16"/>
        <v>4332</v>
      </c>
      <c r="Y85" s="7" t="str">
        <f t="shared" si="17"/>
        <v>2000</v>
      </c>
    </row>
    <row r="86" spans="1:25" s="81" customFormat="1" ht="14.1" customHeight="1" thickBot="1">
      <c r="A86" s="80"/>
      <c r="B86" s="84">
        <v>9</v>
      </c>
      <c r="C86" s="153">
        <v>0</v>
      </c>
      <c r="D86" s="153">
        <v>0</v>
      </c>
      <c r="E86" s="120">
        <v>0</v>
      </c>
      <c r="F86" s="120">
        <v>2</v>
      </c>
      <c r="G86" s="120">
        <v>2</v>
      </c>
      <c r="H86" s="120">
        <v>3</v>
      </c>
      <c r="I86" s="120">
        <v>3</v>
      </c>
      <c r="J86" s="120">
        <v>4</v>
      </c>
      <c r="K86" s="120">
        <v>4</v>
      </c>
      <c r="L86" s="120">
        <v>3</v>
      </c>
      <c r="M86" s="120">
        <v>3</v>
      </c>
      <c r="N86" s="120">
        <v>2</v>
      </c>
      <c r="O86" s="120">
        <v>2</v>
      </c>
      <c r="P86" s="120">
        <v>0</v>
      </c>
      <c r="Q86" s="120">
        <v>0</v>
      </c>
      <c r="R86" s="150">
        <v>0</v>
      </c>
      <c r="U86" s="9">
        <f t="shared" si="22"/>
        <v>9</v>
      </c>
      <c r="V86" s="7" t="str">
        <f t="shared" si="14"/>
        <v>0002</v>
      </c>
      <c r="W86" s="7" t="str">
        <f t="shared" si="15"/>
        <v>2334</v>
      </c>
      <c r="X86" s="7" t="str">
        <f t="shared" si="16"/>
        <v>4332</v>
      </c>
      <c r="Y86" s="7" t="str">
        <f t="shared" si="17"/>
        <v>2000</v>
      </c>
    </row>
    <row r="87" spans="1:25" s="81" customFormat="1" ht="14.1" customHeight="1" thickBot="1">
      <c r="A87" s="80"/>
      <c r="B87" s="84">
        <v>10</v>
      </c>
      <c r="C87" s="153">
        <v>0</v>
      </c>
      <c r="D87" s="120">
        <v>0</v>
      </c>
      <c r="E87" s="120">
        <v>0</v>
      </c>
      <c r="F87" s="120">
        <v>2</v>
      </c>
      <c r="G87" s="120">
        <v>3</v>
      </c>
      <c r="H87" s="120">
        <v>4</v>
      </c>
      <c r="I87" s="120">
        <v>4</v>
      </c>
      <c r="J87" s="120">
        <v>5</v>
      </c>
      <c r="K87" s="120">
        <v>5</v>
      </c>
      <c r="L87" s="120">
        <v>4</v>
      </c>
      <c r="M87" s="120">
        <v>4</v>
      </c>
      <c r="N87" s="120">
        <v>3</v>
      </c>
      <c r="O87" s="120">
        <v>2</v>
      </c>
      <c r="P87" s="120">
        <v>0</v>
      </c>
      <c r="Q87" s="120">
        <v>0</v>
      </c>
      <c r="R87" s="150">
        <v>0</v>
      </c>
      <c r="U87" s="9">
        <f t="shared" si="22"/>
        <v>10</v>
      </c>
      <c r="V87" s="7" t="str">
        <f t="shared" si="14"/>
        <v>0002</v>
      </c>
      <c r="W87" s="7" t="str">
        <f t="shared" si="15"/>
        <v>3445</v>
      </c>
      <c r="X87" s="7" t="str">
        <f t="shared" si="16"/>
        <v>5443</v>
      </c>
      <c r="Y87" s="7" t="str">
        <f t="shared" si="17"/>
        <v>2000</v>
      </c>
    </row>
    <row r="88" spans="1:25" s="81" customFormat="1" ht="14.1" customHeight="1" thickBot="1">
      <c r="A88" s="80"/>
      <c r="B88" s="84">
        <v>11</v>
      </c>
      <c r="C88" s="153">
        <v>0</v>
      </c>
      <c r="D88" s="120">
        <v>0</v>
      </c>
      <c r="E88" s="120">
        <v>2</v>
      </c>
      <c r="F88" s="120">
        <v>2</v>
      </c>
      <c r="G88" s="120">
        <v>3</v>
      </c>
      <c r="H88" s="120">
        <v>4</v>
      </c>
      <c r="I88" s="120">
        <v>4</v>
      </c>
      <c r="J88" s="120">
        <v>5</v>
      </c>
      <c r="K88" s="120">
        <v>5</v>
      </c>
      <c r="L88" s="120">
        <v>4</v>
      </c>
      <c r="M88" s="120">
        <v>4</v>
      </c>
      <c r="N88" s="120">
        <v>3</v>
      </c>
      <c r="O88" s="120">
        <v>2</v>
      </c>
      <c r="P88" s="120">
        <v>0</v>
      </c>
      <c r="Q88" s="120">
        <v>0</v>
      </c>
      <c r="R88" s="150">
        <v>0</v>
      </c>
      <c r="U88" s="9">
        <f t="shared" si="22"/>
        <v>11</v>
      </c>
      <c r="V88" s="7" t="str">
        <f t="shared" si="14"/>
        <v>0022</v>
      </c>
      <c r="W88" s="7" t="str">
        <f t="shared" si="15"/>
        <v>3445</v>
      </c>
      <c r="X88" s="7" t="str">
        <f t="shared" si="16"/>
        <v>5443</v>
      </c>
      <c r="Y88" s="7" t="str">
        <f t="shared" si="17"/>
        <v>2000</v>
      </c>
    </row>
    <row r="89" spans="1:25" s="81" customFormat="1" ht="14.1" customHeight="1" thickBot="1">
      <c r="A89" s="80"/>
      <c r="B89" s="84">
        <v>12</v>
      </c>
      <c r="C89" s="153">
        <v>0</v>
      </c>
      <c r="D89" s="120">
        <v>0</v>
      </c>
      <c r="E89" s="120">
        <v>2</v>
      </c>
      <c r="F89" s="120">
        <v>3</v>
      </c>
      <c r="G89" s="120">
        <v>3</v>
      </c>
      <c r="H89" s="120">
        <v>4</v>
      </c>
      <c r="I89" s="120">
        <v>13</v>
      </c>
      <c r="J89" s="120">
        <v>13</v>
      </c>
      <c r="K89" s="120">
        <v>13</v>
      </c>
      <c r="L89" s="120">
        <v>13</v>
      </c>
      <c r="M89" s="120">
        <v>4</v>
      </c>
      <c r="N89" s="120">
        <v>3</v>
      </c>
      <c r="O89" s="120">
        <v>3</v>
      </c>
      <c r="P89" s="120">
        <v>2</v>
      </c>
      <c r="Q89" s="120">
        <v>0</v>
      </c>
      <c r="R89" s="150">
        <v>0</v>
      </c>
      <c r="U89" s="9">
        <f t="shared" si="22"/>
        <v>12</v>
      </c>
      <c r="V89" s="7" t="str">
        <f t="shared" si="14"/>
        <v>0023</v>
      </c>
      <c r="W89" s="7" t="str">
        <f t="shared" si="15"/>
        <v>34DD</v>
      </c>
      <c r="X89" s="7" t="str">
        <f t="shared" si="16"/>
        <v>DD43</v>
      </c>
      <c r="Y89" s="7" t="str">
        <f t="shared" si="17"/>
        <v>3200</v>
      </c>
    </row>
    <row r="90" spans="1:25" s="81" customFormat="1" ht="14.1" customHeight="1" thickBot="1">
      <c r="A90" s="80"/>
      <c r="B90" s="84">
        <v>13</v>
      </c>
      <c r="C90" s="153">
        <v>0</v>
      </c>
      <c r="D90" s="120">
        <v>0</v>
      </c>
      <c r="E90" s="120">
        <v>2</v>
      </c>
      <c r="F90" s="120">
        <v>3</v>
      </c>
      <c r="G90" s="120">
        <v>3</v>
      </c>
      <c r="H90" s="120">
        <v>4</v>
      </c>
      <c r="I90" s="154">
        <v>13</v>
      </c>
      <c r="J90" s="154">
        <v>13</v>
      </c>
      <c r="K90" s="154">
        <v>13</v>
      </c>
      <c r="L90" s="154">
        <v>13</v>
      </c>
      <c r="M90" s="120">
        <v>4</v>
      </c>
      <c r="N90" s="120">
        <v>3</v>
      </c>
      <c r="O90" s="120">
        <v>3</v>
      </c>
      <c r="P90" s="120">
        <v>2</v>
      </c>
      <c r="Q90" s="120">
        <v>0</v>
      </c>
      <c r="R90" s="150">
        <v>0</v>
      </c>
      <c r="U90" s="9">
        <f t="shared" si="22"/>
        <v>13</v>
      </c>
      <c r="V90" s="7" t="str">
        <f t="shared" si="14"/>
        <v>0023</v>
      </c>
      <c r="W90" s="7" t="str">
        <f t="shared" si="15"/>
        <v>34DD</v>
      </c>
      <c r="X90" s="7" t="str">
        <f t="shared" si="16"/>
        <v>DD43</v>
      </c>
      <c r="Y90" s="7" t="str">
        <f t="shared" si="17"/>
        <v>3200</v>
      </c>
    </row>
    <row r="91" spans="1:25" s="81" customFormat="1" ht="14.1" customHeight="1" thickBot="1">
      <c r="A91" s="80"/>
      <c r="B91" s="84">
        <v>14</v>
      </c>
      <c r="C91" s="153">
        <v>0</v>
      </c>
      <c r="D91" s="120">
        <v>0</v>
      </c>
      <c r="E91" s="120">
        <v>2</v>
      </c>
      <c r="F91" s="120">
        <v>3</v>
      </c>
      <c r="G91" s="120">
        <v>4</v>
      </c>
      <c r="H91" s="120">
        <v>5</v>
      </c>
      <c r="I91" s="154">
        <v>13</v>
      </c>
      <c r="J91" s="154">
        <v>13</v>
      </c>
      <c r="K91" s="154">
        <v>13</v>
      </c>
      <c r="L91" s="154">
        <v>13</v>
      </c>
      <c r="M91" s="120">
        <v>5</v>
      </c>
      <c r="N91" s="120">
        <v>4</v>
      </c>
      <c r="O91" s="120">
        <v>3</v>
      </c>
      <c r="P91" s="120">
        <v>2</v>
      </c>
      <c r="Q91" s="120">
        <v>0</v>
      </c>
      <c r="R91" s="150">
        <v>0</v>
      </c>
      <c r="U91" s="9">
        <f t="shared" si="22"/>
        <v>14</v>
      </c>
      <c r="V91" s="7" t="str">
        <f t="shared" si="14"/>
        <v>0023</v>
      </c>
      <c r="W91" s="7" t="str">
        <f t="shared" si="15"/>
        <v>45DD</v>
      </c>
      <c r="X91" s="7" t="str">
        <f t="shared" si="16"/>
        <v>DD54</v>
      </c>
      <c r="Y91" s="7" t="str">
        <f t="shared" si="17"/>
        <v>3200</v>
      </c>
    </row>
    <row r="92" spans="1:25" s="81" customFormat="1" ht="14.1" customHeight="1" thickBot="1">
      <c r="A92" s="80"/>
      <c r="B92" s="84">
        <v>15</v>
      </c>
      <c r="C92" s="153">
        <v>0</v>
      </c>
      <c r="D92" s="120">
        <v>0</v>
      </c>
      <c r="E92" s="120">
        <v>2</v>
      </c>
      <c r="F92" s="120">
        <v>3</v>
      </c>
      <c r="G92" s="120">
        <v>4</v>
      </c>
      <c r="H92" s="120">
        <v>5</v>
      </c>
      <c r="I92" s="154">
        <v>13</v>
      </c>
      <c r="J92" s="154">
        <v>13</v>
      </c>
      <c r="K92" s="154">
        <v>13</v>
      </c>
      <c r="L92" s="154">
        <v>13</v>
      </c>
      <c r="M92" s="120">
        <v>5</v>
      </c>
      <c r="N92" s="120">
        <v>4</v>
      </c>
      <c r="O92" s="120">
        <v>3</v>
      </c>
      <c r="P92" s="120">
        <v>2</v>
      </c>
      <c r="Q92" s="120">
        <v>0</v>
      </c>
      <c r="R92" s="150">
        <v>0</v>
      </c>
      <c r="U92" s="9">
        <f t="shared" si="22"/>
        <v>15</v>
      </c>
      <c r="V92" s="7" t="str">
        <f t="shared" si="14"/>
        <v>0023</v>
      </c>
      <c r="W92" s="7" t="str">
        <f t="shared" si="15"/>
        <v>45DD</v>
      </c>
      <c r="X92" s="7" t="str">
        <f t="shared" si="16"/>
        <v>DD54</v>
      </c>
      <c r="Y92" s="7" t="str">
        <f t="shared" si="17"/>
        <v>3200</v>
      </c>
    </row>
    <row r="93" spans="1:25" s="81" customFormat="1" ht="14.1" customHeight="1" thickBot="1">
      <c r="A93" s="80"/>
      <c r="B93" s="84">
        <v>16</v>
      </c>
      <c r="C93" s="153">
        <v>0</v>
      </c>
      <c r="D93" s="120">
        <v>0</v>
      </c>
      <c r="E93" s="120">
        <v>2</v>
      </c>
      <c r="F93" s="120">
        <v>3</v>
      </c>
      <c r="G93" s="120">
        <v>4</v>
      </c>
      <c r="H93" s="120">
        <v>5</v>
      </c>
      <c r="I93" s="154">
        <v>13</v>
      </c>
      <c r="J93" s="154">
        <v>13</v>
      </c>
      <c r="K93" s="154">
        <v>13</v>
      </c>
      <c r="L93" s="154">
        <v>13</v>
      </c>
      <c r="M93" s="120">
        <v>5</v>
      </c>
      <c r="N93" s="120">
        <v>4</v>
      </c>
      <c r="O93" s="120">
        <v>3</v>
      </c>
      <c r="P93" s="120">
        <v>2</v>
      </c>
      <c r="Q93" s="120">
        <v>0</v>
      </c>
      <c r="R93" s="150">
        <v>0</v>
      </c>
      <c r="U93" s="9">
        <f t="shared" si="22"/>
        <v>16</v>
      </c>
      <c r="V93" s="7" t="str">
        <f t="shared" si="14"/>
        <v>0023</v>
      </c>
      <c r="W93" s="7" t="str">
        <f t="shared" si="15"/>
        <v>45DD</v>
      </c>
      <c r="X93" s="7" t="str">
        <f t="shared" si="16"/>
        <v>DD54</v>
      </c>
      <c r="Y93" s="7" t="str">
        <f t="shared" si="17"/>
        <v>3200</v>
      </c>
    </row>
    <row r="94" spans="1:25" s="81" customFormat="1" ht="14.1" customHeight="1" thickBot="1">
      <c r="A94" s="80"/>
      <c r="B94" s="84">
        <v>17</v>
      </c>
      <c r="C94" s="153">
        <v>0</v>
      </c>
      <c r="D94" s="120">
        <v>0</v>
      </c>
      <c r="E94" s="120">
        <v>2</v>
      </c>
      <c r="F94" s="120">
        <v>3</v>
      </c>
      <c r="G94" s="120">
        <v>4</v>
      </c>
      <c r="H94" s="120">
        <v>5</v>
      </c>
      <c r="I94" s="154">
        <v>13</v>
      </c>
      <c r="J94" s="154">
        <v>13</v>
      </c>
      <c r="K94" s="154">
        <v>13</v>
      </c>
      <c r="L94" s="154">
        <v>13</v>
      </c>
      <c r="M94" s="120">
        <v>5</v>
      </c>
      <c r="N94" s="120">
        <v>4</v>
      </c>
      <c r="O94" s="120">
        <v>3</v>
      </c>
      <c r="P94" s="120">
        <v>2</v>
      </c>
      <c r="Q94" s="120">
        <v>0</v>
      </c>
      <c r="R94" s="150">
        <v>0</v>
      </c>
      <c r="U94" s="9">
        <f t="shared" si="22"/>
        <v>17</v>
      </c>
      <c r="V94" s="7" t="str">
        <f t="shared" si="14"/>
        <v>0023</v>
      </c>
      <c r="W94" s="7" t="str">
        <f t="shared" si="15"/>
        <v>45DD</v>
      </c>
      <c r="X94" s="7" t="str">
        <f t="shared" si="16"/>
        <v>DD54</v>
      </c>
      <c r="Y94" s="7" t="str">
        <f t="shared" si="17"/>
        <v>3200</v>
      </c>
    </row>
    <row r="95" spans="1:25" s="81" customFormat="1" ht="14.1" customHeight="1" thickBot="1">
      <c r="A95" s="80"/>
      <c r="B95" s="84">
        <v>18</v>
      </c>
      <c r="C95" s="153">
        <v>0</v>
      </c>
      <c r="D95" s="120">
        <v>0</v>
      </c>
      <c r="E95" s="120">
        <v>2</v>
      </c>
      <c r="F95" s="120">
        <v>3</v>
      </c>
      <c r="G95" s="120">
        <v>3</v>
      </c>
      <c r="H95" s="120">
        <v>4</v>
      </c>
      <c r="I95" s="120">
        <v>6</v>
      </c>
      <c r="J95" s="120">
        <v>6</v>
      </c>
      <c r="K95" s="120">
        <v>6</v>
      </c>
      <c r="L95" s="120">
        <v>6</v>
      </c>
      <c r="M95" s="120">
        <v>4</v>
      </c>
      <c r="N95" s="120">
        <v>3</v>
      </c>
      <c r="O95" s="120">
        <v>3</v>
      </c>
      <c r="P95" s="120">
        <v>2</v>
      </c>
      <c r="Q95" s="120">
        <v>0</v>
      </c>
      <c r="R95" s="150">
        <v>0</v>
      </c>
      <c r="U95" s="9">
        <f t="shared" si="22"/>
        <v>18</v>
      </c>
      <c r="V95" s="7" t="str">
        <f t="shared" si="14"/>
        <v>0023</v>
      </c>
      <c r="W95" s="7" t="str">
        <f t="shared" si="15"/>
        <v>3466</v>
      </c>
      <c r="X95" s="7" t="str">
        <f t="shared" si="16"/>
        <v>6643</v>
      </c>
      <c r="Y95" s="7" t="str">
        <f t="shared" si="17"/>
        <v>3200</v>
      </c>
    </row>
    <row r="96" spans="1:25" s="81" customFormat="1" ht="14.1" customHeight="1" thickBot="1">
      <c r="A96" s="80"/>
      <c r="B96" s="84">
        <v>19</v>
      </c>
      <c r="C96" s="153">
        <v>0</v>
      </c>
      <c r="D96" s="120">
        <v>0</v>
      </c>
      <c r="E96" s="120">
        <v>2</v>
      </c>
      <c r="F96" s="120">
        <v>3</v>
      </c>
      <c r="G96" s="120">
        <v>3</v>
      </c>
      <c r="H96" s="120">
        <v>4</v>
      </c>
      <c r="I96" s="120">
        <v>6</v>
      </c>
      <c r="J96" s="120">
        <v>6</v>
      </c>
      <c r="K96" s="120">
        <v>6</v>
      </c>
      <c r="L96" s="120">
        <v>6</v>
      </c>
      <c r="M96" s="120">
        <v>4</v>
      </c>
      <c r="N96" s="120">
        <v>3</v>
      </c>
      <c r="O96" s="120">
        <v>3</v>
      </c>
      <c r="P96" s="120">
        <v>2</v>
      </c>
      <c r="Q96" s="120">
        <v>0</v>
      </c>
      <c r="R96" s="150">
        <v>0</v>
      </c>
      <c r="U96" s="9">
        <f t="shared" si="22"/>
        <v>19</v>
      </c>
      <c r="V96" s="7" t="str">
        <f t="shared" si="14"/>
        <v>0023</v>
      </c>
      <c r="W96" s="7" t="str">
        <f t="shared" si="15"/>
        <v>3466</v>
      </c>
      <c r="X96" s="7" t="str">
        <f t="shared" si="16"/>
        <v>6643</v>
      </c>
      <c r="Y96" s="7" t="str">
        <f t="shared" si="17"/>
        <v>3200</v>
      </c>
    </row>
    <row r="97" spans="1:25" s="81" customFormat="1" ht="14.1" customHeight="1" thickBot="1">
      <c r="A97" s="80"/>
      <c r="B97" s="84">
        <v>20</v>
      </c>
      <c r="C97" s="153">
        <v>0</v>
      </c>
      <c r="D97" s="120">
        <v>0</v>
      </c>
      <c r="E97" s="120">
        <v>0</v>
      </c>
      <c r="F97" s="120">
        <v>2</v>
      </c>
      <c r="G97" s="120">
        <v>3</v>
      </c>
      <c r="H97" s="120">
        <v>4</v>
      </c>
      <c r="I97" s="120">
        <v>5</v>
      </c>
      <c r="J97" s="120">
        <v>5</v>
      </c>
      <c r="K97" s="120">
        <v>5</v>
      </c>
      <c r="L97" s="120">
        <v>5</v>
      </c>
      <c r="M97" s="120">
        <v>4</v>
      </c>
      <c r="N97" s="120">
        <v>3</v>
      </c>
      <c r="O97" s="120">
        <v>2</v>
      </c>
      <c r="P97" s="120">
        <v>0</v>
      </c>
      <c r="Q97" s="120">
        <v>0</v>
      </c>
      <c r="R97" s="150">
        <v>0</v>
      </c>
      <c r="U97" s="9">
        <f t="shared" si="22"/>
        <v>20</v>
      </c>
      <c r="V97" s="7" t="str">
        <f t="shared" si="14"/>
        <v>0002</v>
      </c>
      <c r="W97" s="7" t="str">
        <f t="shared" si="15"/>
        <v>3455</v>
      </c>
      <c r="X97" s="7" t="str">
        <f t="shared" si="16"/>
        <v>5543</v>
      </c>
      <c r="Y97" s="7" t="str">
        <f t="shared" si="17"/>
        <v>2000</v>
      </c>
    </row>
    <row r="98" spans="1:25" s="81" customFormat="1" ht="14.1" customHeight="1" thickBot="1">
      <c r="A98" s="80"/>
      <c r="B98" s="84">
        <v>21</v>
      </c>
      <c r="C98" s="153">
        <v>0</v>
      </c>
      <c r="D98" s="120">
        <v>0</v>
      </c>
      <c r="E98" s="120">
        <v>0</v>
      </c>
      <c r="F98" s="120">
        <v>2</v>
      </c>
      <c r="G98" s="120">
        <v>3</v>
      </c>
      <c r="H98" s="120">
        <v>4</v>
      </c>
      <c r="I98" s="120">
        <v>5</v>
      </c>
      <c r="J98" s="120">
        <v>5</v>
      </c>
      <c r="K98" s="120">
        <v>5</v>
      </c>
      <c r="L98" s="120">
        <v>5</v>
      </c>
      <c r="M98" s="120">
        <v>4</v>
      </c>
      <c r="N98" s="120">
        <v>3</v>
      </c>
      <c r="O98" s="120">
        <v>2</v>
      </c>
      <c r="P98" s="120">
        <v>0</v>
      </c>
      <c r="Q98" s="120">
        <v>0</v>
      </c>
      <c r="R98" s="150">
        <v>0</v>
      </c>
      <c r="U98" s="9">
        <f t="shared" si="22"/>
        <v>21</v>
      </c>
      <c r="V98" s="7" t="str">
        <f t="shared" si="14"/>
        <v>0002</v>
      </c>
      <c r="W98" s="7" t="str">
        <f t="shared" si="15"/>
        <v>3455</v>
      </c>
      <c r="X98" s="7" t="str">
        <f t="shared" si="16"/>
        <v>5543</v>
      </c>
      <c r="Y98" s="7" t="str">
        <f t="shared" si="17"/>
        <v>2000</v>
      </c>
    </row>
    <row r="99" spans="1:25" s="81" customFormat="1" ht="14.1" customHeight="1" thickBot="1">
      <c r="A99" s="80"/>
      <c r="B99" s="84">
        <v>22</v>
      </c>
      <c r="C99" s="153">
        <v>0</v>
      </c>
      <c r="D99" s="120">
        <v>0</v>
      </c>
      <c r="E99" s="120">
        <v>0</v>
      </c>
      <c r="F99" s="120">
        <v>2</v>
      </c>
      <c r="G99" s="120">
        <v>3</v>
      </c>
      <c r="H99" s="120">
        <v>3</v>
      </c>
      <c r="I99" s="120">
        <v>4</v>
      </c>
      <c r="J99" s="120">
        <v>4</v>
      </c>
      <c r="K99" s="120">
        <v>4</v>
      </c>
      <c r="L99" s="120">
        <v>4</v>
      </c>
      <c r="M99" s="120">
        <v>3</v>
      </c>
      <c r="N99" s="120">
        <v>3</v>
      </c>
      <c r="O99" s="120">
        <v>2</v>
      </c>
      <c r="P99" s="120">
        <v>0</v>
      </c>
      <c r="Q99" s="120">
        <v>0</v>
      </c>
      <c r="R99" s="150">
        <v>0</v>
      </c>
      <c r="U99" s="9">
        <f t="shared" si="22"/>
        <v>22</v>
      </c>
      <c r="V99" s="7" t="str">
        <f t="shared" si="14"/>
        <v>0002</v>
      </c>
      <c r="W99" s="7" t="str">
        <f t="shared" si="15"/>
        <v>3344</v>
      </c>
      <c r="X99" s="7" t="str">
        <f t="shared" si="16"/>
        <v>4433</v>
      </c>
      <c r="Y99" s="7" t="str">
        <f t="shared" si="17"/>
        <v>2000</v>
      </c>
    </row>
    <row r="100" spans="1:25" s="81" customFormat="1" ht="14.1" customHeight="1" thickBot="1">
      <c r="A100" s="80"/>
      <c r="B100" s="84">
        <v>23</v>
      </c>
      <c r="C100" s="153">
        <v>0</v>
      </c>
      <c r="D100" s="120">
        <v>0</v>
      </c>
      <c r="E100" s="120">
        <v>0</v>
      </c>
      <c r="F100" s="120">
        <v>2</v>
      </c>
      <c r="G100" s="120">
        <v>3</v>
      </c>
      <c r="H100" s="120">
        <v>3</v>
      </c>
      <c r="I100" s="120">
        <v>4</v>
      </c>
      <c r="J100" s="120">
        <v>4</v>
      </c>
      <c r="K100" s="120">
        <v>4</v>
      </c>
      <c r="L100" s="120">
        <v>4</v>
      </c>
      <c r="M100" s="120">
        <v>3</v>
      </c>
      <c r="N100" s="120">
        <v>3</v>
      </c>
      <c r="O100" s="120">
        <v>2</v>
      </c>
      <c r="P100" s="120">
        <v>0</v>
      </c>
      <c r="Q100" s="120">
        <v>0</v>
      </c>
      <c r="R100" s="150">
        <v>0</v>
      </c>
      <c r="U100" s="9">
        <f t="shared" si="22"/>
        <v>23</v>
      </c>
      <c r="V100" s="7" t="str">
        <f t="shared" si="14"/>
        <v>0002</v>
      </c>
      <c r="W100" s="7" t="str">
        <f t="shared" si="15"/>
        <v>3344</v>
      </c>
      <c r="X100" s="7" t="str">
        <f t="shared" si="16"/>
        <v>4433</v>
      </c>
      <c r="Y100" s="7" t="str">
        <f t="shared" si="17"/>
        <v>2000</v>
      </c>
    </row>
    <row r="101" spans="1:25" s="81" customFormat="1" ht="14.1" customHeight="1" thickBot="1">
      <c r="A101" s="80"/>
      <c r="B101" s="84">
        <v>24</v>
      </c>
      <c r="C101" s="153">
        <v>0</v>
      </c>
      <c r="D101" s="120">
        <v>0</v>
      </c>
      <c r="E101" s="120">
        <v>0</v>
      </c>
      <c r="F101" s="120">
        <v>2</v>
      </c>
      <c r="G101" s="120">
        <v>2</v>
      </c>
      <c r="H101" s="120">
        <v>3</v>
      </c>
      <c r="I101" s="120">
        <v>3</v>
      </c>
      <c r="J101" s="120">
        <v>3</v>
      </c>
      <c r="K101" s="120">
        <v>3</v>
      </c>
      <c r="L101" s="120">
        <v>3</v>
      </c>
      <c r="M101" s="120">
        <v>3</v>
      </c>
      <c r="N101" s="120">
        <v>2</v>
      </c>
      <c r="O101" s="120">
        <v>2</v>
      </c>
      <c r="P101" s="120">
        <v>0</v>
      </c>
      <c r="Q101" s="120">
        <v>0</v>
      </c>
      <c r="R101" s="150">
        <v>0</v>
      </c>
      <c r="U101" s="9">
        <f t="shared" si="22"/>
        <v>24</v>
      </c>
      <c r="V101" s="7" t="str">
        <f t="shared" ref="V101:V164" si="23">DEC2HEX(C101)&amp;DEC2HEX(D101)&amp;DEC2HEX(E101)&amp;DEC2HEX(F101)</f>
        <v>0002</v>
      </c>
      <c r="W101" s="7" t="str">
        <f t="shared" ref="W101:W164" si="24">DEC2HEX(G101)&amp;DEC2HEX(H101)&amp;DEC2HEX(I101)&amp;DEC2HEX(J101)</f>
        <v>2333</v>
      </c>
      <c r="X101" s="7" t="str">
        <f t="shared" ref="X101:X164" si="25">DEC2HEX(K101)&amp;DEC2HEX(L101)&amp;DEC2HEX(M101)&amp;DEC2HEX(N101)</f>
        <v>3332</v>
      </c>
      <c r="Y101" s="7" t="str">
        <f t="shared" ref="Y101:Y164" si="26">DEC2HEX(O101)&amp;DEC2HEX(P101)&amp;DEC2HEX(Q101)&amp;DEC2HEX(R101)</f>
        <v>2000</v>
      </c>
    </row>
    <row r="102" spans="1:25" s="81" customFormat="1" ht="14.1" customHeight="1" thickBot="1">
      <c r="A102" s="80"/>
      <c r="B102" s="84">
        <v>25</v>
      </c>
      <c r="C102" s="153">
        <v>0</v>
      </c>
      <c r="D102" s="120">
        <v>0</v>
      </c>
      <c r="E102" s="120">
        <v>0</v>
      </c>
      <c r="F102" s="120">
        <v>2</v>
      </c>
      <c r="G102" s="120">
        <v>2</v>
      </c>
      <c r="H102" s="120">
        <v>3</v>
      </c>
      <c r="I102" s="120">
        <v>3</v>
      </c>
      <c r="J102" s="120">
        <v>3</v>
      </c>
      <c r="K102" s="120">
        <v>3</v>
      </c>
      <c r="L102" s="120">
        <v>3</v>
      </c>
      <c r="M102" s="120">
        <v>3</v>
      </c>
      <c r="N102" s="120">
        <v>2</v>
      </c>
      <c r="O102" s="120">
        <v>2</v>
      </c>
      <c r="P102" s="120">
        <v>0</v>
      </c>
      <c r="Q102" s="120">
        <v>0</v>
      </c>
      <c r="R102" s="150">
        <v>0</v>
      </c>
      <c r="U102" s="9">
        <f t="shared" si="22"/>
        <v>25</v>
      </c>
      <c r="V102" s="7" t="str">
        <f t="shared" si="23"/>
        <v>0002</v>
      </c>
      <c r="W102" s="7" t="str">
        <f t="shared" si="24"/>
        <v>2333</v>
      </c>
      <c r="X102" s="7" t="str">
        <f t="shared" si="25"/>
        <v>3332</v>
      </c>
      <c r="Y102" s="7" t="str">
        <f t="shared" si="26"/>
        <v>2000</v>
      </c>
    </row>
    <row r="103" spans="1:25" s="81" customFormat="1" ht="14.1" customHeight="1" thickBot="1">
      <c r="A103" s="80"/>
      <c r="B103" s="84">
        <v>26</v>
      </c>
      <c r="C103" s="153">
        <v>0</v>
      </c>
      <c r="D103" s="121">
        <v>0</v>
      </c>
      <c r="E103" s="121">
        <v>0</v>
      </c>
      <c r="F103" s="120">
        <v>0</v>
      </c>
      <c r="G103" s="120">
        <v>0</v>
      </c>
      <c r="H103" s="120">
        <v>0</v>
      </c>
      <c r="I103" s="120">
        <v>2</v>
      </c>
      <c r="J103" s="120">
        <v>2</v>
      </c>
      <c r="K103" s="120">
        <v>2</v>
      </c>
      <c r="L103" s="120">
        <v>2</v>
      </c>
      <c r="M103" s="120">
        <v>0</v>
      </c>
      <c r="N103" s="120">
        <v>0</v>
      </c>
      <c r="O103" s="120">
        <v>0</v>
      </c>
      <c r="P103" s="121">
        <v>0</v>
      </c>
      <c r="Q103" s="121">
        <v>0</v>
      </c>
      <c r="R103" s="150">
        <v>0</v>
      </c>
      <c r="U103" s="9">
        <f t="shared" si="22"/>
        <v>26</v>
      </c>
      <c r="V103" s="7" t="str">
        <f t="shared" si="23"/>
        <v>0000</v>
      </c>
      <c r="W103" s="7" t="str">
        <f t="shared" si="24"/>
        <v>0022</v>
      </c>
      <c r="X103" s="7" t="str">
        <f t="shared" si="25"/>
        <v>2200</v>
      </c>
      <c r="Y103" s="7" t="str">
        <f t="shared" si="26"/>
        <v>0000</v>
      </c>
    </row>
    <row r="104" spans="1:25" s="81" customFormat="1" ht="14.1" customHeight="1" thickBot="1">
      <c r="A104" s="80"/>
      <c r="B104" s="84">
        <v>27</v>
      </c>
      <c r="C104" s="153">
        <v>0</v>
      </c>
      <c r="D104" s="121">
        <v>0</v>
      </c>
      <c r="E104" s="121">
        <v>0</v>
      </c>
      <c r="F104" s="120">
        <v>0</v>
      </c>
      <c r="G104" s="120">
        <v>0</v>
      </c>
      <c r="H104" s="120">
        <v>0</v>
      </c>
      <c r="I104" s="120">
        <v>2</v>
      </c>
      <c r="J104" s="120">
        <v>2</v>
      </c>
      <c r="K104" s="120">
        <v>2</v>
      </c>
      <c r="L104" s="120">
        <v>2</v>
      </c>
      <c r="M104" s="120">
        <v>0</v>
      </c>
      <c r="N104" s="120">
        <v>0</v>
      </c>
      <c r="O104" s="120">
        <v>0</v>
      </c>
      <c r="P104" s="121">
        <v>0</v>
      </c>
      <c r="Q104" s="121">
        <v>0</v>
      </c>
      <c r="R104" s="150">
        <v>0</v>
      </c>
      <c r="U104" s="9">
        <f t="shared" si="22"/>
        <v>27</v>
      </c>
      <c r="V104" s="7" t="str">
        <f t="shared" si="23"/>
        <v>0000</v>
      </c>
      <c r="W104" s="7" t="str">
        <f t="shared" si="24"/>
        <v>0022</v>
      </c>
      <c r="X104" s="7" t="str">
        <f t="shared" si="25"/>
        <v>2200</v>
      </c>
      <c r="Y104" s="7" t="str">
        <f t="shared" si="26"/>
        <v>0000</v>
      </c>
    </row>
    <row r="105" spans="1:25" s="81" customFormat="1" ht="14.1" customHeight="1" thickBot="1">
      <c r="A105" s="80"/>
      <c r="B105" s="84">
        <v>28</v>
      </c>
      <c r="C105" s="153">
        <v>0</v>
      </c>
      <c r="D105" s="121">
        <v>0</v>
      </c>
      <c r="E105" s="121">
        <v>0</v>
      </c>
      <c r="F105" s="121">
        <v>0</v>
      </c>
      <c r="G105" s="121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1">
        <v>0</v>
      </c>
      <c r="O105" s="121">
        <v>0</v>
      </c>
      <c r="P105" s="121">
        <v>0</v>
      </c>
      <c r="Q105" s="121">
        <v>0</v>
      </c>
      <c r="R105" s="150">
        <v>0</v>
      </c>
      <c r="U105" s="9">
        <f t="shared" si="22"/>
        <v>28</v>
      </c>
      <c r="V105" s="7" t="str">
        <f t="shared" si="23"/>
        <v>0000</v>
      </c>
      <c r="W105" s="7" t="str">
        <f t="shared" si="24"/>
        <v>0000</v>
      </c>
      <c r="X105" s="7" t="str">
        <f t="shared" si="25"/>
        <v>0000</v>
      </c>
      <c r="Y105" s="7" t="str">
        <f t="shared" si="26"/>
        <v>0000</v>
      </c>
    </row>
    <row r="106" spans="1:25" s="81" customFormat="1" ht="14.1" customHeight="1">
      <c r="A106" s="80"/>
      <c r="B106" s="84">
        <v>29</v>
      </c>
      <c r="C106" s="153">
        <v>0</v>
      </c>
      <c r="D106" s="121">
        <v>0</v>
      </c>
      <c r="E106" s="121">
        <v>0</v>
      </c>
      <c r="F106" s="121">
        <v>0</v>
      </c>
      <c r="G106" s="121">
        <v>0</v>
      </c>
      <c r="H106" s="120">
        <v>0</v>
      </c>
      <c r="I106" s="120">
        <v>0</v>
      </c>
      <c r="J106" s="120">
        <v>0</v>
      </c>
      <c r="K106" s="120">
        <v>0</v>
      </c>
      <c r="L106" s="120">
        <v>0</v>
      </c>
      <c r="M106" s="120">
        <v>0</v>
      </c>
      <c r="N106" s="121">
        <v>0</v>
      </c>
      <c r="O106" s="121">
        <v>0</v>
      </c>
      <c r="P106" s="121">
        <v>0</v>
      </c>
      <c r="Q106" s="121">
        <v>0</v>
      </c>
      <c r="R106" s="150">
        <v>0</v>
      </c>
      <c r="U106" s="9">
        <f t="shared" si="22"/>
        <v>29</v>
      </c>
      <c r="V106" s="7" t="str">
        <f t="shared" si="23"/>
        <v>0000</v>
      </c>
      <c r="W106" s="7" t="str">
        <f t="shared" si="24"/>
        <v>0000</v>
      </c>
      <c r="X106" s="7" t="str">
        <f t="shared" si="25"/>
        <v>0000</v>
      </c>
      <c r="Y106" s="7" t="str">
        <f t="shared" si="26"/>
        <v>0000</v>
      </c>
    </row>
    <row r="107" spans="1:25" s="81" customFormat="1" ht="14.1" customHeight="1">
      <c r="A107" s="80"/>
      <c r="B107" s="84">
        <v>30</v>
      </c>
      <c r="C107" s="153">
        <v>0</v>
      </c>
      <c r="D107" s="153">
        <v>0</v>
      </c>
      <c r="E107" s="153">
        <v>0</v>
      </c>
      <c r="F107" s="153">
        <v>0</v>
      </c>
      <c r="G107" s="153">
        <v>0</v>
      </c>
      <c r="H107" s="153">
        <v>0</v>
      </c>
      <c r="I107" s="153">
        <v>0</v>
      </c>
      <c r="J107" s="153">
        <v>0</v>
      </c>
      <c r="K107" s="153">
        <v>0</v>
      </c>
      <c r="L107" s="153">
        <v>0</v>
      </c>
      <c r="M107" s="153">
        <v>0</v>
      </c>
      <c r="N107" s="153">
        <v>0</v>
      </c>
      <c r="O107" s="153">
        <v>0</v>
      </c>
      <c r="P107" s="153">
        <v>0</v>
      </c>
      <c r="Q107" s="153">
        <v>0</v>
      </c>
      <c r="R107" s="153">
        <v>0</v>
      </c>
      <c r="U107" s="9">
        <f t="shared" si="22"/>
        <v>30</v>
      </c>
      <c r="V107" s="7" t="str">
        <f t="shared" si="23"/>
        <v>0000</v>
      </c>
      <c r="W107" s="7" t="str">
        <f t="shared" si="24"/>
        <v>0000</v>
      </c>
      <c r="X107" s="7" t="str">
        <f t="shared" si="25"/>
        <v>0000</v>
      </c>
      <c r="Y107" s="7" t="str">
        <f t="shared" si="26"/>
        <v>0000</v>
      </c>
    </row>
    <row r="108" spans="1:25" s="81" customFormat="1" ht="14.1" customHeight="1">
      <c r="A108" s="80"/>
      <c r="B108" s="84">
        <v>31</v>
      </c>
      <c r="C108" s="153">
        <v>0</v>
      </c>
      <c r="D108" s="153">
        <v>0</v>
      </c>
      <c r="E108" s="153">
        <v>0</v>
      </c>
      <c r="F108" s="153">
        <v>0</v>
      </c>
      <c r="G108" s="153">
        <v>0</v>
      </c>
      <c r="H108" s="153">
        <v>0</v>
      </c>
      <c r="I108" s="153">
        <v>0</v>
      </c>
      <c r="J108" s="153">
        <v>0</v>
      </c>
      <c r="K108" s="153">
        <v>0</v>
      </c>
      <c r="L108" s="153">
        <v>0</v>
      </c>
      <c r="M108" s="153">
        <v>0</v>
      </c>
      <c r="N108" s="153">
        <v>0</v>
      </c>
      <c r="O108" s="153">
        <v>0</v>
      </c>
      <c r="P108" s="153">
        <v>0</v>
      </c>
      <c r="Q108" s="153">
        <v>0</v>
      </c>
      <c r="R108" s="153">
        <v>0</v>
      </c>
      <c r="U108" s="9">
        <f t="shared" si="22"/>
        <v>31</v>
      </c>
      <c r="V108" s="7" t="str">
        <f t="shared" si="23"/>
        <v>0000</v>
      </c>
      <c r="W108" s="7" t="str">
        <f t="shared" si="24"/>
        <v>0000</v>
      </c>
      <c r="X108" s="7" t="str">
        <f t="shared" si="25"/>
        <v>0000</v>
      </c>
      <c r="Y108" s="7" t="str">
        <f t="shared" si="26"/>
        <v>0000</v>
      </c>
    </row>
    <row r="109" spans="1:25" s="81" customFormat="1">
      <c r="A109" s="80"/>
      <c r="U109" s="85"/>
    </row>
    <row r="110" spans="1:25" s="81" customFormat="1">
      <c r="A110" s="80"/>
      <c r="U110" s="85"/>
    </row>
    <row r="111" spans="1:25" s="81" customFormat="1">
      <c r="A111" s="80" t="s">
        <v>313</v>
      </c>
      <c r="U111" s="8" t="str">
        <f>A111</f>
        <v>4.Center-weighted average 3 (Storage to ROM)</v>
      </c>
    </row>
    <row r="112" spans="1:25" s="81" customFormat="1" ht="15" thickBot="1">
      <c r="A112" s="80"/>
      <c r="C112" s="84">
        <v>0</v>
      </c>
      <c r="D112" s="84">
        <v>1</v>
      </c>
      <c r="E112" s="84">
        <v>2</v>
      </c>
      <c r="F112" s="84">
        <v>3</v>
      </c>
      <c r="G112" s="84">
        <v>4</v>
      </c>
      <c r="H112" s="84">
        <v>5</v>
      </c>
      <c r="I112" s="84">
        <v>6</v>
      </c>
      <c r="J112" s="84">
        <v>7</v>
      </c>
      <c r="K112" s="84">
        <v>8</v>
      </c>
      <c r="L112" s="84">
        <v>9</v>
      </c>
      <c r="M112" s="84">
        <v>10</v>
      </c>
      <c r="N112" s="84">
        <v>11</v>
      </c>
      <c r="O112" s="84">
        <v>12</v>
      </c>
      <c r="P112" s="84">
        <v>13</v>
      </c>
      <c r="Q112" s="84">
        <v>14</v>
      </c>
      <c r="R112" s="84">
        <v>15</v>
      </c>
      <c r="U112" s="85"/>
      <c r="V112" s="7" t="str">
        <f t="shared" ref="V112" si="27">C112&amp;D112&amp;E112&amp;F112</f>
        <v>0123</v>
      </c>
      <c r="W112" s="7" t="str">
        <f t="shared" ref="W112" si="28">G112&amp;H112&amp;I112&amp;J112</f>
        <v>4567</v>
      </c>
      <c r="X112" s="7" t="str">
        <f t="shared" ref="X112" si="29">K112&amp;L112&amp;M112&amp;N112</f>
        <v>891011</v>
      </c>
      <c r="Y112" s="7" t="str">
        <f t="shared" ref="Y112" si="30">O112&amp;P112&amp;Q112&amp;R112</f>
        <v>12131415</v>
      </c>
    </row>
    <row r="113" spans="1:25" s="81" customFormat="1" ht="14.1" customHeight="1">
      <c r="A113" s="80"/>
      <c r="B113" s="84">
        <v>0</v>
      </c>
      <c r="C113" s="125">
        <v>2</v>
      </c>
      <c r="D113" s="126">
        <v>2</v>
      </c>
      <c r="E113" s="151">
        <v>2</v>
      </c>
      <c r="F113" s="151">
        <v>2</v>
      </c>
      <c r="G113" s="151">
        <v>2</v>
      </c>
      <c r="H113" s="151">
        <v>2</v>
      </c>
      <c r="I113" s="151">
        <v>2</v>
      </c>
      <c r="J113" s="151">
        <v>2</v>
      </c>
      <c r="K113" s="151">
        <v>2</v>
      </c>
      <c r="L113" s="151">
        <v>2</v>
      </c>
      <c r="M113" s="151">
        <v>2</v>
      </c>
      <c r="N113" s="151">
        <v>2</v>
      </c>
      <c r="O113" s="151">
        <v>2</v>
      </c>
      <c r="P113" s="151">
        <v>2</v>
      </c>
      <c r="Q113" s="151">
        <v>2</v>
      </c>
      <c r="R113" s="127">
        <v>2</v>
      </c>
      <c r="U113" s="9">
        <f t="shared" ref="U113:U144" si="31">B113</f>
        <v>0</v>
      </c>
      <c r="V113" s="7" t="str">
        <f t="shared" si="23"/>
        <v>2222</v>
      </c>
      <c r="W113" s="7" t="str">
        <f t="shared" si="24"/>
        <v>2222</v>
      </c>
      <c r="X113" s="7" t="str">
        <f t="shared" si="25"/>
        <v>2222</v>
      </c>
      <c r="Y113" s="7" t="str">
        <f t="shared" si="26"/>
        <v>2222</v>
      </c>
    </row>
    <row r="114" spans="1:25" s="81" customFormat="1" ht="14.1" customHeight="1">
      <c r="A114" s="80"/>
      <c r="B114" s="84">
        <v>1</v>
      </c>
      <c r="C114" s="128">
        <v>2</v>
      </c>
      <c r="D114" s="129">
        <v>2</v>
      </c>
      <c r="E114" s="154">
        <v>2</v>
      </c>
      <c r="F114" s="154">
        <v>2</v>
      </c>
      <c r="G114" s="154">
        <v>2</v>
      </c>
      <c r="H114" s="154">
        <v>2</v>
      </c>
      <c r="I114" s="154">
        <v>2</v>
      </c>
      <c r="J114" s="154">
        <v>2</v>
      </c>
      <c r="K114" s="154">
        <v>2</v>
      </c>
      <c r="L114" s="154">
        <v>2</v>
      </c>
      <c r="M114" s="154">
        <v>2</v>
      </c>
      <c r="N114" s="154">
        <v>2</v>
      </c>
      <c r="O114" s="154">
        <v>2</v>
      </c>
      <c r="P114" s="154">
        <v>2</v>
      </c>
      <c r="Q114" s="154">
        <v>2</v>
      </c>
      <c r="R114" s="130">
        <v>2</v>
      </c>
      <c r="U114" s="9">
        <f t="shared" si="31"/>
        <v>1</v>
      </c>
      <c r="V114" s="7" t="str">
        <f t="shared" si="23"/>
        <v>2222</v>
      </c>
      <c r="W114" s="7" t="str">
        <f t="shared" si="24"/>
        <v>2222</v>
      </c>
      <c r="X114" s="7" t="str">
        <f t="shared" si="25"/>
        <v>2222</v>
      </c>
      <c r="Y114" s="7" t="str">
        <f t="shared" si="26"/>
        <v>2222</v>
      </c>
    </row>
    <row r="115" spans="1:25" s="81" customFormat="1" ht="14.1" customHeight="1">
      <c r="A115" s="80"/>
      <c r="B115" s="84">
        <v>2</v>
      </c>
      <c r="C115" s="153">
        <v>2</v>
      </c>
      <c r="D115" s="154">
        <v>2</v>
      </c>
      <c r="E115" s="154">
        <v>2</v>
      </c>
      <c r="F115" s="154">
        <v>2</v>
      </c>
      <c r="G115" s="154">
        <v>2</v>
      </c>
      <c r="H115" s="154">
        <v>2</v>
      </c>
      <c r="I115" s="154">
        <v>2</v>
      </c>
      <c r="J115" s="154">
        <v>2</v>
      </c>
      <c r="K115" s="154">
        <v>2</v>
      </c>
      <c r="L115" s="154">
        <v>2</v>
      </c>
      <c r="M115" s="154">
        <v>2</v>
      </c>
      <c r="N115" s="154">
        <v>2</v>
      </c>
      <c r="O115" s="154">
        <v>2</v>
      </c>
      <c r="P115" s="154">
        <v>2</v>
      </c>
      <c r="Q115" s="154">
        <v>2</v>
      </c>
      <c r="R115" s="155">
        <v>2</v>
      </c>
      <c r="U115" s="9">
        <f t="shared" si="31"/>
        <v>2</v>
      </c>
      <c r="V115" s="7" t="str">
        <f t="shared" si="23"/>
        <v>2222</v>
      </c>
      <c r="W115" s="7" t="str">
        <f t="shared" si="24"/>
        <v>2222</v>
      </c>
      <c r="X115" s="7" t="str">
        <f t="shared" si="25"/>
        <v>2222</v>
      </c>
      <c r="Y115" s="7" t="str">
        <f t="shared" si="26"/>
        <v>2222</v>
      </c>
    </row>
    <row r="116" spans="1:25" s="81" customFormat="1" ht="14.1" customHeight="1">
      <c r="A116" s="80"/>
      <c r="B116" s="84">
        <v>3</v>
      </c>
      <c r="C116" s="153">
        <v>2</v>
      </c>
      <c r="D116" s="154">
        <v>2</v>
      </c>
      <c r="E116" s="154">
        <v>2</v>
      </c>
      <c r="F116" s="154">
        <v>2</v>
      </c>
      <c r="G116" s="154">
        <v>2</v>
      </c>
      <c r="H116" s="154">
        <v>2</v>
      </c>
      <c r="I116" s="154">
        <v>2</v>
      </c>
      <c r="J116" s="154">
        <v>2</v>
      </c>
      <c r="K116" s="154">
        <v>2</v>
      </c>
      <c r="L116" s="154">
        <v>2</v>
      </c>
      <c r="M116" s="154">
        <v>2</v>
      </c>
      <c r="N116" s="154">
        <v>2</v>
      </c>
      <c r="O116" s="154">
        <v>2</v>
      </c>
      <c r="P116" s="154">
        <v>2</v>
      </c>
      <c r="Q116" s="154">
        <v>2</v>
      </c>
      <c r="R116" s="155">
        <v>2</v>
      </c>
      <c r="U116" s="9">
        <f t="shared" si="31"/>
        <v>3</v>
      </c>
      <c r="V116" s="7" t="str">
        <f t="shared" si="23"/>
        <v>2222</v>
      </c>
      <c r="W116" s="7" t="str">
        <f t="shared" si="24"/>
        <v>2222</v>
      </c>
      <c r="X116" s="7" t="str">
        <f t="shared" si="25"/>
        <v>2222</v>
      </c>
      <c r="Y116" s="7" t="str">
        <f t="shared" si="26"/>
        <v>2222</v>
      </c>
    </row>
    <row r="117" spans="1:25" s="81" customFormat="1" ht="14.1" customHeight="1">
      <c r="A117" s="80"/>
      <c r="B117" s="84">
        <v>4</v>
      </c>
      <c r="C117" s="153">
        <v>2</v>
      </c>
      <c r="D117" s="154">
        <v>2</v>
      </c>
      <c r="E117" s="154">
        <v>2</v>
      </c>
      <c r="F117" s="154">
        <v>2</v>
      </c>
      <c r="G117" s="154">
        <v>2</v>
      </c>
      <c r="H117" s="154">
        <v>2</v>
      </c>
      <c r="I117" s="154">
        <v>2</v>
      </c>
      <c r="J117" s="154">
        <v>2</v>
      </c>
      <c r="K117" s="154">
        <v>2</v>
      </c>
      <c r="L117" s="154">
        <v>2</v>
      </c>
      <c r="M117" s="154">
        <v>2</v>
      </c>
      <c r="N117" s="154">
        <v>2</v>
      </c>
      <c r="O117" s="154">
        <v>2</v>
      </c>
      <c r="P117" s="154">
        <v>2</v>
      </c>
      <c r="Q117" s="154">
        <v>2</v>
      </c>
      <c r="R117" s="155">
        <v>2</v>
      </c>
      <c r="U117" s="9">
        <f t="shared" si="31"/>
        <v>4</v>
      </c>
      <c r="V117" s="7" t="str">
        <f t="shared" si="23"/>
        <v>2222</v>
      </c>
      <c r="W117" s="7" t="str">
        <f t="shared" si="24"/>
        <v>2222</v>
      </c>
      <c r="X117" s="7" t="str">
        <f t="shared" si="25"/>
        <v>2222</v>
      </c>
      <c r="Y117" s="7" t="str">
        <f t="shared" si="26"/>
        <v>2222</v>
      </c>
    </row>
    <row r="118" spans="1:25" s="81" customFormat="1" ht="14.1" customHeight="1">
      <c r="A118" s="80"/>
      <c r="B118" s="84">
        <v>5</v>
      </c>
      <c r="C118" s="153">
        <v>2</v>
      </c>
      <c r="D118" s="154">
        <v>2</v>
      </c>
      <c r="E118" s="154">
        <v>2</v>
      </c>
      <c r="F118" s="154">
        <v>2</v>
      </c>
      <c r="G118" s="154">
        <v>2</v>
      </c>
      <c r="H118" s="154">
        <v>2</v>
      </c>
      <c r="I118" s="154">
        <v>2</v>
      </c>
      <c r="J118" s="154">
        <v>2</v>
      </c>
      <c r="K118" s="154">
        <v>2</v>
      </c>
      <c r="L118" s="154">
        <v>2</v>
      </c>
      <c r="M118" s="154">
        <v>2</v>
      </c>
      <c r="N118" s="154">
        <v>2</v>
      </c>
      <c r="O118" s="154">
        <v>2</v>
      </c>
      <c r="P118" s="154">
        <v>2</v>
      </c>
      <c r="Q118" s="154">
        <v>2</v>
      </c>
      <c r="R118" s="155">
        <v>2</v>
      </c>
      <c r="U118" s="9">
        <f t="shared" si="31"/>
        <v>5</v>
      </c>
      <c r="V118" s="7" t="str">
        <f t="shared" si="23"/>
        <v>2222</v>
      </c>
      <c r="W118" s="7" t="str">
        <f t="shared" si="24"/>
        <v>2222</v>
      </c>
      <c r="X118" s="7" t="str">
        <f t="shared" si="25"/>
        <v>2222</v>
      </c>
      <c r="Y118" s="7" t="str">
        <f t="shared" si="26"/>
        <v>2222</v>
      </c>
    </row>
    <row r="119" spans="1:25" s="81" customFormat="1" ht="14.1" customHeight="1">
      <c r="A119" s="80"/>
      <c r="B119" s="84">
        <v>6</v>
      </c>
      <c r="C119" s="153">
        <v>2</v>
      </c>
      <c r="D119" s="154">
        <v>2</v>
      </c>
      <c r="E119" s="154">
        <v>2</v>
      </c>
      <c r="F119" s="154">
        <v>2</v>
      </c>
      <c r="G119" s="154">
        <v>2</v>
      </c>
      <c r="H119" s="154">
        <v>2</v>
      </c>
      <c r="I119" s="154">
        <v>2</v>
      </c>
      <c r="J119" s="154">
        <v>2</v>
      </c>
      <c r="K119" s="154">
        <v>2</v>
      </c>
      <c r="L119" s="154">
        <v>2</v>
      </c>
      <c r="M119" s="154">
        <v>2</v>
      </c>
      <c r="N119" s="154">
        <v>2</v>
      </c>
      <c r="O119" s="154">
        <v>2</v>
      </c>
      <c r="P119" s="154">
        <v>2</v>
      </c>
      <c r="Q119" s="154">
        <v>2</v>
      </c>
      <c r="R119" s="155">
        <v>2</v>
      </c>
      <c r="U119" s="9">
        <f t="shared" si="31"/>
        <v>6</v>
      </c>
      <c r="V119" s="7" t="str">
        <f t="shared" si="23"/>
        <v>2222</v>
      </c>
      <c r="W119" s="7" t="str">
        <f t="shared" si="24"/>
        <v>2222</v>
      </c>
      <c r="X119" s="7" t="str">
        <f t="shared" si="25"/>
        <v>2222</v>
      </c>
      <c r="Y119" s="7" t="str">
        <f t="shared" si="26"/>
        <v>2222</v>
      </c>
    </row>
    <row r="120" spans="1:25" s="81" customFormat="1" ht="14.1" customHeight="1">
      <c r="A120" s="80"/>
      <c r="B120" s="84">
        <v>7</v>
      </c>
      <c r="C120" s="153">
        <v>2</v>
      </c>
      <c r="D120" s="154">
        <v>2</v>
      </c>
      <c r="E120" s="154">
        <v>2</v>
      </c>
      <c r="F120" s="154">
        <v>2</v>
      </c>
      <c r="G120" s="154">
        <v>2</v>
      </c>
      <c r="H120" s="154">
        <v>2</v>
      </c>
      <c r="I120" s="154">
        <v>2</v>
      </c>
      <c r="J120" s="154">
        <v>2</v>
      </c>
      <c r="K120" s="154">
        <v>2</v>
      </c>
      <c r="L120" s="154">
        <v>2</v>
      </c>
      <c r="M120" s="154">
        <v>2</v>
      </c>
      <c r="N120" s="154">
        <v>2</v>
      </c>
      <c r="O120" s="154">
        <v>2</v>
      </c>
      <c r="P120" s="154">
        <v>2</v>
      </c>
      <c r="Q120" s="154">
        <v>2</v>
      </c>
      <c r="R120" s="155">
        <v>2</v>
      </c>
      <c r="U120" s="9">
        <f t="shared" si="31"/>
        <v>7</v>
      </c>
      <c r="V120" s="7" t="str">
        <f t="shared" si="23"/>
        <v>2222</v>
      </c>
      <c r="W120" s="7" t="str">
        <f t="shared" si="24"/>
        <v>2222</v>
      </c>
      <c r="X120" s="7" t="str">
        <f t="shared" si="25"/>
        <v>2222</v>
      </c>
      <c r="Y120" s="7" t="str">
        <f t="shared" si="26"/>
        <v>2222</v>
      </c>
    </row>
    <row r="121" spans="1:25" s="81" customFormat="1" ht="14.1" customHeight="1">
      <c r="A121" s="80"/>
      <c r="B121" s="84">
        <v>8</v>
      </c>
      <c r="C121" s="153">
        <v>2</v>
      </c>
      <c r="D121" s="154">
        <v>2</v>
      </c>
      <c r="E121" s="154">
        <v>2</v>
      </c>
      <c r="F121" s="154">
        <v>2</v>
      </c>
      <c r="G121" s="154">
        <v>2</v>
      </c>
      <c r="H121" s="154">
        <v>2</v>
      </c>
      <c r="I121" s="154">
        <v>2</v>
      </c>
      <c r="J121" s="154">
        <v>2</v>
      </c>
      <c r="K121" s="154">
        <v>2</v>
      </c>
      <c r="L121" s="154">
        <v>2</v>
      </c>
      <c r="M121" s="154">
        <v>2</v>
      </c>
      <c r="N121" s="154">
        <v>2</v>
      </c>
      <c r="O121" s="154">
        <v>2</v>
      </c>
      <c r="P121" s="154">
        <v>2</v>
      </c>
      <c r="Q121" s="154">
        <v>2</v>
      </c>
      <c r="R121" s="155">
        <v>2</v>
      </c>
      <c r="U121" s="9">
        <f t="shared" si="31"/>
        <v>8</v>
      </c>
      <c r="V121" s="7" t="str">
        <f t="shared" si="23"/>
        <v>2222</v>
      </c>
      <c r="W121" s="7" t="str">
        <f t="shared" si="24"/>
        <v>2222</v>
      </c>
      <c r="X121" s="7" t="str">
        <f t="shared" si="25"/>
        <v>2222</v>
      </c>
      <c r="Y121" s="7" t="str">
        <f t="shared" si="26"/>
        <v>2222</v>
      </c>
    </row>
    <row r="122" spans="1:25" s="81" customFormat="1" ht="14.1" customHeight="1">
      <c r="A122" s="80"/>
      <c r="B122" s="84">
        <v>9</v>
      </c>
      <c r="C122" s="153">
        <v>2</v>
      </c>
      <c r="D122" s="154">
        <v>2</v>
      </c>
      <c r="E122" s="154">
        <v>2</v>
      </c>
      <c r="F122" s="154">
        <v>2</v>
      </c>
      <c r="G122" s="154">
        <v>2</v>
      </c>
      <c r="H122" s="154">
        <v>2</v>
      </c>
      <c r="I122" s="154">
        <v>2</v>
      </c>
      <c r="J122" s="154">
        <v>2</v>
      </c>
      <c r="K122" s="154">
        <v>2</v>
      </c>
      <c r="L122" s="154">
        <v>2</v>
      </c>
      <c r="M122" s="154">
        <v>2</v>
      </c>
      <c r="N122" s="154">
        <v>2</v>
      </c>
      <c r="O122" s="154">
        <v>2</v>
      </c>
      <c r="P122" s="154">
        <v>2</v>
      </c>
      <c r="Q122" s="154">
        <v>2</v>
      </c>
      <c r="R122" s="155">
        <v>2</v>
      </c>
      <c r="U122" s="9">
        <f t="shared" si="31"/>
        <v>9</v>
      </c>
      <c r="V122" s="7" t="str">
        <f t="shared" si="23"/>
        <v>2222</v>
      </c>
      <c r="W122" s="7" t="str">
        <f t="shared" si="24"/>
        <v>2222</v>
      </c>
      <c r="X122" s="7" t="str">
        <f t="shared" si="25"/>
        <v>2222</v>
      </c>
      <c r="Y122" s="7" t="str">
        <f t="shared" si="26"/>
        <v>2222</v>
      </c>
    </row>
    <row r="123" spans="1:25" s="81" customFormat="1" ht="14.1" customHeight="1">
      <c r="A123" s="80"/>
      <c r="B123" s="84">
        <v>10</v>
      </c>
      <c r="C123" s="153">
        <v>2</v>
      </c>
      <c r="D123" s="154">
        <v>2</v>
      </c>
      <c r="E123" s="154">
        <v>2</v>
      </c>
      <c r="F123" s="154">
        <v>2</v>
      </c>
      <c r="G123" s="154">
        <v>2</v>
      </c>
      <c r="H123" s="129">
        <v>2</v>
      </c>
      <c r="I123" s="129">
        <v>3</v>
      </c>
      <c r="J123" s="129">
        <v>3</v>
      </c>
      <c r="K123" s="129">
        <v>3</v>
      </c>
      <c r="L123" s="129">
        <v>3</v>
      </c>
      <c r="M123" s="129">
        <v>2</v>
      </c>
      <c r="N123" s="154">
        <v>2</v>
      </c>
      <c r="O123" s="154">
        <v>2</v>
      </c>
      <c r="P123" s="154">
        <v>2</v>
      </c>
      <c r="Q123" s="154">
        <v>2</v>
      </c>
      <c r="R123" s="155">
        <v>2</v>
      </c>
      <c r="U123" s="9">
        <f t="shared" si="31"/>
        <v>10</v>
      </c>
      <c r="V123" s="7" t="str">
        <f t="shared" si="23"/>
        <v>2222</v>
      </c>
      <c r="W123" s="7" t="str">
        <f t="shared" si="24"/>
        <v>2233</v>
      </c>
      <c r="X123" s="7" t="str">
        <f t="shared" si="25"/>
        <v>3322</v>
      </c>
      <c r="Y123" s="7" t="str">
        <f t="shared" si="26"/>
        <v>2222</v>
      </c>
    </row>
    <row r="124" spans="1:25" s="81" customFormat="1" ht="14.1" customHeight="1">
      <c r="A124" s="80"/>
      <c r="B124" s="84">
        <v>11</v>
      </c>
      <c r="C124" s="153">
        <v>2</v>
      </c>
      <c r="D124" s="154">
        <v>2</v>
      </c>
      <c r="E124" s="154">
        <v>2</v>
      </c>
      <c r="F124" s="154">
        <v>2</v>
      </c>
      <c r="G124" s="154">
        <v>2</v>
      </c>
      <c r="H124" s="129">
        <v>2</v>
      </c>
      <c r="I124" s="129">
        <v>3</v>
      </c>
      <c r="J124" s="129">
        <v>3</v>
      </c>
      <c r="K124" s="129">
        <v>3</v>
      </c>
      <c r="L124" s="129">
        <v>3</v>
      </c>
      <c r="M124" s="129">
        <v>2</v>
      </c>
      <c r="N124" s="154">
        <v>2</v>
      </c>
      <c r="O124" s="154">
        <v>2</v>
      </c>
      <c r="P124" s="154">
        <v>2</v>
      </c>
      <c r="Q124" s="154">
        <v>2</v>
      </c>
      <c r="R124" s="155">
        <v>2</v>
      </c>
      <c r="U124" s="9">
        <f t="shared" si="31"/>
        <v>11</v>
      </c>
      <c r="V124" s="7" t="str">
        <f t="shared" si="23"/>
        <v>2222</v>
      </c>
      <c r="W124" s="7" t="str">
        <f t="shared" si="24"/>
        <v>2233</v>
      </c>
      <c r="X124" s="7" t="str">
        <f t="shared" si="25"/>
        <v>3322</v>
      </c>
      <c r="Y124" s="7" t="str">
        <f t="shared" si="26"/>
        <v>2222</v>
      </c>
    </row>
    <row r="125" spans="1:25" s="81" customFormat="1" ht="14.1" customHeight="1">
      <c r="A125" s="80"/>
      <c r="B125" s="84">
        <v>12</v>
      </c>
      <c r="C125" s="153">
        <v>2</v>
      </c>
      <c r="D125" s="154">
        <v>2</v>
      </c>
      <c r="E125" s="154">
        <v>2</v>
      </c>
      <c r="F125" s="154">
        <v>2</v>
      </c>
      <c r="G125" s="154">
        <v>2</v>
      </c>
      <c r="H125" s="129">
        <v>3</v>
      </c>
      <c r="I125" s="129">
        <v>5</v>
      </c>
      <c r="J125" s="154">
        <v>5</v>
      </c>
      <c r="K125" s="154">
        <v>5</v>
      </c>
      <c r="L125" s="154">
        <v>5</v>
      </c>
      <c r="M125" s="129">
        <v>3</v>
      </c>
      <c r="N125" s="154">
        <v>2</v>
      </c>
      <c r="O125" s="154">
        <v>2</v>
      </c>
      <c r="P125" s="154">
        <v>2</v>
      </c>
      <c r="Q125" s="154">
        <v>2</v>
      </c>
      <c r="R125" s="155">
        <v>2</v>
      </c>
      <c r="U125" s="9">
        <f t="shared" si="31"/>
        <v>12</v>
      </c>
      <c r="V125" s="7" t="str">
        <f t="shared" si="23"/>
        <v>2222</v>
      </c>
      <c r="W125" s="7" t="str">
        <f t="shared" si="24"/>
        <v>2355</v>
      </c>
      <c r="X125" s="7" t="str">
        <f t="shared" si="25"/>
        <v>5532</v>
      </c>
      <c r="Y125" s="7" t="str">
        <f t="shared" si="26"/>
        <v>2222</v>
      </c>
    </row>
    <row r="126" spans="1:25" s="81" customFormat="1" ht="14.1" customHeight="1">
      <c r="A126" s="80"/>
      <c r="B126" s="84">
        <v>13</v>
      </c>
      <c r="C126" s="153">
        <v>2</v>
      </c>
      <c r="D126" s="154">
        <v>2</v>
      </c>
      <c r="E126" s="154">
        <v>2</v>
      </c>
      <c r="F126" s="154">
        <v>2</v>
      </c>
      <c r="G126" s="154">
        <v>2</v>
      </c>
      <c r="H126" s="129">
        <v>3</v>
      </c>
      <c r="I126" s="129">
        <v>5</v>
      </c>
      <c r="J126" s="154">
        <v>5</v>
      </c>
      <c r="K126" s="154">
        <v>5</v>
      </c>
      <c r="L126" s="154">
        <v>5</v>
      </c>
      <c r="M126" s="129">
        <v>3</v>
      </c>
      <c r="N126" s="154">
        <v>2</v>
      </c>
      <c r="O126" s="154">
        <v>2</v>
      </c>
      <c r="P126" s="154">
        <v>2</v>
      </c>
      <c r="Q126" s="154">
        <v>2</v>
      </c>
      <c r="R126" s="155">
        <v>2</v>
      </c>
      <c r="U126" s="9">
        <f t="shared" si="31"/>
        <v>13</v>
      </c>
      <c r="V126" s="7" t="str">
        <f t="shared" si="23"/>
        <v>2222</v>
      </c>
      <c r="W126" s="7" t="str">
        <f t="shared" si="24"/>
        <v>2355</v>
      </c>
      <c r="X126" s="7" t="str">
        <f t="shared" si="25"/>
        <v>5532</v>
      </c>
      <c r="Y126" s="7" t="str">
        <f t="shared" si="26"/>
        <v>2222</v>
      </c>
    </row>
    <row r="127" spans="1:25" s="81" customFormat="1" ht="14.1" customHeight="1">
      <c r="A127" s="80"/>
      <c r="B127" s="84">
        <v>14</v>
      </c>
      <c r="C127" s="153">
        <v>2</v>
      </c>
      <c r="D127" s="154">
        <v>2</v>
      </c>
      <c r="E127" s="154">
        <v>2</v>
      </c>
      <c r="F127" s="154">
        <v>2</v>
      </c>
      <c r="G127" s="154">
        <v>2</v>
      </c>
      <c r="H127" s="129">
        <v>3</v>
      </c>
      <c r="I127" s="129">
        <v>5</v>
      </c>
      <c r="J127" s="154">
        <v>5</v>
      </c>
      <c r="K127" s="154">
        <v>5</v>
      </c>
      <c r="L127" s="154">
        <v>5</v>
      </c>
      <c r="M127" s="129">
        <v>3</v>
      </c>
      <c r="N127" s="154">
        <v>2</v>
      </c>
      <c r="O127" s="154">
        <v>2</v>
      </c>
      <c r="P127" s="154">
        <v>2</v>
      </c>
      <c r="Q127" s="154">
        <v>2</v>
      </c>
      <c r="R127" s="155">
        <v>2</v>
      </c>
      <c r="U127" s="9">
        <f t="shared" si="31"/>
        <v>14</v>
      </c>
      <c r="V127" s="7" t="str">
        <f t="shared" si="23"/>
        <v>2222</v>
      </c>
      <c r="W127" s="7" t="str">
        <f t="shared" si="24"/>
        <v>2355</v>
      </c>
      <c r="X127" s="7" t="str">
        <f t="shared" si="25"/>
        <v>5532</v>
      </c>
      <c r="Y127" s="7" t="str">
        <f t="shared" si="26"/>
        <v>2222</v>
      </c>
    </row>
    <row r="128" spans="1:25" s="81" customFormat="1" ht="14.1" customHeight="1">
      <c r="A128" s="80"/>
      <c r="B128" s="84">
        <v>15</v>
      </c>
      <c r="C128" s="153">
        <v>2</v>
      </c>
      <c r="D128" s="154">
        <v>2</v>
      </c>
      <c r="E128" s="154">
        <v>2</v>
      </c>
      <c r="F128" s="154">
        <v>2</v>
      </c>
      <c r="G128" s="154">
        <v>2</v>
      </c>
      <c r="H128" s="129">
        <v>3</v>
      </c>
      <c r="I128" s="129">
        <v>5</v>
      </c>
      <c r="J128" s="154">
        <v>5</v>
      </c>
      <c r="K128" s="154">
        <v>5</v>
      </c>
      <c r="L128" s="154">
        <v>5</v>
      </c>
      <c r="M128" s="129">
        <v>3</v>
      </c>
      <c r="N128" s="154">
        <v>2</v>
      </c>
      <c r="O128" s="154">
        <v>2</v>
      </c>
      <c r="P128" s="154">
        <v>2</v>
      </c>
      <c r="Q128" s="154">
        <v>2</v>
      </c>
      <c r="R128" s="155">
        <v>2</v>
      </c>
      <c r="U128" s="9">
        <f t="shared" si="31"/>
        <v>15</v>
      </c>
      <c r="V128" s="7" t="str">
        <f t="shared" si="23"/>
        <v>2222</v>
      </c>
      <c r="W128" s="7" t="str">
        <f t="shared" si="24"/>
        <v>2355</v>
      </c>
      <c r="X128" s="7" t="str">
        <f t="shared" si="25"/>
        <v>5532</v>
      </c>
      <c r="Y128" s="7" t="str">
        <f t="shared" si="26"/>
        <v>2222</v>
      </c>
    </row>
    <row r="129" spans="1:25" s="81" customFormat="1" ht="14.1" customHeight="1">
      <c r="A129" s="80"/>
      <c r="B129" s="84">
        <v>16</v>
      </c>
      <c r="C129" s="153">
        <v>2</v>
      </c>
      <c r="D129" s="154">
        <v>2</v>
      </c>
      <c r="E129" s="154">
        <v>2</v>
      </c>
      <c r="F129" s="154">
        <v>2</v>
      </c>
      <c r="G129" s="154">
        <v>2</v>
      </c>
      <c r="H129" s="129">
        <v>3</v>
      </c>
      <c r="I129" s="129">
        <v>5</v>
      </c>
      <c r="J129" s="154">
        <v>5</v>
      </c>
      <c r="K129" s="154">
        <v>5</v>
      </c>
      <c r="L129" s="154">
        <v>5</v>
      </c>
      <c r="M129" s="129">
        <v>3</v>
      </c>
      <c r="N129" s="154">
        <v>2</v>
      </c>
      <c r="O129" s="154">
        <v>2</v>
      </c>
      <c r="P129" s="154">
        <v>2</v>
      </c>
      <c r="Q129" s="154">
        <v>2</v>
      </c>
      <c r="R129" s="155">
        <v>2</v>
      </c>
      <c r="U129" s="9">
        <f t="shared" si="31"/>
        <v>16</v>
      </c>
      <c r="V129" s="7" t="str">
        <f t="shared" si="23"/>
        <v>2222</v>
      </c>
      <c r="W129" s="7" t="str">
        <f t="shared" si="24"/>
        <v>2355</v>
      </c>
      <c r="X129" s="7" t="str">
        <f t="shared" si="25"/>
        <v>5532</v>
      </c>
      <c r="Y129" s="7" t="str">
        <f t="shared" si="26"/>
        <v>2222</v>
      </c>
    </row>
    <row r="130" spans="1:25" s="81" customFormat="1" ht="14.1" customHeight="1">
      <c r="A130" s="80"/>
      <c r="B130" s="84">
        <v>17</v>
      </c>
      <c r="C130" s="153">
        <v>2</v>
      </c>
      <c r="D130" s="154">
        <v>2</v>
      </c>
      <c r="E130" s="154">
        <v>2</v>
      </c>
      <c r="F130" s="154">
        <v>2</v>
      </c>
      <c r="G130" s="154">
        <v>2</v>
      </c>
      <c r="H130" s="129">
        <v>3</v>
      </c>
      <c r="I130" s="129">
        <v>5</v>
      </c>
      <c r="J130" s="154">
        <v>5</v>
      </c>
      <c r="K130" s="154">
        <v>5</v>
      </c>
      <c r="L130" s="154">
        <v>5</v>
      </c>
      <c r="M130" s="129">
        <v>3</v>
      </c>
      <c r="N130" s="154">
        <v>2</v>
      </c>
      <c r="O130" s="154">
        <v>2</v>
      </c>
      <c r="P130" s="154">
        <v>2</v>
      </c>
      <c r="Q130" s="154">
        <v>2</v>
      </c>
      <c r="R130" s="155">
        <v>2</v>
      </c>
      <c r="U130" s="9">
        <f t="shared" si="31"/>
        <v>17</v>
      </c>
      <c r="V130" s="7" t="str">
        <f t="shared" si="23"/>
        <v>2222</v>
      </c>
      <c r="W130" s="7" t="str">
        <f t="shared" si="24"/>
        <v>2355</v>
      </c>
      <c r="X130" s="7" t="str">
        <f t="shared" si="25"/>
        <v>5532</v>
      </c>
      <c r="Y130" s="7" t="str">
        <f t="shared" si="26"/>
        <v>2222</v>
      </c>
    </row>
    <row r="131" spans="1:25" s="81" customFormat="1" ht="14.1" customHeight="1">
      <c r="A131" s="80"/>
      <c r="B131" s="84">
        <v>18</v>
      </c>
      <c r="C131" s="153">
        <v>2</v>
      </c>
      <c r="D131" s="154">
        <v>2</v>
      </c>
      <c r="E131" s="154">
        <v>2</v>
      </c>
      <c r="F131" s="154">
        <v>2</v>
      </c>
      <c r="G131" s="154">
        <v>2</v>
      </c>
      <c r="H131" s="129">
        <v>3</v>
      </c>
      <c r="I131" s="129">
        <v>5</v>
      </c>
      <c r="J131" s="154">
        <v>5</v>
      </c>
      <c r="K131" s="154">
        <v>5</v>
      </c>
      <c r="L131" s="154">
        <v>5</v>
      </c>
      <c r="M131" s="129">
        <v>3</v>
      </c>
      <c r="N131" s="154">
        <v>2</v>
      </c>
      <c r="O131" s="154">
        <v>2</v>
      </c>
      <c r="P131" s="154">
        <v>2</v>
      </c>
      <c r="Q131" s="154">
        <v>2</v>
      </c>
      <c r="R131" s="155">
        <v>2</v>
      </c>
      <c r="U131" s="9">
        <f t="shared" si="31"/>
        <v>18</v>
      </c>
      <c r="V131" s="7" t="str">
        <f t="shared" si="23"/>
        <v>2222</v>
      </c>
      <c r="W131" s="7" t="str">
        <f t="shared" si="24"/>
        <v>2355</v>
      </c>
      <c r="X131" s="7" t="str">
        <f t="shared" si="25"/>
        <v>5532</v>
      </c>
      <c r="Y131" s="7" t="str">
        <f t="shared" si="26"/>
        <v>2222</v>
      </c>
    </row>
    <row r="132" spans="1:25" s="81" customFormat="1" ht="14.1" customHeight="1">
      <c r="A132" s="80"/>
      <c r="B132" s="84">
        <v>19</v>
      </c>
      <c r="C132" s="153">
        <v>2</v>
      </c>
      <c r="D132" s="154">
        <v>2</v>
      </c>
      <c r="E132" s="154">
        <v>2</v>
      </c>
      <c r="F132" s="154">
        <v>2</v>
      </c>
      <c r="G132" s="154">
        <v>2</v>
      </c>
      <c r="H132" s="129">
        <v>3</v>
      </c>
      <c r="I132" s="129">
        <v>5</v>
      </c>
      <c r="J132" s="154">
        <v>5</v>
      </c>
      <c r="K132" s="154">
        <v>5</v>
      </c>
      <c r="L132" s="154">
        <v>5</v>
      </c>
      <c r="M132" s="129">
        <v>3</v>
      </c>
      <c r="N132" s="154">
        <v>2</v>
      </c>
      <c r="O132" s="154">
        <v>2</v>
      </c>
      <c r="P132" s="154">
        <v>2</v>
      </c>
      <c r="Q132" s="154">
        <v>2</v>
      </c>
      <c r="R132" s="155">
        <v>2</v>
      </c>
      <c r="U132" s="9">
        <f t="shared" si="31"/>
        <v>19</v>
      </c>
      <c r="V132" s="7" t="str">
        <f t="shared" si="23"/>
        <v>2222</v>
      </c>
      <c r="W132" s="7" t="str">
        <f t="shared" si="24"/>
        <v>2355</v>
      </c>
      <c r="X132" s="7" t="str">
        <f t="shared" si="25"/>
        <v>5532</v>
      </c>
      <c r="Y132" s="7" t="str">
        <f t="shared" si="26"/>
        <v>2222</v>
      </c>
    </row>
    <row r="133" spans="1:25" s="81" customFormat="1" ht="14.1" customHeight="1">
      <c r="A133" s="80"/>
      <c r="B133" s="84">
        <v>20</v>
      </c>
      <c r="C133" s="153">
        <v>2</v>
      </c>
      <c r="D133" s="154">
        <v>2</v>
      </c>
      <c r="E133" s="154">
        <v>2</v>
      </c>
      <c r="F133" s="154">
        <v>2</v>
      </c>
      <c r="G133" s="154">
        <v>2</v>
      </c>
      <c r="H133" s="129">
        <v>2</v>
      </c>
      <c r="I133" s="129">
        <v>3</v>
      </c>
      <c r="J133" s="129">
        <v>3</v>
      </c>
      <c r="K133" s="129">
        <v>3</v>
      </c>
      <c r="L133" s="129">
        <v>3</v>
      </c>
      <c r="M133" s="129">
        <v>2</v>
      </c>
      <c r="N133" s="154">
        <v>2</v>
      </c>
      <c r="O133" s="154">
        <v>2</v>
      </c>
      <c r="P133" s="154">
        <v>2</v>
      </c>
      <c r="Q133" s="154">
        <v>2</v>
      </c>
      <c r="R133" s="155">
        <v>2</v>
      </c>
      <c r="U133" s="9">
        <f t="shared" si="31"/>
        <v>20</v>
      </c>
      <c r="V133" s="7" t="str">
        <f t="shared" si="23"/>
        <v>2222</v>
      </c>
      <c r="W133" s="7" t="str">
        <f t="shared" si="24"/>
        <v>2233</v>
      </c>
      <c r="X133" s="7" t="str">
        <f t="shared" si="25"/>
        <v>3322</v>
      </c>
      <c r="Y133" s="7" t="str">
        <f t="shared" si="26"/>
        <v>2222</v>
      </c>
    </row>
    <row r="134" spans="1:25" s="81" customFormat="1" ht="14.1" customHeight="1">
      <c r="A134" s="80"/>
      <c r="B134" s="84">
        <v>21</v>
      </c>
      <c r="C134" s="153">
        <v>2</v>
      </c>
      <c r="D134" s="154">
        <v>2</v>
      </c>
      <c r="E134" s="154">
        <v>2</v>
      </c>
      <c r="F134" s="154">
        <v>2</v>
      </c>
      <c r="G134" s="154">
        <v>2</v>
      </c>
      <c r="H134" s="129">
        <v>2</v>
      </c>
      <c r="I134" s="129">
        <v>3</v>
      </c>
      <c r="J134" s="129">
        <v>3</v>
      </c>
      <c r="K134" s="129">
        <v>3</v>
      </c>
      <c r="L134" s="129">
        <v>3</v>
      </c>
      <c r="M134" s="129">
        <v>2</v>
      </c>
      <c r="N134" s="154">
        <v>2</v>
      </c>
      <c r="O134" s="154">
        <v>2</v>
      </c>
      <c r="P134" s="154">
        <v>2</v>
      </c>
      <c r="Q134" s="154">
        <v>2</v>
      </c>
      <c r="R134" s="155">
        <v>2</v>
      </c>
      <c r="U134" s="9">
        <f t="shared" si="31"/>
        <v>21</v>
      </c>
      <c r="V134" s="7" t="str">
        <f t="shared" si="23"/>
        <v>2222</v>
      </c>
      <c r="W134" s="7" t="str">
        <f t="shared" si="24"/>
        <v>2233</v>
      </c>
      <c r="X134" s="7" t="str">
        <f t="shared" si="25"/>
        <v>3322</v>
      </c>
      <c r="Y134" s="7" t="str">
        <f t="shared" si="26"/>
        <v>2222</v>
      </c>
    </row>
    <row r="135" spans="1:25" s="81" customFormat="1" ht="14.1" customHeight="1">
      <c r="A135" s="80"/>
      <c r="B135" s="84">
        <v>22</v>
      </c>
      <c r="C135" s="153">
        <v>2</v>
      </c>
      <c r="D135" s="154">
        <v>2</v>
      </c>
      <c r="E135" s="154">
        <v>2</v>
      </c>
      <c r="F135" s="154">
        <v>2</v>
      </c>
      <c r="G135" s="154">
        <v>2</v>
      </c>
      <c r="H135" s="154">
        <v>2</v>
      </c>
      <c r="I135" s="154">
        <v>2</v>
      </c>
      <c r="J135" s="154">
        <v>2</v>
      </c>
      <c r="K135" s="154">
        <v>2</v>
      </c>
      <c r="L135" s="154">
        <v>2</v>
      </c>
      <c r="M135" s="154">
        <v>2</v>
      </c>
      <c r="N135" s="154">
        <v>2</v>
      </c>
      <c r="O135" s="154">
        <v>2</v>
      </c>
      <c r="P135" s="154">
        <v>2</v>
      </c>
      <c r="Q135" s="154">
        <v>2</v>
      </c>
      <c r="R135" s="155">
        <v>2</v>
      </c>
      <c r="U135" s="9">
        <f t="shared" si="31"/>
        <v>22</v>
      </c>
      <c r="V135" s="7" t="str">
        <f t="shared" si="23"/>
        <v>2222</v>
      </c>
      <c r="W135" s="7" t="str">
        <f t="shared" si="24"/>
        <v>2222</v>
      </c>
      <c r="X135" s="7" t="str">
        <f t="shared" si="25"/>
        <v>2222</v>
      </c>
      <c r="Y135" s="7" t="str">
        <f t="shared" si="26"/>
        <v>2222</v>
      </c>
    </row>
    <row r="136" spans="1:25" s="81" customFormat="1" ht="14.1" customHeight="1">
      <c r="A136" s="80"/>
      <c r="B136" s="84">
        <v>23</v>
      </c>
      <c r="C136" s="153">
        <v>2</v>
      </c>
      <c r="D136" s="154">
        <v>2</v>
      </c>
      <c r="E136" s="154">
        <v>2</v>
      </c>
      <c r="F136" s="154">
        <v>2</v>
      </c>
      <c r="G136" s="154">
        <v>2</v>
      </c>
      <c r="H136" s="154">
        <v>2</v>
      </c>
      <c r="I136" s="154">
        <v>2</v>
      </c>
      <c r="J136" s="154">
        <v>2</v>
      </c>
      <c r="K136" s="154">
        <v>2</v>
      </c>
      <c r="L136" s="154">
        <v>2</v>
      </c>
      <c r="M136" s="154">
        <v>2</v>
      </c>
      <c r="N136" s="154">
        <v>2</v>
      </c>
      <c r="O136" s="154">
        <v>2</v>
      </c>
      <c r="P136" s="154">
        <v>2</v>
      </c>
      <c r="Q136" s="154">
        <v>2</v>
      </c>
      <c r="R136" s="155">
        <v>2</v>
      </c>
      <c r="U136" s="9">
        <f t="shared" si="31"/>
        <v>23</v>
      </c>
      <c r="V136" s="7" t="str">
        <f t="shared" si="23"/>
        <v>2222</v>
      </c>
      <c r="W136" s="7" t="str">
        <f t="shared" si="24"/>
        <v>2222</v>
      </c>
      <c r="X136" s="7" t="str">
        <f t="shared" si="25"/>
        <v>2222</v>
      </c>
      <c r="Y136" s="7" t="str">
        <f t="shared" si="26"/>
        <v>2222</v>
      </c>
    </row>
    <row r="137" spans="1:25" s="81" customFormat="1" ht="14.1" customHeight="1">
      <c r="A137" s="80"/>
      <c r="B137" s="84">
        <v>24</v>
      </c>
      <c r="C137" s="153">
        <v>2</v>
      </c>
      <c r="D137" s="154">
        <v>2</v>
      </c>
      <c r="E137" s="154">
        <v>2</v>
      </c>
      <c r="F137" s="154">
        <v>2</v>
      </c>
      <c r="G137" s="154">
        <v>2</v>
      </c>
      <c r="H137" s="154">
        <v>2</v>
      </c>
      <c r="I137" s="154">
        <v>2</v>
      </c>
      <c r="J137" s="154">
        <v>2</v>
      </c>
      <c r="K137" s="154">
        <v>2</v>
      </c>
      <c r="L137" s="154">
        <v>2</v>
      </c>
      <c r="M137" s="154">
        <v>2</v>
      </c>
      <c r="N137" s="154">
        <v>2</v>
      </c>
      <c r="O137" s="154">
        <v>2</v>
      </c>
      <c r="P137" s="154">
        <v>2</v>
      </c>
      <c r="Q137" s="154">
        <v>2</v>
      </c>
      <c r="R137" s="155">
        <v>2</v>
      </c>
      <c r="U137" s="9">
        <f t="shared" si="31"/>
        <v>24</v>
      </c>
      <c r="V137" s="7" t="str">
        <f t="shared" si="23"/>
        <v>2222</v>
      </c>
      <c r="W137" s="7" t="str">
        <f t="shared" si="24"/>
        <v>2222</v>
      </c>
      <c r="X137" s="7" t="str">
        <f t="shared" si="25"/>
        <v>2222</v>
      </c>
      <c r="Y137" s="7" t="str">
        <f t="shared" si="26"/>
        <v>2222</v>
      </c>
    </row>
    <row r="138" spans="1:25" s="81" customFormat="1" ht="14.1" customHeight="1">
      <c r="A138" s="80"/>
      <c r="B138" s="84">
        <v>25</v>
      </c>
      <c r="C138" s="153">
        <v>2</v>
      </c>
      <c r="D138" s="154">
        <v>2</v>
      </c>
      <c r="E138" s="154">
        <v>2</v>
      </c>
      <c r="F138" s="154">
        <v>2</v>
      </c>
      <c r="G138" s="154">
        <v>2</v>
      </c>
      <c r="H138" s="154">
        <v>2</v>
      </c>
      <c r="I138" s="154">
        <v>2</v>
      </c>
      <c r="J138" s="154">
        <v>2</v>
      </c>
      <c r="K138" s="154">
        <v>2</v>
      </c>
      <c r="L138" s="154">
        <v>2</v>
      </c>
      <c r="M138" s="154">
        <v>2</v>
      </c>
      <c r="N138" s="154">
        <v>2</v>
      </c>
      <c r="O138" s="154">
        <v>2</v>
      </c>
      <c r="P138" s="154">
        <v>2</v>
      </c>
      <c r="Q138" s="154">
        <v>2</v>
      </c>
      <c r="R138" s="155">
        <v>2</v>
      </c>
      <c r="U138" s="9">
        <f t="shared" si="31"/>
        <v>25</v>
      </c>
      <c r="V138" s="7" t="str">
        <f t="shared" si="23"/>
        <v>2222</v>
      </c>
      <c r="W138" s="7" t="str">
        <f t="shared" si="24"/>
        <v>2222</v>
      </c>
      <c r="X138" s="7" t="str">
        <f t="shared" si="25"/>
        <v>2222</v>
      </c>
      <c r="Y138" s="7" t="str">
        <f t="shared" si="26"/>
        <v>2222</v>
      </c>
    </row>
    <row r="139" spans="1:25" s="81" customFormat="1" ht="14.1" customHeight="1">
      <c r="A139" s="80"/>
      <c r="B139" s="84">
        <v>26</v>
      </c>
      <c r="C139" s="153">
        <v>2</v>
      </c>
      <c r="D139" s="154">
        <v>2</v>
      </c>
      <c r="E139" s="154">
        <v>2</v>
      </c>
      <c r="F139" s="154">
        <v>2</v>
      </c>
      <c r="G139" s="154">
        <v>2</v>
      </c>
      <c r="H139" s="154">
        <v>2</v>
      </c>
      <c r="I139" s="154">
        <v>2</v>
      </c>
      <c r="J139" s="154">
        <v>2</v>
      </c>
      <c r="K139" s="154">
        <v>2</v>
      </c>
      <c r="L139" s="154">
        <v>2</v>
      </c>
      <c r="M139" s="154">
        <v>2</v>
      </c>
      <c r="N139" s="154">
        <v>2</v>
      </c>
      <c r="O139" s="154">
        <v>2</v>
      </c>
      <c r="P139" s="154">
        <v>2</v>
      </c>
      <c r="Q139" s="154">
        <v>2</v>
      </c>
      <c r="R139" s="155">
        <v>2</v>
      </c>
      <c r="U139" s="9">
        <f t="shared" si="31"/>
        <v>26</v>
      </c>
      <c r="V139" s="7" t="str">
        <f t="shared" si="23"/>
        <v>2222</v>
      </c>
      <c r="W139" s="7" t="str">
        <f t="shared" si="24"/>
        <v>2222</v>
      </c>
      <c r="X139" s="7" t="str">
        <f t="shared" si="25"/>
        <v>2222</v>
      </c>
      <c r="Y139" s="7" t="str">
        <f t="shared" si="26"/>
        <v>2222</v>
      </c>
    </row>
    <row r="140" spans="1:25" s="81" customFormat="1" ht="14.1" customHeight="1">
      <c r="A140" s="80"/>
      <c r="B140" s="84">
        <v>27</v>
      </c>
      <c r="C140" s="153">
        <v>2</v>
      </c>
      <c r="D140" s="154">
        <v>2</v>
      </c>
      <c r="E140" s="154">
        <v>2</v>
      </c>
      <c r="F140" s="154">
        <v>2</v>
      </c>
      <c r="G140" s="154">
        <v>2</v>
      </c>
      <c r="H140" s="154">
        <v>2</v>
      </c>
      <c r="I140" s="154">
        <v>2</v>
      </c>
      <c r="J140" s="154">
        <v>2</v>
      </c>
      <c r="K140" s="154">
        <v>2</v>
      </c>
      <c r="L140" s="154">
        <v>2</v>
      </c>
      <c r="M140" s="154">
        <v>2</v>
      </c>
      <c r="N140" s="154">
        <v>2</v>
      </c>
      <c r="O140" s="154">
        <v>2</v>
      </c>
      <c r="P140" s="154">
        <v>2</v>
      </c>
      <c r="Q140" s="154">
        <v>2</v>
      </c>
      <c r="R140" s="155">
        <v>2</v>
      </c>
      <c r="U140" s="9">
        <f t="shared" si="31"/>
        <v>27</v>
      </c>
      <c r="V140" s="7" t="str">
        <f t="shared" si="23"/>
        <v>2222</v>
      </c>
      <c r="W140" s="7" t="str">
        <f t="shared" si="24"/>
        <v>2222</v>
      </c>
      <c r="X140" s="7" t="str">
        <f t="shared" si="25"/>
        <v>2222</v>
      </c>
      <c r="Y140" s="7" t="str">
        <f t="shared" si="26"/>
        <v>2222</v>
      </c>
    </row>
    <row r="141" spans="1:25" s="81" customFormat="1" ht="14.1" customHeight="1">
      <c r="A141" s="80"/>
      <c r="B141" s="84">
        <v>28</v>
      </c>
      <c r="C141" s="153">
        <v>2</v>
      </c>
      <c r="D141" s="154">
        <v>2</v>
      </c>
      <c r="E141" s="154">
        <v>2</v>
      </c>
      <c r="F141" s="154">
        <v>2</v>
      </c>
      <c r="G141" s="154">
        <v>2</v>
      </c>
      <c r="H141" s="154">
        <v>2</v>
      </c>
      <c r="I141" s="154">
        <v>2</v>
      </c>
      <c r="J141" s="154">
        <v>2</v>
      </c>
      <c r="K141" s="154">
        <v>2</v>
      </c>
      <c r="L141" s="154">
        <v>2</v>
      </c>
      <c r="M141" s="154">
        <v>2</v>
      </c>
      <c r="N141" s="154">
        <v>2</v>
      </c>
      <c r="O141" s="154">
        <v>2</v>
      </c>
      <c r="P141" s="154">
        <v>2</v>
      </c>
      <c r="Q141" s="154">
        <v>2</v>
      </c>
      <c r="R141" s="155">
        <v>2</v>
      </c>
      <c r="U141" s="9">
        <f t="shared" si="31"/>
        <v>28</v>
      </c>
      <c r="V141" s="7" t="str">
        <f t="shared" si="23"/>
        <v>2222</v>
      </c>
      <c r="W141" s="7" t="str">
        <f t="shared" si="24"/>
        <v>2222</v>
      </c>
      <c r="X141" s="7" t="str">
        <f t="shared" si="25"/>
        <v>2222</v>
      </c>
      <c r="Y141" s="7" t="str">
        <f t="shared" si="26"/>
        <v>2222</v>
      </c>
    </row>
    <row r="142" spans="1:25" s="81" customFormat="1" ht="14.1" customHeight="1">
      <c r="A142" s="80"/>
      <c r="B142" s="84">
        <v>29</v>
      </c>
      <c r="C142" s="153">
        <v>2</v>
      </c>
      <c r="D142" s="154">
        <v>2</v>
      </c>
      <c r="E142" s="154">
        <v>2</v>
      </c>
      <c r="F142" s="154">
        <v>2</v>
      </c>
      <c r="G142" s="154">
        <v>2</v>
      </c>
      <c r="H142" s="154">
        <v>2</v>
      </c>
      <c r="I142" s="154">
        <v>2</v>
      </c>
      <c r="J142" s="154">
        <v>2</v>
      </c>
      <c r="K142" s="154">
        <v>2</v>
      </c>
      <c r="L142" s="154">
        <v>2</v>
      </c>
      <c r="M142" s="154">
        <v>2</v>
      </c>
      <c r="N142" s="154">
        <v>2</v>
      </c>
      <c r="O142" s="154">
        <v>2</v>
      </c>
      <c r="P142" s="154">
        <v>2</v>
      </c>
      <c r="Q142" s="154">
        <v>2</v>
      </c>
      <c r="R142" s="155">
        <v>2</v>
      </c>
      <c r="U142" s="9">
        <f t="shared" si="31"/>
        <v>29</v>
      </c>
      <c r="V142" s="7" t="str">
        <f t="shared" si="23"/>
        <v>2222</v>
      </c>
      <c r="W142" s="7" t="str">
        <f t="shared" si="24"/>
        <v>2222</v>
      </c>
      <c r="X142" s="7" t="str">
        <f t="shared" si="25"/>
        <v>2222</v>
      </c>
      <c r="Y142" s="7" t="str">
        <f t="shared" si="26"/>
        <v>2222</v>
      </c>
    </row>
    <row r="143" spans="1:25" s="81" customFormat="1" ht="14.1" customHeight="1">
      <c r="A143" s="80"/>
      <c r="B143" s="84">
        <v>30</v>
      </c>
      <c r="C143" s="153">
        <v>2</v>
      </c>
      <c r="D143" s="154">
        <v>2</v>
      </c>
      <c r="E143" s="154">
        <v>2</v>
      </c>
      <c r="F143" s="154">
        <v>2</v>
      </c>
      <c r="G143" s="154">
        <v>2</v>
      </c>
      <c r="H143" s="154">
        <v>2</v>
      </c>
      <c r="I143" s="154">
        <v>2</v>
      </c>
      <c r="J143" s="154">
        <v>2</v>
      </c>
      <c r="K143" s="154">
        <v>2</v>
      </c>
      <c r="L143" s="154">
        <v>2</v>
      </c>
      <c r="M143" s="154">
        <v>2</v>
      </c>
      <c r="N143" s="154">
        <v>2</v>
      </c>
      <c r="O143" s="154">
        <v>2</v>
      </c>
      <c r="P143" s="154">
        <v>2</v>
      </c>
      <c r="Q143" s="154">
        <v>2</v>
      </c>
      <c r="R143" s="155">
        <v>2</v>
      </c>
      <c r="U143" s="9">
        <f t="shared" si="31"/>
        <v>30</v>
      </c>
      <c r="V143" s="7" t="str">
        <f t="shared" si="23"/>
        <v>2222</v>
      </c>
      <c r="W143" s="7" t="str">
        <f t="shared" si="24"/>
        <v>2222</v>
      </c>
      <c r="X143" s="7" t="str">
        <f t="shared" si="25"/>
        <v>2222</v>
      </c>
      <c r="Y143" s="7" t="str">
        <f t="shared" si="26"/>
        <v>2222</v>
      </c>
    </row>
    <row r="144" spans="1:25" s="81" customFormat="1" ht="14.1" customHeight="1" thickBot="1">
      <c r="A144" s="80"/>
      <c r="B144" s="84">
        <v>31</v>
      </c>
      <c r="C144" s="122">
        <v>2</v>
      </c>
      <c r="D144" s="123">
        <v>2</v>
      </c>
      <c r="E144" s="148">
        <v>2</v>
      </c>
      <c r="F144" s="148">
        <v>2</v>
      </c>
      <c r="G144" s="148">
        <v>2</v>
      </c>
      <c r="H144" s="148">
        <v>2</v>
      </c>
      <c r="I144" s="148">
        <v>2</v>
      </c>
      <c r="J144" s="148">
        <v>2</v>
      </c>
      <c r="K144" s="148">
        <v>2</v>
      </c>
      <c r="L144" s="148">
        <v>2</v>
      </c>
      <c r="M144" s="148">
        <v>2</v>
      </c>
      <c r="N144" s="148">
        <v>2</v>
      </c>
      <c r="O144" s="148">
        <v>2</v>
      </c>
      <c r="P144" s="148">
        <v>2</v>
      </c>
      <c r="Q144" s="148">
        <v>2</v>
      </c>
      <c r="R144" s="124">
        <v>2</v>
      </c>
      <c r="U144" s="9">
        <f t="shared" si="31"/>
        <v>31</v>
      </c>
      <c r="V144" s="7" t="str">
        <f t="shared" si="23"/>
        <v>2222</v>
      </c>
      <c r="W144" s="7" t="str">
        <f t="shared" si="24"/>
        <v>2222</v>
      </c>
      <c r="X144" s="7" t="str">
        <f t="shared" si="25"/>
        <v>2222</v>
      </c>
      <c r="Y144" s="7" t="str">
        <f t="shared" si="26"/>
        <v>2222</v>
      </c>
    </row>
    <row r="145" spans="1:25" s="81" customFormat="1">
      <c r="A145" s="80"/>
      <c r="U145" s="85"/>
    </row>
    <row r="146" spans="1:25" s="81" customFormat="1">
      <c r="A146" s="80"/>
      <c r="U146" s="85"/>
    </row>
    <row r="147" spans="1:25" s="81" customFormat="1">
      <c r="A147" s="80" t="s">
        <v>294</v>
      </c>
      <c r="U147" s="8" t="str">
        <f>A147</f>
        <v>5.Spot 1 (Storage to ROM)</v>
      </c>
    </row>
    <row r="148" spans="1:25" s="81" customFormat="1" ht="15" thickBot="1">
      <c r="A148" s="80"/>
      <c r="C148" s="84">
        <v>0</v>
      </c>
      <c r="D148" s="84">
        <v>1</v>
      </c>
      <c r="E148" s="84">
        <v>2</v>
      </c>
      <c r="F148" s="84">
        <v>3</v>
      </c>
      <c r="G148" s="84">
        <v>4</v>
      </c>
      <c r="H148" s="84">
        <v>5</v>
      </c>
      <c r="I148" s="84">
        <v>6</v>
      </c>
      <c r="J148" s="84">
        <v>7</v>
      </c>
      <c r="K148" s="84">
        <v>8</v>
      </c>
      <c r="L148" s="84">
        <v>9</v>
      </c>
      <c r="M148" s="84">
        <v>10</v>
      </c>
      <c r="N148" s="84">
        <v>11</v>
      </c>
      <c r="O148" s="84">
        <v>12</v>
      </c>
      <c r="P148" s="84">
        <v>13</v>
      </c>
      <c r="Q148" s="84">
        <v>14</v>
      </c>
      <c r="R148" s="84">
        <v>15</v>
      </c>
      <c r="U148" s="85"/>
      <c r="V148" s="7" t="str">
        <f t="shared" ref="V148" si="32">C148&amp;D148&amp;E148&amp;F148</f>
        <v>0123</v>
      </c>
      <c r="W148" s="7" t="str">
        <f t="shared" ref="W148" si="33">G148&amp;H148&amp;I148&amp;J148</f>
        <v>4567</v>
      </c>
      <c r="X148" s="7" t="str">
        <f t="shared" ref="X148" si="34">K148&amp;L148&amp;M148&amp;N148</f>
        <v>891011</v>
      </c>
      <c r="Y148" s="7" t="str">
        <f t="shared" ref="Y148" si="35">O148&amp;P148&amp;Q148&amp;R148</f>
        <v>12131415</v>
      </c>
    </row>
    <row r="149" spans="1:25" s="81" customFormat="1" ht="14.1" customHeight="1">
      <c r="A149" s="80"/>
      <c r="B149" s="84">
        <v>0</v>
      </c>
      <c r="C149" s="150">
        <v>0</v>
      </c>
      <c r="D149" s="151">
        <v>0</v>
      </c>
      <c r="E149" s="151">
        <v>0</v>
      </c>
      <c r="F149" s="151">
        <v>0</v>
      </c>
      <c r="G149" s="151">
        <v>0</v>
      </c>
      <c r="H149" s="151">
        <v>0</v>
      </c>
      <c r="I149" s="151">
        <v>0</v>
      </c>
      <c r="J149" s="151">
        <v>0</v>
      </c>
      <c r="K149" s="151">
        <v>0</v>
      </c>
      <c r="L149" s="151">
        <v>0</v>
      </c>
      <c r="M149" s="151">
        <v>0</v>
      </c>
      <c r="N149" s="151">
        <v>0</v>
      </c>
      <c r="O149" s="151">
        <v>0</v>
      </c>
      <c r="P149" s="151">
        <v>0</v>
      </c>
      <c r="Q149" s="151">
        <v>0</v>
      </c>
      <c r="R149" s="152">
        <v>0</v>
      </c>
      <c r="U149" s="9">
        <f t="shared" ref="U149:U180" si="36">B149</f>
        <v>0</v>
      </c>
      <c r="V149" s="7" t="str">
        <f t="shared" si="23"/>
        <v>0000</v>
      </c>
      <c r="W149" s="7" t="str">
        <f t="shared" si="24"/>
        <v>0000</v>
      </c>
      <c r="X149" s="7" t="str">
        <f t="shared" si="25"/>
        <v>0000</v>
      </c>
      <c r="Y149" s="7" t="str">
        <f t="shared" si="26"/>
        <v>0000</v>
      </c>
    </row>
    <row r="150" spans="1:25" s="81" customFormat="1" ht="14.1" customHeight="1">
      <c r="A150" s="80"/>
      <c r="B150" s="84">
        <v>1</v>
      </c>
      <c r="C150" s="153">
        <v>0</v>
      </c>
      <c r="D150" s="154">
        <v>0</v>
      </c>
      <c r="E150" s="154">
        <v>0</v>
      </c>
      <c r="F150" s="154">
        <v>0</v>
      </c>
      <c r="G150" s="154">
        <v>0</v>
      </c>
      <c r="H150" s="154">
        <v>0</v>
      </c>
      <c r="I150" s="154">
        <v>0</v>
      </c>
      <c r="J150" s="154">
        <v>0</v>
      </c>
      <c r="K150" s="154">
        <v>0</v>
      </c>
      <c r="L150" s="154">
        <v>0</v>
      </c>
      <c r="M150" s="154">
        <v>0</v>
      </c>
      <c r="N150" s="154">
        <v>0</v>
      </c>
      <c r="O150" s="154">
        <v>0</v>
      </c>
      <c r="P150" s="154">
        <v>0</v>
      </c>
      <c r="Q150" s="154">
        <v>0</v>
      </c>
      <c r="R150" s="155">
        <v>0</v>
      </c>
      <c r="U150" s="9">
        <f t="shared" si="36"/>
        <v>1</v>
      </c>
      <c r="V150" s="7" t="str">
        <f t="shared" si="23"/>
        <v>0000</v>
      </c>
      <c r="W150" s="7" t="str">
        <f t="shared" si="24"/>
        <v>0000</v>
      </c>
      <c r="X150" s="7" t="str">
        <f t="shared" si="25"/>
        <v>0000</v>
      </c>
      <c r="Y150" s="7" t="str">
        <f t="shared" si="26"/>
        <v>0000</v>
      </c>
    </row>
    <row r="151" spans="1:25" s="81" customFormat="1" ht="14.1" customHeight="1">
      <c r="A151" s="80"/>
      <c r="B151" s="84">
        <v>2</v>
      </c>
      <c r="C151" s="153">
        <v>0</v>
      </c>
      <c r="D151" s="154">
        <v>0</v>
      </c>
      <c r="E151" s="154">
        <v>0</v>
      </c>
      <c r="F151" s="154">
        <v>0</v>
      </c>
      <c r="G151" s="154">
        <v>0</v>
      </c>
      <c r="H151" s="154">
        <v>0</v>
      </c>
      <c r="I151" s="154">
        <v>0</v>
      </c>
      <c r="J151" s="154">
        <v>0</v>
      </c>
      <c r="K151" s="154">
        <v>0</v>
      </c>
      <c r="L151" s="154">
        <v>0</v>
      </c>
      <c r="M151" s="154">
        <v>0</v>
      </c>
      <c r="N151" s="154">
        <v>0</v>
      </c>
      <c r="O151" s="154">
        <v>0</v>
      </c>
      <c r="P151" s="154">
        <v>0</v>
      </c>
      <c r="Q151" s="154">
        <v>0</v>
      </c>
      <c r="R151" s="155">
        <v>0</v>
      </c>
      <c r="U151" s="9">
        <f t="shared" si="36"/>
        <v>2</v>
      </c>
      <c r="V151" s="7" t="str">
        <f t="shared" si="23"/>
        <v>0000</v>
      </c>
      <c r="W151" s="7" t="str">
        <f t="shared" si="24"/>
        <v>0000</v>
      </c>
      <c r="X151" s="7" t="str">
        <f t="shared" si="25"/>
        <v>0000</v>
      </c>
      <c r="Y151" s="7" t="str">
        <f t="shared" si="26"/>
        <v>0000</v>
      </c>
    </row>
    <row r="152" spans="1:25" s="81" customFormat="1" ht="14.1" customHeight="1">
      <c r="A152" s="80"/>
      <c r="B152" s="84">
        <v>3</v>
      </c>
      <c r="C152" s="153">
        <v>0</v>
      </c>
      <c r="D152" s="154">
        <v>0</v>
      </c>
      <c r="E152" s="154">
        <v>0</v>
      </c>
      <c r="F152" s="154">
        <v>0</v>
      </c>
      <c r="G152" s="154">
        <v>0</v>
      </c>
      <c r="H152" s="154">
        <v>0</v>
      </c>
      <c r="I152" s="154">
        <v>0</v>
      </c>
      <c r="J152" s="154">
        <v>0</v>
      </c>
      <c r="K152" s="154">
        <v>0</v>
      </c>
      <c r="L152" s="154">
        <v>0</v>
      </c>
      <c r="M152" s="154">
        <v>0</v>
      </c>
      <c r="N152" s="154">
        <v>0</v>
      </c>
      <c r="O152" s="154">
        <v>0</v>
      </c>
      <c r="P152" s="154">
        <v>0</v>
      </c>
      <c r="Q152" s="154">
        <v>0</v>
      </c>
      <c r="R152" s="155">
        <v>0</v>
      </c>
      <c r="U152" s="9">
        <f t="shared" si="36"/>
        <v>3</v>
      </c>
      <c r="V152" s="7" t="str">
        <f t="shared" si="23"/>
        <v>0000</v>
      </c>
      <c r="W152" s="7" t="str">
        <f t="shared" si="24"/>
        <v>0000</v>
      </c>
      <c r="X152" s="7" t="str">
        <f t="shared" si="25"/>
        <v>0000</v>
      </c>
      <c r="Y152" s="7" t="str">
        <f t="shared" si="26"/>
        <v>0000</v>
      </c>
    </row>
    <row r="153" spans="1:25" s="81" customFormat="1" ht="14.1" customHeight="1">
      <c r="A153" s="80"/>
      <c r="B153" s="84">
        <v>4</v>
      </c>
      <c r="C153" s="153">
        <v>0</v>
      </c>
      <c r="D153" s="154">
        <v>0</v>
      </c>
      <c r="E153" s="154">
        <v>0</v>
      </c>
      <c r="F153" s="154">
        <v>0</v>
      </c>
      <c r="G153" s="154">
        <v>0</v>
      </c>
      <c r="H153" s="154">
        <v>0</v>
      </c>
      <c r="I153" s="154">
        <v>0</v>
      </c>
      <c r="J153" s="154">
        <v>0</v>
      </c>
      <c r="K153" s="154">
        <v>0</v>
      </c>
      <c r="L153" s="154">
        <v>0</v>
      </c>
      <c r="M153" s="154">
        <v>0</v>
      </c>
      <c r="N153" s="154">
        <v>0</v>
      </c>
      <c r="O153" s="154">
        <v>0</v>
      </c>
      <c r="P153" s="154">
        <v>0</v>
      </c>
      <c r="Q153" s="154">
        <v>0</v>
      </c>
      <c r="R153" s="155">
        <v>0</v>
      </c>
      <c r="U153" s="9">
        <f t="shared" si="36"/>
        <v>4</v>
      </c>
      <c r="V153" s="7" t="str">
        <f t="shared" si="23"/>
        <v>0000</v>
      </c>
      <c r="W153" s="7" t="str">
        <f t="shared" si="24"/>
        <v>0000</v>
      </c>
      <c r="X153" s="7" t="str">
        <f t="shared" si="25"/>
        <v>0000</v>
      </c>
      <c r="Y153" s="7" t="str">
        <f t="shared" si="26"/>
        <v>0000</v>
      </c>
    </row>
    <row r="154" spans="1:25" s="81" customFormat="1" ht="14.1" customHeight="1">
      <c r="A154" s="80"/>
      <c r="B154" s="84">
        <v>5</v>
      </c>
      <c r="C154" s="153">
        <v>0</v>
      </c>
      <c r="D154" s="154">
        <v>0</v>
      </c>
      <c r="E154" s="154">
        <v>0</v>
      </c>
      <c r="F154" s="154">
        <v>0</v>
      </c>
      <c r="G154" s="154">
        <v>0</v>
      </c>
      <c r="H154" s="154">
        <v>0</v>
      </c>
      <c r="I154" s="154">
        <v>0</v>
      </c>
      <c r="J154" s="154">
        <v>0</v>
      </c>
      <c r="K154" s="154">
        <v>0</v>
      </c>
      <c r="L154" s="154">
        <v>0</v>
      </c>
      <c r="M154" s="154">
        <v>0</v>
      </c>
      <c r="N154" s="154">
        <v>0</v>
      </c>
      <c r="O154" s="154">
        <v>0</v>
      </c>
      <c r="P154" s="154">
        <v>0</v>
      </c>
      <c r="Q154" s="154">
        <v>0</v>
      </c>
      <c r="R154" s="155">
        <v>0</v>
      </c>
      <c r="U154" s="9">
        <f t="shared" si="36"/>
        <v>5</v>
      </c>
      <c r="V154" s="7" t="str">
        <f t="shared" si="23"/>
        <v>0000</v>
      </c>
      <c r="W154" s="7" t="str">
        <f t="shared" si="24"/>
        <v>0000</v>
      </c>
      <c r="X154" s="7" t="str">
        <f t="shared" si="25"/>
        <v>0000</v>
      </c>
      <c r="Y154" s="7" t="str">
        <f t="shared" si="26"/>
        <v>0000</v>
      </c>
    </row>
    <row r="155" spans="1:25" s="81" customFormat="1" ht="14.1" customHeight="1">
      <c r="A155" s="80"/>
      <c r="B155" s="84">
        <v>6</v>
      </c>
      <c r="C155" s="153">
        <v>0</v>
      </c>
      <c r="D155" s="154">
        <v>0</v>
      </c>
      <c r="E155" s="154">
        <v>0</v>
      </c>
      <c r="F155" s="154">
        <v>0</v>
      </c>
      <c r="G155" s="154">
        <v>0</v>
      </c>
      <c r="H155" s="154">
        <v>0</v>
      </c>
      <c r="I155" s="154">
        <v>0</v>
      </c>
      <c r="J155" s="154">
        <v>0</v>
      </c>
      <c r="K155" s="154">
        <v>0</v>
      </c>
      <c r="L155" s="154">
        <v>0</v>
      </c>
      <c r="M155" s="154">
        <v>0</v>
      </c>
      <c r="N155" s="154">
        <v>0</v>
      </c>
      <c r="O155" s="154">
        <v>0</v>
      </c>
      <c r="P155" s="154">
        <v>0</v>
      </c>
      <c r="Q155" s="154">
        <v>0</v>
      </c>
      <c r="R155" s="155">
        <v>0</v>
      </c>
      <c r="U155" s="9">
        <f t="shared" si="36"/>
        <v>6</v>
      </c>
      <c r="V155" s="7" t="str">
        <f t="shared" si="23"/>
        <v>0000</v>
      </c>
      <c r="W155" s="7" t="str">
        <f t="shared" si="24"/>
        <v>0000</v>
      </c>
      <c r="X155" s="7" t="str">
        <f t="shared" si="25"/>
        <v>0000</v>
      </c>
      <c r="Y155" s="7" t="str">
        <f t="shared" si="26"/>
        <v>0000</v>
      </c>
    </row>
    <row r="156" spans="1:25" s="81" customFormat="1" ht="14.1" customHeight="1">
      <c r="A156" s="80"/>
      <c r="B156" s="84">
        <v>7</v>
      </c>
      <c r="C156" s="153">
        <v>0</v>
      </c>
      <c r="D156" s="154">
        <v>0</v>
      </c>
      <c r="E156" s="154">
        <v>0</v>
      </c>
      <c r="F156" s="154">
        <v>0</v>
      </c>
      <c r="G156" s="154">
        <v>0</v>
      </c>
      <c r="H156" s="154">
        <v>0</v>
      </c>
      <c r="I156" s="154">
        <v>0</v>
      </c>
      <c r="J156" s="154">
        <v>0</v>
      </c>
      <c r="K156" s="154">
        <v>0</v>
      </c>
      <c r="L156" s="154">
        <v>0</v>
      </c>
      <c r="M156" s="154">
        <v>0</v>
      </c>
      <c r="N156" s="154">
        <v>0</v>
      </c>
      <c r="O156" s="154">
        <v>0</v>
      </c>
      <c r="P156" s="154">
        <v>0</v>
      </c>
      <c r="Q156" s="154">
        <v>0</v>
      </c>
      <c r="R156" s="155">
        <v>0</v>
      </c>
      <c r="U156" s="9">
        <f t="shared" si="36"/>
        <v>7</v>
      </c>
      <c r="V156" s="7" t="str">
        <f t="shared" si="23"/>
        <v>0000</v>
      </c>
      <c r="W156" s="7" t="str">
        <f t="shared" si="24"/>
        <v>0000</v>
      </c>
      <c r="X156" s="7" t="str">
        <f t="shared" si="25"/>
        <v>0000</v>
      </c>
      <c r="Y156" s="7" t="str">
        <f t="shared" si="26"/>
        <v>0000</v>
      </c>
    </row>
    <row r="157" spans="1:25" s="81" customFormat="1" ht="14.1" customHeight="1">
      <c r="A157" s="80"/>
      <c r="B157" s="84">
        <v>8</v>
      </c>
      <c r="C157" s="153">
        <v>0</v>
      </c>
      <c r="D157" s="154">
        <v>0</v>
      </c>
      <c r="E157" s="154">
        <v>0</v>
      </c>
      <c r="F157" s="154">
        <v>0</v>
      </c>
      <c r="G157" s="154">
        <v>0</v>
      </c>
      <c r="H157" s="154">
        <v>0</v>
      </c>
      <c r="I157" s="154">
        <v>0</v>
      </c>
      <c r="J157" s="154">
        <v>0</v>
      </c>
      <c r="K157" s="154">
        <v>0</v>
      </c>
      <c r="L157" s="154">
        <v>0</v>
      </c>
      <c r="M157" s="154">
        <v>0</v>
      </c>
      <c r="N157" s="154">
        <v>0</v>
      </c>
      <c r="O157" s="154">
        <v>0</v>
      </c>
      <c r="P157" s="154">
        <v>0</v>
      </c>
      <c r="Q157" s="154">
        <v>0</v>
      </c>
      <c r="R157" s="155">
        <v>0</v>
      </c>
      <c r="U157" s="9">
        <f t="shared" si="36"/>
        <v>8</v>
      </c>
      <c r="V157" s="7" t="str">
        <f t="shared" si="23"/>
        <v>0000</v>
      </c>
      <c r="W157" s="7" t="str">
        <f t="shared" si="24"/>
        <v>0000</v>
      </c>
      <c r="X157" s="7" t="str">
        <f t="shared" si="25"/>
        <v>0000</v>
      </c>
      <c r="Y157" s="7" t="str">
        <f t="shared" si="26"/>
        <v>0000</v>
      </c>
    </row>
    <row r="158" spans="1:25" s="81" customFormat="1" ht="14.1" customHeight="1">
      <c r="A158" s="80"/>
      <c r="B158" s="84">
        <v>9</v>
      </c>
      <c r="C158" s="153">
        <v>0</v>
      </c>
      <c r="D158" s="154">
        <v>0</v>
      </c>
      <c r="E158" s="154">
        <v>0</v>
      </c>
      <c r="F158" s="154">
        <v>0</v>
      </c>
      <c r="G158" s="154">
        <v>0</v>
      </c>
      <c r="H158" s="154">
        <v>0</v>
      </c>
      <c r="I158" s="154">
        <v>0</v>
      </c>
      <c r="J158" s="154">
        <v>0</v>
      </c>
      <c r="K158" s="154">
        <v>0</v>
      </c>
      <c r="L158" s="154">
        <v>0</v>
      </c>
      <c r="M158" s="154">
        <v>0</v>
      </c>
      <c r="N158" s="154">
        <v>0</v>
      </c>
      <c r="O158" s="154">
        <v>0</v>
      </c>
      <c r="P158" s="154">
        <v>0</v>
      </c>
      <c r="Q158" s="154">
        <v>0</v>
      </c>
      <c r="R158" s="155">
        <v>0</v>
      </c>
      <c r="U158" s="9">
        <f t="shared" si="36"/>
        <v>9</v>
      </c>
      <c r="V158" s="7" t="str">
        <f t="shared" si="23"/>
        <v>0000</v>
      </c>
      <c r="W158" s="7" t="str">
        <f t="shared" si="24"/>
        <v>0000</v>
      </c>
      <c r="X158" s="7" t="str">
        <f t="shared" si="25"/>
        <v>0000</v>
      </c>
      <c r="Y158" s="7" t="str">
        <f t="shared" si="26"/>
        <v>0000</v>
      </c>
    </row>
    <row r="159" spans="1:25" s="81" customFormat="1" ht="14.1" customHeight="1">
      <c r="A159" s="80"/>
      <c r="B159" s="84">
        <v>10</v>
      </c>
      <c r="C159" s="153">
        <v>0</v>
      </c>
      <c r="D159" s="154">
        <v>0</v>
      </c>
      <c r="E159" s="154">
        <v>0</v>
      </c>
      <c r="F159" s="154">
        <v>0</v>
      </c>
      <c r="G159" s="154">
        <v>0</v>
      </c>
      <c r="H159" s="154">
        <v>0</v>
      </c>
      <c r="I159" s="154">
        <v>0</v>
      </c>
      <c r="J159" s="154">
        <v>0</v>
      </c>
      <c r="K159" s="154">
        <v>0</v>
      </c>
      <c r="L159" s="154">
        <v>0</v>
      </c>
      <c r="M159" s="154">
        <v>0</v>
      </c>
      <c r="N159" s="154">
        <v>0</v>
      </c>
      <c r="O159" s="154">
        <v>0</v>
      </c>
      <c r="P159" s="154">
        <v>0</v>
      </c>
      <c r="Q159" s="154">
        <v>0</v>
      </c>
      <c r="R159" s="155">
        <v>0</v>
      </c>
      <c r="U159" s="9">
        <f t="shared" si="36"/>
        <v>10</v>
      </c>
      <c r="V159" s="7" t="str">
        <f t="shared" si="23"/>
        <v>0000</v>
      </c>
      <c r="W159" s="7" t="str">
        <f t="shared" si="24"/>
        <v>0000</v>
      </c>
      <c r="X159" s="7" t="str">
        <f t="shared" si="25"/>
        <v>0000</v>
      </c>
      <c r="Y159" s="7" t="str">
        <f t="shared" si="26"/>
        <v>0000</v>
      </c>
    </row>
    <row r="160" spans="1:25" s="81" customFormat="1" ht="14.1" customHeight="1">
      <c r="A160" s="80"/>
      <c r="B160" s="84">
        <v>11</v>
      </c>
      <c r="C160" s="153">
        <v>0</v>
      </c>
      <c r="D160" s="154">
        <v>0</v>
      </c>
      <c r="E160" s="154">
        <v>0</v>
      </c>
      <c r="F160" s="154">
        <v>0</v>
      </c>
      <c r="G160" s="154">
        <v>0</v>
      </c>
      <c r="H160" s="154">
        <v>0</v>
      </c>
      <c r="I160" s="154">
        <v>0</v>
      </c>
      <c r="J160" s="154">
        <v>0</v>
      </c>
      <c r="K160" s="154">
        <v>0</v>
      </c>
      <c r="L160" s="154">
        <v>0</v>
      </c>
      <c r="M160" s="154">
        <v>0</v>
      </c>
      <c r="N160" s="154">
        <v>0</v>
      </c>
      <c r="O160" s="154">
        <v>0</v>
      </c>
      <c r="P160" s="154">
        <v>0</v>
      </c>
      <c r="Q160" s="154">
        <v>0</v>
      </c>
      <c r="R160" s="155">
        <v>0</v>
      </c>
      <c r="U160" s="9">
        <f t="shared" si="36"/>
        <v>11</v>
      </c>
      <c r="V160" s="7" t="str">
        <f t="shared" si="23"/>
        <v>0000</v>
      </c>
      <c r="W160" s="7" t="str">
        <f t="shared" si="24"/>
        <v>0000</v>
      </c>
      <c r="X160" s="7" t="str">
        <f t="shared" si="25"/>
        <v>0000</v>
      </c>
      <c r="Y160" s="7" t="str">
        <f t="shared" si="26"/>
        <v>0000</v>
      </c>
    </row>
    <row r="161" spans="1:25" s="81" customFormat="1" ht="14.1" customHeight="1">
      <c r="A161" s="80"/>
      <c r="B161" s="84">
        <v>12</v>
      </c>
      <c r="C161" s="153">
        <v>0</v>
      </c>
      <c r="D161" s="154">
        <v>0</v>
      </c>
      <c r="E161" s="154">
        <v>0</v>
      </c>
      <c r="F161" s="154">
        <v>0</v>
      </c>
      <c r="G161" s="154">
        <v>0</v>
      </c>
      <c r="H161" s="154">
        <v>0</v>
      </c>
      <c r="I161" s="154">
        <v>0</v>
      </c>
      <c r="J161" s="154">
        <v>0</v>
      </c>
      <c r="K161" s="154">
        <v>0</v>
      </c>
      <c r="L161" s="154">
        <v>0</v>
      </c>
      <c r="M161" s="154">
        <v>0</v>
      </c>
      <c r="N161" s="154">
        <v>0</v>
      </c>
      <c r="O161" s="154">
        <v>0</v>
      </c>
      <c r="P161" s="154">
        <v>0</v>
      </c>
      <c r="Q161" s="154">
        <v>0</v>
      </c>
      <c r="R161" s="155">
        <v>0</v>
      </c>
      <c r="U161" s="9">
        <f t="shared" si="36"/>
        <v>12</v>
      </c>
      <c r="V161" s="7" t="str">
        <f t="shared" si="23"/>
        <v>0000</v>
      </c>
      <c r="W161" s="7" t="str">
        <f t="shared" si="24"/>
        <v>0000</v>
      </c>
      <c r="X161" s="7" t="str">
        <f t="shared" si="25"/>
        <v>0000</v>
      </c>
      <c r="Y161" s="7" t="str">
        <f t="shared" si="26"/>
        <v>0000</v>
      </c>
    </row>
    <row r="162" spans="1:25" s="81" customFormat="1" ht="14.1" customHeight="1">
      <c r="A162" s="80"/>
      <c r="B162" s="84">
        <v>13</v>
      </c>
      <c r="C162" s="153">
        <v>0</v>
      </c>
      <c r="D162" s="154">
        <v>0</v>
      </c>
      <c r="E162" s="154">
        <v>0</v>
      </c>
      <c r="F162" s="154">
        <v>0</v>
      </c>
      <c r="G162" s="154">
        <v>0</v>
      </c>
      <c r="H162" s="154">
        <v>0</v>
      </c>
      <c r="I162" s="154">
        <v>0</v>
      </c>
      <c r="J162" s="154">
        <v>0</v>
      </c>
      <c r="K162" s="154">
        <v>0</v>
      </c>
      <c r="L162" s="154">
        <v>0</v>
      </c>
      <c r="M162" s="154">
        <v>0</v>
      </c>
      <c r="N162" s="154">
        <v>0</v>
      </c>
      <c r="O162" s="154">
        <v>0</v>
      </c>
      <c r="P162" s="154">
        <v>0</v>
      </c>
      <c r="Q162" s="154">
        <v>0</v>
      </c>
      <c r="R162" s="155">
        <v>0</v>
      </c>
      <c r="U162" s="9">
        <f t="shared" si="36"/>
        <v>13</v>
      </c>
      <c r="V162" s="7" t="str">
        <f t="shared" si="23"/>
        <v>0000</v>
      </c>
      <c r="W162" s="7" t="str">
        <f t="shared" si="24"/>
        <v>0000</v>
      </c>
      <c r="X162" s="7" t="str">
        <f t="shared" si="25"/>
        <v>0000</v>
      </c>
      <c r="Y162" s="7" t="str">
        <f t="shared" si="26"/>
        <v>0000</v>
      </c>
    </row>
    <row r="163" spans="1:25" s="81" customFormat="1" ht="14.1" customHeight="1">
      <c r="A163" s="80"/>
      <c r="B163" s="84">
        <v>14</v>
      </c>
      <c r="C163" s="153">
        <v>0</v>
      </c>
      <c r="D163" s="154">
        <v>0</v>
      </c>
      <c r="E163" s="154">
        <v>0</v>
      </c>
      <c r="F163" s="154">
        <v>0</v>
      </c>
      <c r="G163" s="154">
        <v>0</v>
      </c>
      <c r="H163" s="154">
        <v>0</v>
      </c>
      <c r="I163" s="154">
        <v>0</v>
      </c>
      <c r="J163" s="154">
        <v>15</v>
      </c>
      <c r="K163" s="154">
        <v>15</v>
      </c>
      <c r="L163" s="154">
        <v>0</v>
      </c>
      <c r="M163" s="154">
        <v>0</v>
      </c>
      <c r="N163" s="154">
        <v>0</v>
      </c>
      <c r="O163" s="154">
        <v>0</v>
      </c>
      <c r="P163" s="154">
        <v>0</v>
      </c>
      <c r="Q163" s="154">
        <v>0</v>
      </c>
      <c r="R163" s="155">
        <v>0</v>
      </c>
      <c r="U163" s="9">
        <f t="shared" si="36"/>
        <v>14</v>
      </c>
      <c r="V163" s="7" t="str">
        <f t="shared" si="23"/>
        <v>0000</v>
      </c>
      <c r="W163" s="7" t="str">
        <f t="shared" si="24"/>
        <v>000F</v>
      </c>
      <c r="X163" s="7" t="str">
        <f t="shared" si="25"/>
        <v>F000</v>
      </c>
      <c r="Y163" s="7" t="str">
        <f t="shared" si="26"/>
        <v>0000</v>
      </c>
    </row>
    <row r="164" spans="1:25" s="81" customFormat="1" ht="14.1" customHeight="1">
      <c r="A164" s="80"/>
      <c r="B164" s="84">
        <v>15</v>
      </c>
      <c r="C164" s="153">
        <v>0</v>
      </c>
      <c r="D164" s="154">
        <v>0</v>
      </c>
      <c r="E164" s="154">
        <v>0</v>
      </c>
      <c r="F164" s="154">
        <v>0</v>
      </c>
      <c r="G164" s="154">
        <v>0</v>
      </c>
      <c r="H164" s="154">
        <v>0</v>
      </c>
      <c r="I164" s="154">
        <v>0</v>
      </c>
      <c r="J164" s="154">
        <v>15</v>
      </c>
      <c r="K164" s="154">
        <v>15</v>
      </c>
      <c r="L164" s="154">
        <v>0</v>
      </c>
      <c r="M164" s="154">
        <v>0</v>
      </c>
      <c r="N164" s="154">
        <v>0</v>
      </c>
      <c r="O164" s="154">
        <v>0</v>
      </c>
      <c r="P164" s="154">
        <v>0</v>
      </c>
      <c r="Q164" s="154">
        <v>0</v>
      </c>
      <c r="R164" s="155">
        <v>0</v>
      </c>
      <c r="U164" s="9">
        <f t="shared" si="36"/>
        <v>15</v>
      </c>
      <c r="V164" s="7" t="str">
        <f t="shared" si="23"/>
        <v>0000</v>
      </c>
      <c r="W164" s="7" t="str">
        <f t="shared" si="24"/>
        <v>000F</v>
      </c>
      <c r="X164" s="7" t="str">
        <f t="shared" si="25"/>
        <v>F000</v>
      </c>
      <c r="Y164" s="7" t="str">
        <f t="shared" si="26"/>
        <v>0000</v>
      </c>
    </row>
    <row r="165" spans="1:25" s="81" customFormat="1" ht="14.1" customHeight="1">
      <c r="A165" s="80"/>
      <c r="B165" s="84">
        <v>16</v>
      </c>
      <c r="C165" s="153">
        <v>0</v>
      </c>
      <c r="D165" s="154">
        <v>0</v>
      </c>
      <c r="E165" s="154">
        <v>0</v>
      </c>
      <c r="F165" s="154">
        <v>0</v>
      </c>
      <c r="G165" s="154">
        <v>0</v>
      </c>
      <c r="H165" s="154">
        <v>0</v>
      </c>
      <c r="I165" s="154">
        <v>0</v>
      </c>
      <c r="J165" s="154">
        <v>15</v>
      </c>
      <c r="K165" s="154">
        <v>15</v>
      </c>
      <c r="L165" s="154">
        <v>0</v>
      </c>
      <c r="M165" s="154">
        <v>0</v>
      </c>
      <c r="N165" s="154">
        <v>0</v>
      </c>
      <c r="O165" s="154">
        <v>0</v>
      </c>
      <c r="P165" s="154">
        <v>0</v>
      </c>
      <c r="Q165" s="154">
        <v>0</v>
      </c>
      <c r="R165" s="155">
        <v>0</v>
      </c>
      <c r="U165" s="9">
        <f t="shared" si="36"/>
        <v>16</v>
      </c>
      <c r="V165" s="7" t="str">
        <f t="shared" ref="V165:V228" si="37">DEC2HEX(C165)&amp;DEC2HEX(D165)&amp;DEC2HEX(E165)&amp;DEC2HEX(F165)</f>
        <v>0000</v>
      </c>
      <c r="W165" s="7" t="str">
        <f t="shared" ref="W165:W228" si="38">DEC2HEX(G165)&amp;DEC2HEX(H165)&amp;DEC2HEX(I165)&amp;DEC2HEX(J165)</f>
        <v>000F</v>
      </c>
      <c r="X165" s="7" t="str">
        <f t="shared" ref="X165:X228" si="39">DEC2HEX(K165)&amp;DEC2HEX(L165)&amp;DEC2HEX(M165)&amp;DEC2HEX(N165)</f>
        <v>F000</v>
      </c>
      <c r="Y165" s="7" t="str">
        <f t="shared" ref="Y165:Y228" si="40">DEC2HEX(O165)&amp;DEC2HEX(P165)&amp;DEC2HEX(Q165)&amp;DEC2HEX(R165)</f>
        <v>0000</v>
      </c>
    </row>
    <row r="166" spans="1:25" s="81" customFormat="1" ht="14.1" customHeight="1">
      <c r="A166" s="80"/>
      <c r="B166" s="84">
        <v>17</v>
      </c>
      <c r="C166" s="153">
        <v>0</v>
      </c>
      <c r="D166" s="154">
        <v>0</v>
      </c>
      <c r="E166" s="154">
        <v>0</v>
      </c>
      <c r="F166" s="154">
        <v>0</v>
      </c>
      <c r="G166" s="154">
        <v>0</v>
      </c>
      <c r="H166" s="154">
        <v>0</v>
      </c>
      <c r="I166" s="154">
        <v>0</v>
      </c>
      <c r="J166" s="154">
        <v>15</v>
      </c>
      <c r="K166" s="154">
        <v>15</v>
      </c>
      <c r="L166" s="154">
        <v>0</v>
      </c>
      <c r="M166" s="154">
        <v>0</v>
      </c>
      <c r="N166" s="154">
        <v>0</v>
      </c>
      <c r="O166" s="154">
        <v>0</v>
      </c>
      <c r="P166" s="154">
        <v>0</v>
      </c>
      <c r="Q166" s="154">
        <v>0</v>
      </c>
      <c r="R166" s="155">
        <v>0</v>
      </c>
      <c r="U166" s="9">
        <f t="shared" si="36"/>
        <v>17</v>
      </c>
      <c r="V166" s="7" t="str">
        <f t="shared" si="37"/>
        <v>0000</v>
      </c>
      <c r="W166" s="7" t="str">
        <f t="shared" si="38"/>
        <v>000F</v>
      </c>
      <c r="X166" s="7" t="str">
        <f t="shared" si="39"/>
        <v>F000</v>
      </c>
      <c r="Y166" s="7" t="str">
        <f t="shared" si="40"/>
        <v>0000</v>
      </c>
    </row>
    <row r="167" spans="1:25" s="81" customFormat="1" ht="14.1" customHeight="1">
      <c r="A167" s="80"/>
      <c r="B167" s="84">
        <v>18</v>
      </c>
      <c r="C167" s="153">
        <v>0</v>
      </c>
      <c r="D167" s="154">
        <v>0</v>
      </c>
      <c r="E167" s="154">
        <v>0</v>
      </c>
      <c r="F167" s="154">
        <v>0</v>
      </c>
      <c r="G167" s="154">
        <v>0</v>
      </c>
      <c r="H167" s="154">
        <v>0</v>
      </c>
      <c r="I167" s="154">
        <v>0</v>
      </c>
      <c r="J167" s="154">
        <v>0</v>
      </c>
      <c r="K167" s="154">
        <v>0</v>
      </c>
      <c r="L167" s="154">
        <v>0</v>
      </c>
      <c r="M167" s="154">
        <v>0</v>
      </c>
      <c r="N167" s="154">
        <v>0</v>
      </c>
      <c r="O167" s="154">
        <v>0</v>
      </c>
      <c r="P167" s="154">
        <v>0</v>
      </c>
      <c r="Q167" s="154">
        <v>0</v>
      </c>
      <c r="R167" s="155">
        <v>0</v>
      </c>
      <c r="U167" s="9">
        <f t="shared" si="36"/>
        <v>18</v>
      </c>
      <c r="V167" s="7" t="str">
        <f t="shared" si="37"/>
        <v>0000</v>
      </c>
      <c r="W167" s="7" t="str">
        <f t="shared" si="38"/>
        <v>0000</v>
      </c>
      <c r="X167" s="7" t="str">
        <f t="shared" si="39"/>
        <v>0000</v>
      </c>
      <c r="Y167" s="7" t="str">
        <f t="shared" si="40"/>
        <v>0000</v>
      </c>
    </row>
    <row r="168" spans="1:25" s="81" customFormat="1" ht="14.1" customHeight="1">
      <c r="A168" s="80"/>
      <c r="B168" s="84">
        <v>19</v>
      </c>
      <c r="C168" s="153">
        <v>0</v>
      </c>
      <c r="D168" s="154">
        <v>0</v>
      </c>
      <c r="E168" s="154">
        <v>0</v>
      </c>
      <c r="F168" s="154">
        <v>0</v>
      </c>
      <c r="G168" s="154">
        <v>0</v>
      </c>
      <c r="H168" s="154">
        <v>0</v>
      </c>
      <c r="I168" s="154">
        <v>0</v>
      </c>
      <c r="J168" s="154">
        <v>0</v>
      </c>
      <c r="K168" s="154">
        <v>0</v>
      </c>
      <c r="L168" s="154">
        <v>0</v>
      </c>
      <c r="M168" s="154">
        <v>0</v>
      </c>
      <c r="N168" s="154">
        <v>0</v>
      </c>
      <c r="O168" s="154">
        <v>0</v>
      </c>
      <c r="P168" s="154">
        <v>0</v>
      </c>
      <c r="Q168" s="154">
        <v>0</v>
      </c>
      <c r="R168" s="155">
        <v>0</v>
      </c>
      <c r="U168" s="9">
        <f t="shared" si="36"/>
        <v>19</v>
      </c>
      <c r="V168" s="7" t="str">
        <f t="shared" si="37"/>
        <v>0000</v>
      </c>
      <c r="W168" s="7" t="str">
        <f t="shared" si="38"/>
        <v>0000</v>
      </c>
      <c r="X168" s="7" t="str">
        <f t="shared" si="39"/>
        <v>0000</v>
      </c>
      <c r="Y168" s="7" t="str">
        <f t="shared" si="40"/>
        <v>0000</v>
      </c>
    </row>
    <row r="169" spans="1:25" s="81" customFormat="1" ht="14.1" customHeight="1">
      <c r="A169" s="80"/>
      <c r="B169" s="84">
        <v>20</v>
      </c>
      <c r="C169" s="153">
        <v>0</v>
      </c>
      <c r="D169" s="154">
        <v>0</v>
      </c>
      <c r="E169" s="154">
        <v>0</v>
      </c>
      <c r="F169" s="154">
        <v>0</v>
      </c>
      <c r="G169" s="154">
        <v>0</v>
      </c>
      <c r="H169" s="154">
        <v>0</v>
      </c>
      <c r="I169" s="154">
        <v>0</v>
      </c>
      <c r="J169" s="154">
        <v>0</v>
      </c>
      <c r="K169" s="154">
        <v>0</v>
      </c>
      <c r="L169" s="154">
        <v>0</v>
      </c>
      <c r="M169" s="154">
        <v>0</v>
      </c>
      <c r="N169" s="154">
        <v>0</v>
      </c>
      <c r="O169" s="154">
        <v>0</v>
      </c>
      <c r="P169" s="154">
        <v>0</v>
      </c>
      <c r="Q169" s="154">
        <v>0</v>
      </c>
      <c r="R169" s="155">
        <v>0</v>
      </c>
      <c r="U169" s="9">
        <f t="shared" si="36"/>
        <v>20</v>
      </c>
      <c r="V169" s="7" t="str">
        <f t="shared" si="37"/>
        <v>0000</v>
      </c>
      <c r="W169" s="7" t="str">
        <f t="shared" si="38"/>
        <v>0000</v>
      </c>
      <c r="X169" s="7" t="str">
        <f t="shared" si="39"/>
        <v>0000</v>
      </c>
      <c r="Y169" s="7" t="str">
        <f t="shared" si="40"/>
        <v>0000</v>
      </c>
    </row>
    <row r="170" spans="1:25" s="81" customFormat="1" ht="14.1" customHeight="1">
      <c r="A170" s="80"/>
      <c r="B170" s="84">
        <v>21</v>
      </c>
      <c r="C170" s="153">
        <v>0</v>
      </c>
      <c r="D170" s="154">
        <v>0</v>
      </c>
      <c r="E170" s="154">
        <v>0</v>
      </c>
      <c r="F170" s="154">
        <v>0</v>
      </c>
      <c r="G170" s="154">
        <v>0</v>
      </c>
      <c r="H170" s="154">
        <v>0</v>
      </c>
      <c r="I170" s="154">
        <v>0</v>
      </c>
      <c r="J170" s="154">
        <v>0</v>
      </c>
      <c r="K170" s="154">
        <v>0</v>
      </c>
      <c r="L170" s="154">
        <v>0</v>
      </c>
      <c r="M170" s="154">
        <v>0</v>
      </c>
      <c r="N170" s="154">
        <v>0</v>
      </c>
      <c r="O170" s="154">
        <v>0</v>
      </c>
      <c r="P170" s="154">
        <v>0</v>
      </c>
      <c r="Q170" s="154">
        <v>0</v>
      </c>
      <c r="R170" s="155">
        <v>0</v>
      </c>
      <c r="U170" s="9">
        <f t="shared" si="36"/>
        <v>21</v>
      </c>
      <c r="V170" s="7" t="str">
        <f t="shared" si="37"/>
        <v>0000</v>
      </c>
      <c r="W170" s="7" t="str">
        <f t="shared" si="38"/>
        <v>0000</v>
      </c>
      <c r="X170" s="7" t="str">
        <f t="shared" si="39"/>
        <v>0000</v>
      </c>
      <c r="Y170" s="7" t="str">
        <f t="shared" si="40"/>
        <v>0000</v>
      </c>
    </row>
    <row r="171" spans="1:25" s="81" customFormat="1" ht="14.1" customHeight="1">
      <c r="A171" s="80"/>
      <c r="B171" s="84">
        <v>22</v>
      </c>
      <c r="C171" s="153">
        <v>0</v>
      </c>
      <c r="D171" s="154">
        <v>0</v>
      </c>
      <c r="E171" s="154">
        <v>0</v>
      </c>
      <c r="F171" s="154">
        <v>0</v>
      </c>
      <c r="G171" s="154">
        <v>0</v>
      </c>
      <c r="H171" s="154">
        <v>0</v>
      </c>
      <c r="I171" s="154">
        <v>0</v>
      </c>
      <c r="J171" s="154">
        <v>0</v>
      </c>
      <c r="K171" s="154">
        <v>0</v>
      </c>
      <c r="L171" s="154">
        <v>0</v>
      </c>
      <c r="M171" s="154">
        <v>0</v>
      </c>
      <c r="N171" s="154">
        <v>0</v>
      </c>
      <c r="O171" s="154">
        <v>0</v>
      </c>
      <c r="P171" s="154">
        <v>0</v>
      </c>
      <c r="Q171" s="154">
        <v>0</v>
      </c>
      <c r="R171" s="155">
        <v>0</v>
      </c>
      <c r="U171" s="9">
        <f t="shared" si="36"/>
        <v>22</v>
      </c>
      <c r="V171" s="7" t="str">
        <f t="shared" si="37"/>
        <v>0000</v>
      </c>
      <c r="W171" s="7" t="str">
        <f t="shared" si="38"/>
        <v>0000</v>
      </c>
      <c r="X171" s="7" t="str">
        <f t="shared" si="39"/>
        <v>0000</v>
      </c>
      <c r="Y171" s="7" t="str">
        <f t="shared" si="40"/>
        <v>0000</v>
      </c>
    </row>
    <row r="172" spans="1:25" s="81" customFormat="1" ht="14.1" customHeight="1">
      <c r="A172" s="80"/>
      <c r="B172" s="84">
        <v>23</v>
      </c>
      <c r="C172" s="153">
        <v>0</v>
      </c>
      <c r="D172" s="154">
        <v>0</v>
      </c>
      <c r="E172" s="154">
        <v>0</v>
      </c>
      <c r="F172" s="154">
        <v>0</v>
      </c>
      <c r="G172" s="154">
        <v>0</v>
      </c>
      <c r="H172" s="154">
        <v>0</v>
      </c>
      <c r="I172" s="154">
        <v>0</v>
      </c>
      <c r="J172" s="154">
        <v>0</v>
      </c>
      <c r="K172" s="154">
        <v>0</v>
      </c>
      <c r="L172" s="154">
        <v>0</v>
      </c>
      <c r="M172" s="154">
        <v>0</v>
      </c>
      <c r="N172" s="154">
        <v>0</v>
      </c>
      <c r="O172" s="154">
        <v>0</v>
      </c>
      <c r="P172" s="154">
        <v>0</v>
      </c>
      <c r="Q172" s="154">
        <v>0</v>
      </c>
      <c r="R172" s="155">
        <v>0</v>
      </c>
      <c r="U172" s="9">
        <f t="shared" si="36"/>
        <v>23</v>
      </c>
      <c r="V172" s="7" t="str">
        <f t="shared" si="37"/>
        <v>0000</v>
      </c>
      <c r="W172" s="7" t="str">
        <f t="shared" si="38"/>
        <v>0000</v>
      </c>
      <c r="X172" s="7" t="str">
        <f t="shared" si="39"/>
        <v>0000</v>
      </c>
      <c r="Y172" s="7" t="str">
        <f t="shared" si="40"/>
        <v>0000</v>
      </c>
    </row>
    <row r="173" spans="1:25" s="81" customFormat="1" ht="14.1" customHeight="1">
      <c r="A173" s="80"/>
      <c r="B173" s="84">
        <v>24</v>
      </c>
      <c r="C173" s="153">
        <v>0</v>
      </c>
      <c r="D173" s="154">
        <v>0</v>
      </c>
      <c r="E173" s="154">
        <v>0</v>
      </c>
      <c r="F173" s="154">
        <v>0</v>
      </c>
      <c r="G173" s="154">
        <v>0</v>
      </c>
      <c r="H173" s="154">
        <v>0</v>
      </c>
      <c r="I173" s="154">
        <v>0</v>
      </c>
      <c r="J173" s="154">
        <v>0</v>
      </c>
      <c r="K173" s="154">
        <v>0</v>
      </c>
      <c r="L173" s="154">
        <v>0</v>
      </c>
      <c r="M173" s="154">
        <v>0</v>
      </c>
      <c r="N173" s="154">
        <v>0</v>
      </c>
      <c r="O173" s="154">
        <v>0</v>
      </c>
      <c r="P173" s="154">
        <v>0</v>
      </c>
      <c r="Q173" s="154">
        <v>0</v>
      </c>
      <c r="R173" s="155">
        <v>0</v>
      </c>
      <c r="U173" s="9">
        <f t="shared" si="36"/>
        <v>24</v>
      </c>
      <c r="V173" s="7" t="str">
        <f t="shared" si="37"/>
        <v>0000</v>
      </c>
      <c r="W173" s="7" t="str">
        <f t="shared" si="38"/>
        <v>0000</v>
      </c>
      <c r="X173" s="7" t="str">
        <f t="shared" si="39"/>
        <v>0000</v>
      </c>
      <c r="Y173" s="7" t="str">
        <f t="shared" si="40"/>
        <v>0000</v>
      </c>
    </row>
    <row r="174" spans="1:25" s="81" customFormat="1" ht="14.1" customHeight="1">
      <c r="A174" s="80"/>
      <c r="B174" s="84">
        <v>25</v>
      </c>
      <c r="C174" s="153">
        <v>0</v>
      </c>
      <c r="D174" s="154">
        <v>0</v>
      </c>
      <c r="E174" s="154">
        <v>0</v>
      </c>
      <c r="F174" s="154">
        <v>0</v>
      </c>
      <c r="G174" s="154">
        <v>0</v>
      </c>
      <c r="H174" s="154">
        <v>0</v>
      </c>
      <c r="I174" s="154">
        <v>0</v>
      </c>
      <c r="J174" s="154">
        <v>0</v>
      </c>
      <c r="K174" s="154">
        <v>0</v>
      </c>
      <c r="L174" s="154">
        <v>0</v>
      </c>
      <c r="M174" s="154">
        <v>0</v>
      </c>
      <c r="N174" s="154">
        <v>0</v>
      </c>
      <c r="O174" s="154">
        <v>0</v>
      </c>
      <c r="P174" s="154">
        <v>0</v>
      </c>
      <c r="Q174" s="154">
        <v>0</v>
      </c>
      <c r="R174" s="155">
        <v>0</v>
      </c>
      <c r="U174" s="9">
        <f t="shared" si="36"/>
        <v>25</v>
      </c>
      <c r="V174" s="7" t="str">
        <f t="shared" si="37"/>
        <v>0000</v>
      </c>
      <c r="W174" s="7" t="str">
        <f t="shared" si="38"/>
        <v>0000</v>
      </c>
      <c r="X174" s="7" t="str">
        <f t="shared" si="39"/>
        <v>0000</v>
      </c>
      <c r="Y174" s="7" t="str">
        <f t="shared" si="40"/>
        <v>0000</v>
      </c>
    </row>
    <row r="175" spans="1:25" s="81" customFormat="1" ht="14.1" customHeight="1">
      <c r="A175" s="80"/>
      <c r="B175" s="84">
        <v>26</v>
      </c>
      <c r="C175" s="153">
        <v>0</v>
      </c>
      <c r="D175" s="154">
        <v>0</v>
      </c>
      <c r="E175" s="154">
        <v>0</v>
      </c>
      <c r="F175" s="154">
        <v>0</v>
      </c>
      <c r="G175" s="154">
        <v>0</v>
      </c>
      <c r="H175" s="154">
        <v>0</v>
      </c>
      <c r="I175" s="154">
        <v>0</v>
      </c>
      <c r="J175" s="154">
        <v>0</v>
      </c>
      <c r="K175" s="154">
        <v>0</v>
      </c>
      <c r="L175" s="154">
        <v>0</v>
      </c>
      <c r="M175" s="154">
        <v>0</v>
      </c>
      <c r="N175" s="154">
        <v>0</v>
      </c>
      <c r="O175" s="154">
        <v>0</v>
      </c>
      <c r="P175" s="154">
        <v>0</v>
      </c>
      <c r="Q175" s="154">
        <v>0</v>
      </c>
      <c r="R175" s="155">
        <v>0</v>
      </c>
      <c r="U175" s="9">
        <f t="shared" si="36"/>
        <v>26</v>
      </c>
      <c r="V175" s="7" t="str">
        <f t="shared" si="37"/>
        <v>0000</v>
      </c>
      <c r="W175" s="7" t="str">
        <f t="shared" si="38"/>
        <v>0000</v>
      </c>
      <c r="X175" s="7" t="str">
        <f t="shared" si="39"/>
        <v>0000</v>
      </c>
      <c r="Y175" s="7" t="str">
        <f t="shared" si="40"/>
        <v>0000</v>
      </c>
    </row>
    <row r="176" spans="1:25" s="81" customFormat="1" ht="14.1" customHeight="1">
      <c r="A176" s="80"/>
      <c r="B176" s="84">
        <v>27</v>
      </c>
      <c r="C176" s="153">
        <v>0</v>
      </c>
      <c r="D176" s="154">
        <v>0</v>
      </c>
      <c r="E176" s="154">
        <v>0</v>
      </c>
      <c r="F176" s="154">
        <v>0</v>
      </c>
      <c r="G176" s="154">
        <v>0</v>
      </c>
      <c r="H176" s="154">
        <v>0</v>
      </c>
      <c r="I176" s="154">
        <v>0</v>
      </c>
      <c r="J176" s="154">
        <v>0</v>
      </c>
      <c r="K176" s="154">
        <v>0</v>
      </c>
      <c r="L176" s="154">
        <v>0</v>
      </c>
      <c r="M176" s="154">
        <v>0</v>
      </c>
      <c r="N176" s="154">
        <v>0</v>
      </c>
      <c r="O176" s="154">
        <v>0</v>
      </c>
      <c r="P176" s="154">
        <v>0</v>
      </c>
      <c r="Q176" s="154">
        <v>0</v>
      </c>
      <c r="R176" s="155">
        <v>0</v>
      </c>
      <c r="U176" s="9">
        <f t="shared" si="36"/>
        <v>27</v>
      </c>
      <c r="V176" s="7" t="str">
        <f t="shared" si="37"/>
        <v>0000</v>
      </c>
      <c r="W176" s="7" t="str">
        <f t="shared" si="38"/>
        <v>0000</v>
      </c>
      <c r="X176" s="7" t="str">
        <f t="shared" si="39"/>
        <v>0000</v>
      </c>
      <c r="Y176" s="7" t="str">
        <f t="shared" si="40"/>
        <v>0000</v>
      </c>
    </row>
    <row r="177" spans="1:25" s="81" customFormat="1" ht="14.1" customHeight="1">
      <c r="A177" s="80"/>
      <c r="B177" s="84">
        <v>28</v>
      </c>
      <c r="C177" s="153">
        <v>0</v>
      </c>
      <c r="D177" s="154">
        <v>0</v>
      </c>
      <c r="E177" s="154">
        <v>0</v>
      </c>
      <c r="F177" s="154">
        <v>0</v>
      </c>
      <c r="G177" s="154">
        <v>0</v>
      </c>
      <c r="H177" s="154">
        <v>0</v>
      </c>
      <c r="I177" s="154">
        <v>0</v>
      </c>
      <c r="J177" s="154">
        <v>0</v>
      </c>
      <c r="K177" s="154">
        <v>0</v>
      </c>
      <c r="L177" s="154">
        <v>0</v>
      </c>
      <c r="M177" s="154">
        <v>0</v>
      </c>
      <c r="N177" s="154">
        <v>0</v>
      </c>
      <c r="O177" s="154">
        <v>0</v>
      </c>
      <c r="P177" s="154">
        <v>0</v>
      </c>
      <c r="Q177" s="154">
        <v>0</v>
      </c>
      <c r="R177" s="155">
        <v>0</v>
      </c>
      <c r="U177" s="9">
        <f t="shared" si="36"/>
        <v>28</v>
      </c>
      <c r="V177" s="7" t="str">
        <f t="shared" si="37"/>
        <v>0000</v>
      </c>
      <c r="W177" s="7" t="str">
        <f t="shared" si="38"/>
        <v>0000</v>
      </c>
      <c r="X177" s="7" t="str">
        <f t="shared" si="39"/>
        <v>0000</v>
      </c>
      <c r="Y177" s="7" t="str">
        <f t="shared" si="40"/>
        <v>0000</v>
      </c>
    </row>
    <row r="178" spans="1:25" s="81" customFormat="1" ht="14.1" customHeight="1">
      <c r="A178" s="80"/>
      <c r="B178" s="84">
        <v>29</v>
      </c>
      <c r="C178" s="153">
        <v>0</v>
      </c>
      <c r="D178" s="154">
        <v>0</v>
      </c>
      <c r="E178" s="154">
        <v>0</v>
      </c>
      <c r="F178" s="154">
        <v>0</v>
      </c>
      <c r="G178" s="154">
        <v>0</v>
      </c>
      <c r="H178" s="154">
        <v>0</v>
      </c>
      <c r="I178" s="154">
        <v>0</v>
      </c>
      <c r="J178" s="154">
        <v>0</v>
      </c>
      <c r="K178" s="154">
        <v>0</v>
      </c>
      <c r="L178" s="154">
        <v>0</v>
      </c>
      <c r="M178" s="154">
        <v>0</v>
      </c>
      <c r="N178" s="154">
        <v>0</v>
      </c>
      <c r="O178" s="154">
        <v>0</v>
      </c>
      <c r="P178" s="154">
        <v>0</v>
      </c>
      <c r="Q178" s="154">
        <v>0</v>
      </c>
      <c r="R178" s="155">
        <v>0</v>
      </c>
      <c r="U178" s="9">
        <f t="shared" si="36"/>
        <v>29</v>
      </c>
      <c r="V178" s="7" t="str">
        <f t="shared" si="37"/>
        <v>0000</v>
      </c>
      <c r="W178" s="7" t="str">
        <f t="shared" si="38"/>
        <v>0000</v>
      </c>
      <c r="X178" s="7" t="str">
        <f t="shared" si="39"/>
        <v>0000</v>
      </c>
      <c r="Y178" s="7" t="str">
        <f t="shared" si="40"/>
        <v>0000</v>
      </c>
    </row>
    <row r="179" spans="1:25" s="81" customFormat="1" ht="14.1" customHeight="1">
      <c r="A179" s="80"/>
      <c r="B179" s="84">
        <v>30</v>
      </c>
      <c r="C179" s="153">
        <v>0</v>
      </c>
      <c r="D179" s="154">
        <v>0</v>
      </c>
      <c r="E179" s="154">
        <v>0</v>
      </c>
      <c r="F179" s="154">
        <v>0</v>
      </c>
      <c r="G179" s="154">
        <v>0</v>
      </c>
      <c r="H179" s="154">
        <v>0</v>
      </c>
      <c r="I179" s="154">
        <v>0</v>
      </c>
      <c r="J179" s="154">
        <v>0</v>
      </c>
      <c r="K179" s="154">
        <v>0</v>
      </c>
      <c r="L179" s="154">
        <v>0</v>
      </c>
      <c r="M179" s="154">
        <v>0</v>
      </c>
      <c r="N179" s="154">
        <v>0</v>
      </c>
      <c r="O179" s="154">
        <v>0</v>
      </c>
      <c r="P179" s="154">
        <v>0</v>
      </c>
      <c r="Q179" s="154">
        <v>0</v>
      </c>
      <c r="R179" s="155">
        <v>0</v>
      </c>
      <c r="U179" s="9">
        <f t="shared" si="36"/>
        <v>30</v>
      </c>
      <c r="V179" s="7" t="str">
        <f t="shared" si="37"/>
        <v>0000</v>
      </c>
      <c r="W179" s="7" t="str">
        <f t="shared" si="38"/>
        <v>0000</v>
      </c>
      <c r="X179" s="7" t="str">
        <f t="shared" si="39"/>
        <v>0000</v>
      </c>
      <c r="Y179" s="7" t="str">
        <f t="shared" si="40"/>
        <v>0000</v>
      </c>
    </row>
    <row r="180" spans="1:25" s="81" customFormat="1" ht="14.1" customHeight="1" thickBot="1">
      <c r="A180" s="80"/>
      <c r="B180" s="84">
        <v>31</v>
      </c>
      <c r="C180" s="147">
        <v>0</v>
      </c>
      <c r="D180" s="148">
        <v>0</v>
      </c>
      <c r="E180" s="148">
        <v>0</v>
      </c>
      <c r="F180" s="148">
        <v>0</v>
      </c>
      <c r="G180" s="148">
        <v>0</v>
      </c>
      <c r="H180" s="148">
        <v>0</v>
      </c>
      <c r="I180" s="148">
        <v>0</v>
      </c>
      <c r="J180" s="148">
        <v>0</v>
      </c>
      <c r="K180" s="148">
        <v>0</v>
      </c>
      <c r="L180" s="148">
        <v>0</v>
      </c>
      <c r="M180" s="148">
        <v>0</v>
      </c>
      <c r="N180" s="148">
        <v>0</v>
      </c>
      <c r="O180" s="148">
        <v>0</v>
      </c>
      <c r="P180" s="148">
        <v>0</v>
      </c>
      <c r="Q180" s="148">
        <v>0</v>
      </c>
      <c r="R180" s="149">
        <v>0</v>
      </c>
      <c r="U180" s="9">
        <f t="shared" si="36"/>
        <v>31</v>
      </c>
      <c r="V180" s="7" t="str">
        <f t="shared" si="37"/>
        <v>0000</v>
      </c>
      <c r="W180" s="7" t="str">
        <f t="shared" si="38"/>
        <v>0000</v>
      </c>
      <c r="X180" s="7" t="str">
        <f t="shared" si="39"/>
        <v>0000</v>
      </c>
      <c r="Y180" s="7" t="str">
        <f t="shared" si="40"/>
        <v>0000</v>
      </c>
    </row>
    <row r="181" spans="1:25" s="81" customFormat="1">
      <c r="A181" s="80"/>
      <c r="U181" s="85"/>
    </row>
    <row r="182" spans="1:25" s="81" customFormat="1">
      <c r="A182" s="80"/>
      <c r="U182" s="85"/>
    </row>
    <row r="183" spans="1:25" s="81" customFormat="1">
      <c r="A183" s="80" t="s">
        <v>314</v>
      </c>
      <c r="U183" s="8" t="str">
        <f>A183</f>
        <v>6.Spot 2 (Storage to ROM)</v>
      </c>
    </row>
    <row r="184" spans="1:25" s="81" customFormat="1" ht="15" thickBot="1">
      <c r="A184" s="80"/>
      <c r="C184" s="84">
        <v>0</v>
      </c>
      <c r="D184" s="84">
        <v>1</v>
      </c>
      <c r="E184" s="84">
        <v>2</v>
      </c>
      <c r="F184" s="84">
        <v>3</v>
      </c>
      <c r="G184" s="84">
        <v>4</v>
      </c>
      <c r="H184" s="84">
        <v>5</v>
      </c>
      <c r="I184" s="84">
        <v>6</v>
      </c>
      <c r="J184" s="84">
        <v>7</v>
      </c>
      <c r="K184" s="84">
        <v>8</v>
      </c>
      <c r="L184" s="84">
        <v>9</v>
      </c>
      <c r="M184" s="84">
        <v>10</v>
      </c>
      <c r="N184" s="84">
        <v>11</v>
      </c>
      <c r="O184" s="84">
        <v>12</v>
      </c>
      <c r="P184" s="84">
        <v>13</v>
      </c>
      <c r="Q184" s="84">
        <v>14</v>
      </c>
      <c r="R184" s="84">
        <v>15</v>
      </c>
      <c r="U184" s="85"/>
      <c r="V184" s="7" t="str">
        <f t="shared" ref="V184" si="41">C184&amp;D184&amp;E184&amp;F184</f>
        <v>0123</v>
      </c>
      <c r="W184" s="7" t="str">
        <f t="shared" ref="W184" si="42">G184&amp;H184&amp;I184&amp;J184</f>
        <v>4567</v>
      </c>
      <c r="X184" s="7" t="str">
        <f t="shared" ref="X184" si="43">K184&amp;L184&amp;M184&amp;N184</f>
        <v>891011</v>
      </c>
      <c r="Y184" s="7" t="str">
        <f t="shared" ref="Y184" si="44">O184&amp;P184&amp;Q184&amp;R184</f>
        <v>12131415</v>
      </c>
    </row>
    <row r="185" spans="1:25" s="81" customFormat="1" ht="14.1" customHeight="1">
      <c r="A185" s="80"/>
      <c r="B185" s="84">
        <v>0</v>
      </c>
      <c r="C185" s="150">
        <v>0</v>
      </c>
      <c r="D185" s="151">
        <v>0</v>
      </c>
      <c r="E185" s="151">
        <v>0</v>
      </c>
      <c r="F185" s="151">
        <v>0</v>
      </c>
      <c r="G185" s="151">
        <v>0</v>
      </c>
      <c r="H185" s="151">
        <v>0</v>
      </c>
      <c r="I185" s="151">
        <v>0</v>
      </c>
      <c r="J185" s="151">
        <v>0</v>
      </c>
      <c r="K185" s="151">
        <v>0</v>
      </c>
      <c r="L185" s="151">
        <v>0</v>
      </c>
      <c r="M185" s="151">
        <v>0</v>
      </c>
      <c r="N185" s="151">
        <v>0</v>
      </c>
      <c r="O185" s="151">
        <v>0</v>
      </c>
      <c r="P185" s="151">
        <v>0</v>
      </c>
      <c r="Q185" s="151">
        <v>0</v>
      </c>
      <c r="R185" s="152">
        <v>0</v>
      </c>
      <c r="U185" s="9">
        <f t="shared" ref="U185:U216" si="45">B185</f>
        <v>0</v>
      </c>
      <c r="V185" s="7" t="str">
        <f t="shared" si="37"/>
        <v>0000</v>
      </c>
      <c r="W185" s="7" t="str">
        <f t="shared" si="38"/>
        <v>0000</v>
      </c>
      <c r="X185" s="7" t="str">
        <f t="shared" si="39"/>
        <v>0000</v>
      </c>
      <c r="Y185" s="7" t="str">
        <f t="shared" si="40"/>
        <v>0000</v>
      </c>
    </row>
    <row r="186" spans="1:25" s="81" customFormat="1" ht="14.1" customHeight="1">
      <c r="A186" s="80"/>
      <c r="B186" s="84">
        <v>1</v>
      </c>
      <c r="C186" s="153">
        <v>0</v>
      </c>
      <c r="D186" s="154">
        <v>0</v>
      </c>
      <c r="E186" s="154">
        <v>0</v>
      </c>
      <c r="F186" s="154">
        <v>0</v>
      </c>
      <c r="G186" s="154">
        <v>0</v>
      </c>
      <c r="H186" s="154">
        <v>0</v>
      </c>
      <c r="I186" s="154">
        <v>0</v>
      </c>
      <c r="J186" s="154">
        <v>0</v>
      </c>
      <c r="K186" s="154">
        <v>0</v>
      </c>
      <c r="L186" s="154">
        <v>0</v>
      </c>
      <c r="M186" s="154">
        <v>0</v>
      </c>
      <c r="N186" s="154">
        <v>0</v>
      </c>
      <c r="O186" s="154">
        <v>0</v>
      </c>
      <c r="P186" s="154">
        <v>0</v>
      </c>
      <c r="Q186" s="154">
        <v>0</v>
      </c>
      <c r="R186" s="155">
        <v>0</v>
      </c>
      <c r="U186" s="9">
        <f t="shared" si="45"/>
        <v>1</v>
      </c>
      <c r="V186" s="7" t="str">
        <f t="shared" si="37"/>
        <v>0000</v>
      </c>
      <c r="W186" s="7" t="str">
        <f t="shared" si="38"/>
        <v>0000</v>
      </c>
      <c r="X186" s="7" t="str">
        <f t="shared" si="39"/>
        <v>0000</v>
      </c>
      <c r="Y186" s="7" t="str">
        <f t="shared" si="40"/>
        <v>0000</v>
      </c>
    </row>
    <row r="187" spans="1:25" s="81" customFormat="1" ht="14.1" customHeight="1">
      <c r="A187" s="80"/>
      <c r="B187" s="84">
        <v>2</v>
      </c>
      <c r="C187" s="153">
        <v>0</v>
      </c>
      <c r="D187" s="154">
        <v>0</v>
      </c>
      <c r="E187" s="154">
        <v>0</v>
      </c>
      <c r="F187" s="154">
        <v>0</v>
      </c>
      <c r="G187" s="154">
        <v>0</v>
      </c>
      <c r="H187" s="154">
        <v>0</v>
      </c>
      <c r="I187" s="154">
        <v>0</v>
      </c>
      <c r="J187" s="154">
        <v>0</v>
      </c>
      <c r="K187" s="154">
        <v>0</v>
      </c>
      <c r="L187" s="154">
        <v>0</v>
      </c>
      <c r="M187" s="154">
        <v>0</v>
      </c>
      <c r="N187" s="154">
        <v>0</v>
      </c>
      <c r="O187" s="154">
        <v>0</v>
      </c>
      <c r="P187" s="154">
        <v>0</v>
      </c>
      <c r="Q187" s="154">
        <v>0</v>
      </c>
      <c r="R187" s="155">
        <v>0</v>
      </c>
      <c r="U187" s="9">
        <f t="shared" si="45"/>
        <v>2</v>
      </c>
      <c r="V187" s="7" t="str">
        <f t="shared" si="37"/>
        <v>0000</v>
      </c>
      <c r="W187" s="7" t="str">
        <f t="shared" si="38"/>
        <v>0000</v>
      </c>
      <c r="X187" s="7" t="str">
        <f t="shared" si="39"/>
        <v>0000</v>
      </c>
      <c r="Y187" s="7" t="str">
        <f t="shared" si="40"/>
        <v>0000</v>
      </c>
    </row>
    <row r="188" spans="1:25" s="81" customFormat="1" ht="14.1" customHeight="1">
      <c r="A188" s="80"/>
      <c r="B188" s="84">
        <v>3</v>
      </c>
      <c r="C188" s="153">
        <v>0</v>
      </c>
      <c r="D188" s="154">
        <v>0</v>
      </c>
      <c r="E188" s="154">
        <v>0</v>
      </c>
      <c r="F188" s="154">
        <v>0</v>
      </c>
      <c r="G188" s="154">
        <v>0</v>
      </c>
      <c r="H188" s="154">
        <v>0</v>
      </c>
      <c r="I188" s="154">
        <v>0</v>
      </c>
      <c r="J188" s="154">
        <v>0</v>
      </c>
      <c r="K188" s="154">
        <v>0</v>
      </c>
      <c r="L188" s="154">
        <v>0</v>
      </c>
      <c r="M188" s="154">
        <v>0</v>
      </c>
      <c r="N188" s="154">
        <v>0</v>
      </c>
      <c r="O188" s="154">
        <v>0</v>
      </c>
      <c r="P188" s="154">
        <v>0</v>
      </c>
      <c r="Q188" s="154">
        <v>0</v>
      </c>
      <c r="R188" s="155">
        <v>0</v>
      </c>
      <c r="U188" s="9">
        <f t="shared" si="45"/>
        <v>3</v>
      </c>
      <c r="V188" s="7" t="str">
        <f t="shared" si="37"/>
        <v>0000</v>
      </c>
      <c r="W188" s="7" t="str">
        <f t="shared" si="38"/>
        <v>0000</v>
      </c>
      <c r="X188" s="7" t="str">
        <f t="shared" si="39"/>
        <v>0000</v>
      </c>
      <c r="Y188" s="7" t="str">
        <f t="shared" si="40"/>
        <v>0000</v>
      </c>
    </row>
    <row r="189" spans="1:25" s="81" customFormat="1" ht="14.1" customHeight="1">
      <c r="A189" s="80"/>
      <c r="B189" s="84">
        <v>4</v>
      </c>
      <c r="C189" s="153">
        <v>0</v>
      </c>
      <c r="D189" s="154">
        <v>0</v>
      </c>
      <c r="E189" s="154">
        <v>0</v>
      </c>
      <c r="F189" s="154">
        <v>0</v>
      </c>
      <c r="G189" s="154">
        <v>0</v>
      </c>
      <c r="H189" s="154">
        <v>0</v>
      </c>
      <c r="I189" s="131">
        <v>0</v>
      </c>
      <c r="J189" s="131">
        <v>0</v>
      </c>
      <c r="K189" s="131">
        <v>0</v>
      </c>
      <c r="L189" s="131">
        <v>0</v>
      </c>
      <c r="M189" s="154">
        <v>0</v>
      </c>
      <c r="N189" s="154">
        <v>0</v>
      </c>
      <c r="O189" s="154">
        <v>0</v>
      </c>
      <c r="P189" s="154">
        <v>0</v>
      </c>
      <c r="Q189" s="154">
        <v>0</v>
      </c>
      <c r="R189" s="155">
        <v>0</v>
      </c>
      <c r="U189" s="9">
        <f t="shared" si="45"/>
        <v>4</v>
      </c>
      <c r="V189" s="7" t="str">
        <f t="shared" si="37"/>
        <v>0000</v>
      </c>
      <c r="W189" s="7" t="str">
        <f t="shared" si="38"/>
        <v>0000</v>
      </c>
      <c r="X189" s="7" t="str">
        <f t="shared" si="39"/>
        <v>0000</v>
      </c>
      <c r="Y189" s="7" t="str">
        <f t="shared" si="40"/>
        <v>0000</v>
      </c>
    </row>
    <row r="190" spans="1:25" s="81" customFormat="1" ht="14.1" customHeight="1">
      <c r="A190" s="80"/>
      <c r="B190" s="84">
        <v>5</v>
      </c>
      <c r="C190" s="153">
        <v>0</v>
      </c>
      <c r="D190" s="154">
        <v>0</v>
      </c>
      <c r="E190" s="154">
        <v>0</v>
      </c>
      <c r="F190" s="154">
        <v>0</v>
      </c>
      <c r="G190" s="154">
        <v>0</v>
      </c>
      <c r="H190" s="154">
        <v>0</v>
      </c>
      <c r="I190" s="131">
        <v>0</v>
      </c>
      <c r="J190" s="131">
        <v>0</v>
      </c>
      <c r="K190" s="131">
        <v>0</v>
      </c>
      <c r="L190" s="131">
        <v>0</v>
      </c>
      <c r="M190" s="154">
        <v>0</v>
      </c>
      <c r="N190" s="154">
        <v>0</v>
      </c>
      <c r="O190" s="154">
        <v>0</v>
      </c>
      <c r="P190" s="154">
        <v>0</v>
      </c>
      <c r="Q190" s="154">
        <v>0</v>
      </c>
      <c r="R190" s="155">
        <v>0</v>
      </c>
      <c r="U190" s="9">
        <f t="shared" si="45"/>
        <v>5</v>
      </c>
      <c r="V190" s="7" t="str">
        <f t="shared" si="37"/>
        <v>0000</v>
      </c>
      <c r="W190" s="7" t="str">
        <f t="shared" si="38"/>
        <v>0000</v>
      </c>
      <c r="X190" s="7" t="str">
        <f t="shared" si="39"/>
        <v>0000</v>
      </c>
      <c r="Y190" s="7" t="str">
        <f t="shared" si="40"/>
        <v>0000</v>
      </c>
    </row>
    <row r="191" spans="1:25" s="81" customFormat="1" ht="14.1" customHeight="1">
      <c r="A191" s="80"/>
      <c r="B191" s="84">
        <v>6</v>
      </c>
      <c r="C191" s="153">
        <v>0</v>
      </c>
      <c r="D191" s="154">
        <v>0</v>
      </c>
      <c r="E191" s="154">
        <v>0</v>
      </c>
      <c r="F191" s="154">
        <v>0</v>
      </c>
      <c r="G191" s="131">
        <v>0</v>
      </c>
      <c r="H191" s="131">
        <v>0</v>
      </c>
      <c r="I191" s="131">
        <v>0</v>
      </c>
      <c r="J191" s="154">
        <v>0</v>
      </c>
      <c r="K191" s="154">
        <v>0</v>
      </c>
      <c r="L191" s="131">
        <v>0</v>
      </c>
      <c r="M191" s="131">
        <v>0</v>
      </c>
      <c r="N191" s="131">
        <v>0</v>
      </c>
      <c r="O191" s="154">
        <v>0</v>
      </c>
      <c r="P191" s="154">
        <v>0</v>
      </c>
      <c r="Q191" s="154">
        <v>0</v>
      </c>
      <c r="R191" s="155">
        <v>0</v>
      </c>
      <c r="U191" s="9">
        <f t="shared" si="45"/>
        <v>6</v>
      </c>
      <c r="V191" s="7" t="str">
        <f t="shared" si="37"/>
        <v>0000</v>
      </c>
      <c r="W191" s="7" t="str">
        <f t="shared" si="38"/>
        <v>0000</v>
      </c>
      <c r="X191" s="7" t="str">
        <f t="shared" si="39"/>
        <v>0000</v>
      </c>
      <c r="Y191" s="7" t="str">
        <f t="shared" si="40"/>
        <v>0000</v>
      </c>
    </row>
    <row r="192" spans="1:25" s="81" customFormat="1" ht="14.1" customHeight="1">
      <c r="A192" s="80"/>
      <c r="B192" s="84">
        <v>7</v>
      </c>
      <c r="C192" s="153">
        <v>0</v>
      </c>
      <c r="D192" s="154">
        <v>0</v>
      </c>
      <c r="E192" s="154">
        <v>0</v>
      </c>
      <c r="F192" s="154">
        <v>0</v>
      </c>
      <c r="G192" s="131">
        <v>0</v>
      </c>
      <c r="H192" s="131">
        <v>0</v>
      </c>
      <c r="I192" s="131">
        <v>0</v>
      </c>
      <c r="J192" s="154">
        <v>0</v>
      </c>
      <c r="K192" s="154">
        <v>0</v>
      </c>
      <c r="L192" s="131">
        <v>0</v>
      </c>
      <c r="M192" s="131">
        <v>0</v>
      </c>
      <c r="N192" s="131">
        <v>0</v>
      </c>
      <c r="O192" s="154">
        <v>0</v>
      </c>
      <c r="P192" s="154">
        <v>0</v>
      </c>
      <c r="Q192" s="154">
        <v>0</v>
      </c>
      <c r="R192" s="155">
        <v>0</v>
      </c>
      <c r="U192" s="9">
        <f t="shared" si="45"/>
        <v>7</v>
      </c>
      <c r="V192" s="7" t="str">
        <f t="shared" si="37"/>
        <v>0000</v>
      </c>
      <c r="W192" s="7" t="str">
        <f t="shared" si="38"/>
        <v>0000</v>
      </c>
      <c r="X192" s="7" t="str">
        <f t="shared" si="39"/>
        <v>0000</v>
      </c>
      <c r="Y192" s="7" t="str">
        <f t="shared" si="40"/>
        <v>0000</v>
      </c>
    </row>
    <row r="193" spans="1:25" s="81" customFormat="1" ht="14.1" customHeight="1">
      <c r="A193" s="80"/>
      <c r="B193" s="84">
        <v>8</v>
      </c>
      <c r="C193" s="153">
        <v>0</v>
      </c>
      <c r="D193" s="154">
        <v>0</v>
      </c>
      <c r="E193" s="131">
        <v>0</v>
      </c>
      <c r="F193" s="131">
        <v>0</v>
      </c>
      <c r="G193" s="131">
        <v>0</v>
      </c>
      <c r="H193" s="154">
        <v>0</v>
      </c>
      <c r="I193" s="154">
        <v>0</v>
      </c>
      <c r="J193" s="154">
        <v>0</v>
      </c>
      <c r="K193" s="154">
        <v>0</v>
      </c>
      <c r="L193" s="154">
        <v>0</v>
      </c>
      <c r="M193" s="131">
        <v>0</v>
      </c>
      <c r="N193" s="131">
        <v>0</v>
      </c>
      <c r="O193" s="131">
        <v>0</v>
      </c>
      <c r="P193" s="131">
        <v>0</v>
      </c>
      <c r="Q193" s="154">
        <v>0</v>
      </c>
      <c r="R193" s="155">
        <v>0</v>
      </c>
      <c r="U193" s="9">
        <f t="shared" si="45"/>
        <v>8</v>
      </c>
      <c r="V193" s="7" t="str">
        <f t="shared" si="37"/>
        <v>0000</v>
      </c>
      <c r="W193" s="7" t="str">
        <f t="shared" si="38"/>
        <v>0000</v>
      </c>
      <c r="X193" s="7" t="str">
        <f t="shared" si="39"/>
        <v>0000</v>
      </c>
      <c r="Y193" s="7" t="str">
        <f t="shared" si="40"/>
        <v>0000</v>
      </c>
    </row>
    <row r="194" spans="1:25" s="81" customFormat="1" ht="14.1" customHeight="1">
      <c r="A194" s="80"/>
      <c r="B194" s="84">
        <v>9</v>
      </c>
      <c r="C194" s="153">
        <v>0</v>
      </c>
      <c r="D194" s="154">
        <v>0</v>
      </c>
      <c r="E194" s="131">
        <v>0</v>
      </c>
      <c r="F194" s="131">
        <v>0</v>
      </c>
      <c r="G194" s="131">
        <v>0</v>
      </c>
      <c r="H194" s="154">
        <v>0</v>
      </c>
      <c r="I194" s="154">
        <v>0</v>
      </c>
      <c r="J194" s="154">
        <v>0</v>
      </c>
      <c r="K194" s="154">
        <v>0</v>
      </c>
      <c r="L194" s="154">
        <v>0</v>
      </c>
      <c r="M194" s="131">
        <v>0</v>
      </c>
      <c r="N194" s="131">
        <v>0</v>
      </c>
      <c r="O194" s="131">
        <v>0</v>
      </c>
      <c r="P194" s="131">
        <v>0</v>
      </c>
      <c r="Q194" s="154">
        <v>0</v>
      </c>
      <c r="R194" s="155">
        <v>0</v>
      </c>
      <c r="U194" s="9">
        <f t="shared" si="45"/>
        <v>9</v>
      </c>
      <c r="V194" s="7" t="str">
        <f t="shared" si="37"/>
        <v>0000</v>
      </c>
      <c r="W194" s="7" t="str">
        <f t="shared" si="38"/>
        <v>0000</v>
      </c>
      <c r="X194" s="7" t="str">
        <f t="shared" si="39"/>
        <v>0000</v>
      </c>
      <c r="Y194" s="7" t="str">
        <f t="shared" si="40"/>
        <v>0000</v>
      </c>
    </row>
    <row r="195" spans="1:25" s="81" customFormat="1" ht="14.1" customHeight="1">
      <c r="A195" s="80"/>
      <c r="B195" s="84">
        <v>10</v>
      </c>
      <c r="C195" s="153">
        <v>0</v>
      </c>
      <c r="D195" s="131">
        <v>0</v>
      </c>
      <c r="E195" s="131">
        <v>0</v>
      </c>
      <c r="F195" s="154">
        <v>0</v>
      </c>
      <c r="G195" s="154">
        <v>0</v>
      </c>
      <c r="H195" s="154">
        <v>0</v>
      </c>
      <c r="I195" s="154">
        <v>13</v>
      </c>
      <c r="J195" s="154">
        <v>13</v>
      </c>
      <c r="K195" s="154">
        <v>13</v>
      </c>
      <c r="L195" s="154">
        <v>13</v>
      </c>
      <c r="M195" s="154">
        <v>0</v>
      </c>
      <c r="N195" s="154">
        <v>0</v>
      </c>
      <c r="O195" s="154">
        <v>0</v>
      </c>
      <c r="P195" s="131">
        <v>0</v>
      </c>
      <c r="Q195" s="131">
        <v>0</v>
      </c>
      <c r="R195" s="155">
        <v>0</v>
      </c>
      <c r="U195" s="9">
        <f t="shared" si="45"/>
        <v>10</v>
      </c>
      <c r="V195" s="7" t="str">
        <f t="shared" si="37"/>
        <v>0000</v>
      </c>
      <c r="W195" s="7" t="str">
        <f t="shared" si="38"/>
        <v>00DD</v>
      </c>
      <c r="X195" s="7" t="str">
        <f t="shared" si="39"/>
        <v>DD00</v>
      </c>
      <c r="Y195" s="7" t="str">
        <f t="shared" si="40"/>
        <v>0000</v>
      </c>
    </row>
    <row r="196" spans="1:25" s="81" customFormat="1" ht="14.1" customHeight="1">
      <c r="A196" s="80"/>
      <c r="B196" s="84">
        <v>11</v>
      </c>
      <c r="C196" s="153">
        <v>0</v>
      </c>
      <c r="D196" s="131">
        <v>0</v>
      </c>
      <c r="E196" s="131">
        <v>0</v>
      </c>
      <c r="F196" s="154">
        <v>0</v>
      </c>
      <c r="G196" s="154">
        <v>0</v>
      </c>
      <c r="H196" s="154">
        <v>0</v>
      </c>
      <c r="I196" s="154">
        <v>13</v>
      </c>
      <c r="J196" s="154">
        <v>13</v>
      </c>
      <c r="K196" s="154">
        <v>13</v>
      </c>
      <c r="L196" s="154">
        <v>13</v>
      </c>
      <c r="M196" s="154">
        <v>0</v>
      </c>
      <c r="N196" s="154">
        <v>0</v>
      </c>
      <c r="O196" s="154">
        <v>0</v>
      </c>
      <c r="P196" s="131">
        <v>0</v>
      </c>
      <c r="Q196" s="131">
        <v>0</v>
      </c>
      <c r="R196" s="155">
        <v>0</v>
      </c>
      <c r="U196" s="9">
        <f t="shared" si="45"/>
        <v>11</v>
      </c>
      <c r="V196" s="7" t="str">
        <f t="shared" si="37"/>
        <v>0000</v>
      </c>
      <c r="W196" s="7" t="str">
        <f t="shared" si="38"/>
        <v>00DD</v>
      </c>
      <c r="X196" s="7" t="str">
        <f t="shared" si="39"/>
        <v>DD00</v>
      </c>
      <c r="Y196" s="7" t="str">
        <f t="shared" si="40"/>
        <v>0000</v>
      </c>
    </row>
    <row r="197" spans="1:25" s="81" customFormat="1" ht="14.1" customHeight="1">
      <c r="A197" s="80"/>
      <c r="B197" s="84">
        <v>12</v>
      </c>
      <c r="C197" s="153">
        <v>0</v>
      </c>
      <c r="D197" s="154">
        <v>0</v>
      </c>
      <c r="E197" s="154">
        <v>0</v>
      </c>
      <c r="F197" s="154">
        <v>0</v>
      </c>
      <c r="G197" s="154">
        <v>0</v>
      </c>
      <c r="H197" s="154">
        <v>13</v>
      </c>
      <c r="I197" s="154">
        <v>13</v>
      </c>
      <c r="J197" s="154">
        <v>15</v>
      </c>
      <c r="K197" s="154">
        <v>15</v>
      </c>
      <c r="L197" s="154">
        <v>13</v>
      </c>
      <c r="M197" s="154">
        <v>13</v>
      </c>
      <c r="N197" s="154">
        <v>0</v>
      </c>
      <c r="O197" s="154">
        <v>0</v>
      </c>
      <c r="P197" s="154">
        <v>0</v>
      </c>
      <c r="Q197" s="154">
        <v>0</v>
      </c>
      <c r="R197" s="155">
        <v>0</v>
      </c>
      <c r="U197" s="9">
        <f t="shared" si="45"/>
        <v>12</v>
      </c>
      <c r="V197" s="7" t="str">
        <f t="shared" si="37"/>
        <v>0000</v>
      </c>
      <c r="W197" s="7" t="str">
        <f t="shared" si="38"/>
        <v>0DDF</v>
      </c>
      <c r="X197" s="7" t="str">
        <f t="shared" si="39"/>
        <v>FDD0</v>
      </c>
      <c r="Y197" s="7" t="str">
        <f t="shared" si="40"/>
        <v>0000</v>
      </c>
    </row>
    <row r="198" spans="1:25" s="81" customFormat="1" ht="14.1" customHeight="1">
      <c r="A198" s="80"/>
      <c r="B198" s="84">
        <v>13</v>
      </c>
      <c r="C198" s="153">
        <v>0</v>
      </c>
      <c r="D198" s="154">
        <v>0</v>
      </c>
      <c r="E198" s="154">
        <v>0</v>
      </c>
      <c r="F198" s="154">
        <v>0</v>
      </c>
      <c r="G198" s="154">
        <v>0</v>
      </c>
      <c r="H198" s="154">
        <v>13</v>
      </c>
      <c r="I198" s="154">
        <v>13</v>
      </c>
      <c r="J198" s="154">
        <v>15</v>
      </c>
      <c r="K198" s="154">
        <v>15</v>
      </c>
      <c r="L198" s="154">
        <v>13</v>
      </c>
      <c r="M198" s="154">
        <v>13</v>
      </c>
      <c r="N198" s="154">
        <v>0</v>
      </c>
      <c r="O198" s="154">
        <v>0</v>
      </c>
      <c r="P198" s="154">
        <v>0</v>
      </c>
      <c r="Q198" s="154">
        <v>0</v>
      </c>
      <c r="R198" s="155">
        <v>0</v>
      </c>
      <c r="U198" s="9">
        <f t="shared" si="45"/>
        <v>13</v>
      </c>
      <c r="V198" s="7" t="str">
        <f t="shared" si="37"/>
        <v>0000</v>
      </c>
      <c r="W198" s="7" t="str">
        <f t="shared" si="38"/>
        <v>0DDF</v>
      </c>
      <c r="X198" s="7" t="str">
        <f t="shared" si="39"/>
        <v>FDD0</v>
      </c>
      <c r="Y198" s="7" t="str">
        <f t="shared" si="40"/>
        <v>0000</v>
      </c>
    </row>
    <row r="199" spans="1:25" s="81" customFormat="1" ht="14.1" customHeight="1">
      <c r="A199" s="80"/>
      <c r="B199" s="84">
        <v>14</v>
      </c>
      <c r="C199" s="153">
        <v>0</v>
      </c>
      <c r="D199" s="154">
        <v>0</v>
      </c>
      <c r="E199" s="154">
        <v>0</v>
      </c>
      <c r="F199" s="154">
        <v>0</v>
      </c>
      <c r="G199" s="154">
        <v>0</v>
      </c>
      <c r="H199" s="154">
        <v>13</v>
      </c>
      <c r="I199" s="154">
        <v>15</v>
      </c>
      <c r="J199" s="154">
        <v>15</v>
      </c>
      <c r="K199" s="154">
        <v>15</v>
      </c>
      <c r="L199" s="154">
        <v>15</v>
      </c>
      <c r="M199" s="154">
        <v>13</v>
      </c>
      <c r="N199" s="154">
        <v>0</v>
      </c>
      <c r="O199" s="154">
        <v>0</v>
      </c>
      <c r="P199" s="154">
        <v>0</v>
      </c>
      <c r="Q199" s="154">
        <v>0</v>
      </c>
      <c r="R199" s="155">
        <v>0</v>
      </c>
      <c r="U199" s="9">
        <f t="shared" si="45"/>
        <v>14</v>
      </c>
      <c r="V199" s="7" t="str">
        <f t="shared" si="37"/>
        <v>0000</v>
      </c>
      <c r="W199" s="7" t="str">
        <f t="shared" si="38"/>
        <v>0DFF</v>
      </c>
      <c r="X199" s="7" t="str">
        <f t="shared" si="39"/>
        <v>FFD0</v>
      </c>
      <c r="Y199" s="7" t="str">
        <f t="shared" si="40"/>
        <v>0000</v>
      </c>
    </row>
    <row r="200" spans="1:25" s="81" customFormat="1" ht="14.1" customHeight="1">
      <c r="A200" s="80"/>
      <c r="B200" s="84">
        <v>15</v>
      </c>
      <c r="C200" s="153">
        <v>0</v>
      </c>
      <c r="D200" s="154">
        <v>0</v>
      </c>
      <c r="E200" s="154">
        <v>0</v>
      </c>
      <c r="F200" s="154">
        <v>0</v>
      </c>
      <c r="G200" s="154">
        <v>0</v>
      </c>
      <c r="H200" s="154">
        <v>13</v>
      </c>
      <c r="I200" s="154">
        <v>15</v>
      </c>
      <c r="J200" s="154">
        <v>15</v>
      </c>
      <c r="K200" s="154">
        <v>15</v>
      </c>
      <c r="L200" s="154">
        <v>15</v>
      </c>
      <c r="M200" s="154">
        <v>13</v>
      </c>
      <c r="N200" s="154">
        <v>0</v>
      </c>
      <c r="O200" s="154">
        <v>0</v>
      </c>
      <c r="P200" s="154">
        <v>0</v>
      </c>
      <c r="Q200" s="154">
        <v>0</v>
      </c>
      <c r="R200" s="155">
        <v>0</v>
      </c>
      <c r="U200" s="9">
        <f t="shared" si="45"/>
        <v>15</v>
      </c>
      <c r="V200" s="7" t="str">
        <f t="shared" si="37"/>
        <v>0000</v>
      </c>
      <c r="W200" s="7" t="str">
        <f t="shared" si="38"/>
        <v>0DFF</v>
      </c>
      <c r="X200" s="7" t="str">
        <f t="shared" si="39"/>
        <v>FFD0</v>
      </c>
      <c r="Y200" s="7" t="str">
        <f t="shared" si="40"/>
        <v>0000</v>
      </c>
    </row>
    <row r="201" spans="1:25" s="81" customFormat="1" ht="14.1" customHeight="1">
      <c r="A201" s="80"/>
      <c r="B201" s="84">
        <v>16</v>
      </c>
      <c r="C201" s="153">
        <v>0</v>
      </c>
      <c r="D201" s="154">
        <v>0</v>
      </c>
      <c r="E201" s="154">
        <v>0</v>
      </c>
      <c r="F201" s="154">
        <v>0</v>
      </c>
      <c r="G201" s="154">
        <v>0</v>
      </c>
      <c r="H201" s="154">
        <v>13</v>
      </c>
      <c r="I201" s="154">
        <v>15</v>
      </c>
      <c r="J201" s="154">
        <v>15</v>
      </c>
      <c r="K201" s="154">
        <v>15</v>
      </c>
      <c r="L201" s="154">
        <v>15</v>
      </c>
      <c r="M201" s="154">
        <v>13</v>
      </c>
      <c r="N201" s="154">
        <v>0</v>
      </c>
      <c r="O201" s="154">
        <v>0</v>
      </c>
      <c r="P201" s="154">
        <v>0</v>
      </c>
      <c r="Q201" s="154">
        <v>0</v>
      </c>
      <c r="R201" s="155">
        <v>0</v>
      </c>
      <c r="U201" s="9">
        <f t="shared" si="45"/>
        <v>16</v>
      </c>
      <c r="V201" s="7" t="str">
        <f t="shared" si="37"/>
        <v>0000</v>
      </c>
      <c r="W201" s="7" t="str">
        <f t="shared" si="38"/>
        <v>0DFF</v>
      </c>
      <c r="X201" s="7" t="str">
        <f t="shared" si="39"/>
        <v>FFD0</v>
      </c>
      <c r="Y201" s="7" t="str">
        <f t="shared" si="40"/>
        <v>0000</v>
      </c>
    </row>
    <row r="202" spans="1:25" s="81" customFormat="1" ht="14.1" customHeight="1">
      <c r="A202" s="80"/>
      <c r="B202" s="84">
        <v>17</v>
      </c>
      <c r="C202" s="153">
        <v>0</v>
      </c>
      <c r="D202" s="154">
        <v>0</v>
      </c>
      <c r="E202" s="154">
        <v>0</v>
      </c>
      <c r="F202" s="154">
        <v>0</v>
      </c>
      <c r="G202" s="154">
        <v>0</v>
      </c>
      <c r="H202" s="154">
        <v>13</v>
      </c>
      <c r="I202" s="154">
        <v>15</v>
      </c>
      <c r="J202" s="154">
        <v>15</v>
      </c>
      <c r="K202" s="154">
        <v>15</v>
      </c>
      <c r="L202" s="154">
        <v>15</v>
      </c>
      <c r="M202" s="154">
        <v>13</v>
      </c>
      <c r="N202" s="154">
        <v>0</v>
      </c>
      <c r="O202" s="154">
        <v>0</v>
      </c>
      <c r="P202" s="154">
        <v>0</v>
      </c>
      <c r="Q202" s="154">
        <v>0</v>
      </c>
      <c r="R202" s="155">
        <v>0</v>
      </c>
      <c r="U202" s="9">
        <f t="shared" si="45"/>
        <v>17</v>
      </c>
      <c r="V202" s="7" t="str">
        <f t="shared" si="37"/>
        <v>0000</v>
      </c>
      <c r="W202" s="7" t="str">
        <f t="shared" si="38"/>
        <v>0DFF</v>
      </c>
      <c r="X202" s="7" t="str">
        <f t="shared" si="39"/>
        <v>FFD0</v>
      </c>
      <c r="Y202" s="7" t="str">
        <f t="shared" si="40"/>
        <v>0000</v>
      </c>
    </row>
    <row r="203" spans="1:25" s="81" customFormat="1" ht="14.1" customHeight="1">
      <c r="A203" s="80"/>
      <c r="B203" s="84">
        <v>18</v>
      </c>
      <c r="C203" s="153">
        <v>0</v>
      </c>
      <c r="D203" s="154">
        <v>0</v>
      </c>
      <c r="E203" s="154">
        <v>0</v>
      </c>
      <c r="F203" s="154">
        <v>0</v>
      </c>
      <c r="G203" s="154">
        <v>0</v>
      </c>
      <c r="H203" s="154">
        <v>13</v>
      </c>
      <c r="I203" s="154">
        <v>13</v>
      </c>
      <c r="J203" s="154">
        <v>15</v>
      </c>
      <c r="K203" s="154">
        <v>15</v>
      </c>
      <c r="L203" s="154">
        <v>13</v>
      </c>
      <c r="M203" s="154">
        <v>13</v>
      </c>
      <c r="N203" s="154">
        <v>0</v>
      </c>
      <c r="O203" s="154">
        <v>0</v>
      </c>
      <c r="P203" s="154">
        <v>0</v>
      </c>
      <c r="Q203" s="154">
        <v>0</v>
      </c>
      <c r="R203" s="155">
        <v>0</v>
      </c>
      <c r="U203" s="9">
        <f t="shared" si="45"/>
        <v>18</v>
      </c>
      <c r="V203" s="7" t="str">
        <f t="shared" si="37"/>
        <v>0000</v>
      </c>
      <c r="W203" s="7" t="str">
        <f t="shared" si="38"/>
        <v>0DDF</v>
      </c>
      <c r="X203" s="7" t="str">
        <f t="shared" si="39"/>
        <v>FDD0</v>
      </c>
      <c r="Y203" s="7" t="str">
        <f t="shared" si="40"/>
        <v>0000</v>
      </c>
    </row>
    <row r="204" spans="1:25" s="81" customFormat="1" ht="14.1" customHeight="1">
      <c r="A204" s="80"/>
      <c r="B204" s="84">
        <v>19</v>
      </c>
      <c r="C204" s="153">
        <v>0</v>
      </c>
      <c r="D204" s="154">
        <v>0</v>
      </c>
      <c r="E204" s="154">
        <v>0</v>
      </c>
      <c r="F204" s="154">
        <v>0</v>
      </c>
      <c r="G204" s="154">
        <v>0</v>
      </c>
      <c r="H204" s="154">
        <v>13</v>
      </c>
      <c r="I204" s="154">
        <v>13</v>
      </c>
      <c r="J204" s="154">
        <v>15</v>
      </c>
      <c r="K204" s="154">
        <v>15</v>
      </c>
      <c r="L204" s="154">
        <v>13</v>
      </c>
      <c r="M204" s="154">
        <v>13</v>
      </c>
      <c r="N204" s="154">
        <v>0</v>
      </c>
      <c r="O204" s="154">
        <v>0</v>
      </c>
      <c r="P204" s="154">
        <v>0</v>
      </c>
      <c r="Q204" s="154">
        <v>0</v>
      </c>
      <c r="R204" s="155">
        <v>0</v>
      </c>
      <c r="U204" s="9">
        <f t="shared" si="45"/>
        <v>19</v>
      </c>
      <c r="V204" s="7" t="str">
        <f t="shared" si="37"/>
        <v>0000</v>
      </c>
      <c r="W204" s="7" t="str">
        <f t="shared" si="38"/>
        <v>0DDF</v>
      </c>
      <c r="X204" s="7" t="str">
        <f t="shared" si="39"/>
        <v>FDD0</v>
      </c>
      <c r="Y204" s="7" t="str">
        <f t="shared" si="40"/>
        <v>0000</v>
      </c>
    </row>
    <row r="205" spans="1:25" s="81" customFormat="1" ht="14.1" customHeight="1">
      <c r="A205" s="80"/>
      <c r="B205" s="84">
        <v>20</v>
      </c>
      <c r="C205" s="153">
        <v>0</v>
      </c>
      <c r="D205" s="131">
        <v>0</v>
      </c>
      <c r="E205" s="131">
        <v>0</v>
      </c>
      <c r="F205" s="154">
        <v>0</v>
      </c>
      <c r="G205" s="154">
        <v>0</v>
      </c>
      <c r="H205" s="154">
        <v>0</v>
      </c>
      <c r="I205" s="154">
        <v>13</v>
      </c>
      <c r="J205" s="154">
        <v>13</v>
      </c>
      <c r="K205" s="154">
        <v>13</v>
      </c>
      <c r="L205" s="154">
        <v>13</v>
      </c>
      <c r="M205" s="154">
        <v>0</v>
      </c>
      <c r="N205" s="154">
        <v>0</v>
      </c>
      <c r="O205" s="154">
        <v>0</v>
      </c>
      <c r="P205" s="131">
        <v>0</v>
      </c>
      <c r="Q205" s="131">
        <v>0</v>
      </c>
      <c r="R205" s="155">
        <v>0</v>
      </c>
      <c r="U205" s="9">
        <f t="shared" si="45"/>
        <v>20</v>
      </c>
      <c r="V205" s="7" t="str">
        <f t="shared" si="37"/>
        <v>0000</v>
      </c>
      <c r="W205" s="7" t="str">
        <f t="shared" si="38"/>
        <v>00DD</v>
      </c>
      <c r="X205" s="7" t="str">
        <f t="shared" si="39"/>
        <v>DD00</v>
      </c>
      <c r="Y205" s="7" t="str">
        <f t="shared" si="40"/>
        <v>0000</v>
      </c>
    </row>
    <row r="206" spans="1:25" s="81" customFormat="1" ht="14.1" customHeight="1">
      <c r="A206" s="80"/>
      <c r="B206" s="84">
        <v>21</v>
      </c>
      <c r="C206" s="153">
        <v>0</v>
      </c>
      <c r="D206" s="131">
        <v>0</v>
      </c>
      <c r="E206" s="131">
        <v>0</v>
      </c>
      <c r="F206" s="154">
        <v>0</v>
      </c>
      <c r="G206" s="154">
        <v>0</v>
      </c>
      <c r="H206" s="154">
        <v>0</v>
      </c>
      <c r="I206" s="154">
        <v>13</v>
      </c>
      <c r="J206" s="154">
        <v>13</v>
      </c>
      <c r="K206" s="154">
        <v>13</v>
      </c>
      <c r="L206" s="154">
        <v>13</v>
      </c>
      <c r="M206" s="154">
        <v>0</v>
      </c>
      <c r="N206" s="154">
        <v>0</v>
      </c>
      <c r="O206" s="154">
        <v>0</v>
      </c>
      <c r="P206" s="131">
        <v>0</v>
      </c>
      <c r="Q206" s="131">
        <v>0</v>
      </c>
      <c r="R206" s="155">
        <v>0</v>
      </c>
      <c r="U206" s="9">
        <f t="shared" si="45"/>
        <v>21</v>
      </c>
      <c r="V206" s="7" t="str">
        <f t="shared" si="37"/>
        <v>0000</v>
      </c>
      <c r="W206" s="7" t="str">
        <f t="shared" si="38"/>
        <v>00DD</v>
      </c>
      <c r="X206" s="7" t="str">
        <f t="shared" si="39"/>
        <v>DD00</v>
      </c>
      <c r="Y206" s="7" t="str">
        <f t="shared" si="40"/>
        <v>0000</v>
      </c>
    </row>
    <row r="207" spans="1:25" s="81" customFormat="1" ht="14.1" customHeight="1">
      <c r="A207" s="80"/>
      <c r="B207" s="84">
        <v>22</v>
      </c>
      <c r="C207" s="153">
        <v>0</v>
      </c>
      <c r="D207" s="131">
        <v>0</v>
      </c>
      <c r="E207" s="131">
        <v>0</v>
      </c>
      <c r="F207" s="131">
        <v>0</v>
      </c>
      <c r="G207" s="154">
        <v>0</v>
      </c>
      <c r="H207" s="154">
        <v>0</v>
      </c>
      <c r="I207" s="154">
        <v>0</v>
      </c>
      <c r="J207" s="154">
        <v>0</v>
      </c>
      <c r="K207" s="154">
        <v>0</v>
      </c>
      <c r="L207" s="154">
        <v>0</v>
      </c>
      <c r="M207" s="154">
        <v>0</v>
      </c>
      <c r="N207" s="154">
        <v>0</v>
      </c>
      <c r="O207" s="131">
        <v>0</v>
      </c>
      <c r="P207" s="131">
        <v>0</v>
      </c>
      <c r="Q207" s="131">
        <v>0</v>
      </c>
      <c r="R207" s="155">
        <v>0</v>
      </c>
      <c r="U207" s="9">
        <f t="shared" si="45"/>
        <v>22</v>
      </c>
      <c r="V207" s="7" t="str">
        <f t="shared" si="37"/>
        <v>0000</v>
      </c>
      <c r="W207" s="7" t="str">
        <f t="shared" si="38"/>
        <v>0000</v>
      </c>
      <c r="X207" s="7" t="str">
        <f t="shared" si="39"/>
        <v>0000</v>
      </c>
      <c r="Y207" s="7" t="str">
        <f t="shared" si="40"/>
        <v>0000</v>
      </c>
    </row>
    <row r="208" spans="1:25" s="81" customFormat="1" ht="14.1" customHeight="1">
      <c r="A208" s="80"/>
      <c r="B208" s="84">
        <v>23</v>
      </c>
      <c r="C208" s="153">
        <v>0</v>
      </c>
      <c r="D208" s="154">
        <v>0</v>
      </c>
      <c r="E208" s="131">
        <v>0</v>
      </c>
      <c r="F208" s="131">
        <v>0</v>
      </c>
      <c r="G208" s="131">
        <v>0</v>
      </c>
      <c r="H208" s="154">
        <v>0</v>
      </c>
      <c r="I208" s="154">
        <v>0</v>
      </c>
      <c r="J208" s="154">
        <v>0</v>
      </c>
      <c r="K208" s="154">
        <v>0</v>
      </c>
      <c r="L208" s="154">
        <v>0</v>
      </c>
      <c r="M208" s="154">
        <v>0</v>
      </c>
      <c r="N208" s="131">
        <v>0</v>
      </c>
      <c r="O208" s="131">
        <v>0</v>
      </c>
      <c r="P208" s="131">
        <v>0</v>
      </c>
      <c r="Q208" s="154">
        <v>0</v>
      </c>
      <c r="R208" s="155">
        <v>0</v>
      </c>
      <c r="U208" s="9">
        <f t="shared" si="45"/>
        <v>23</v>
      </c>
      <c r="V208" s="7" t="str">
        <f t="shared" si="37"/>
        <v>0000</v>
      </c>
      <c r="W208" s="7" t="str">
        <f t="shared" si="38"/>
        <v>0000</v>
      </c>
      <c r="X208" s="7" t="str">
        <f t="shared" si="39"/>
        <v>0000</v>
      </c>
      <c r="Y208" s="7" t="str">
        <f t="shared" si="40"/>
        <v>0000</v>
      </c>
    </row>
    <row r="209" spans="1:25" s="81" customFormat="1" ht="14.1" customHeight="1">
      <c r="A209" s="80"/>
      <c r="B209" s="84">
        <v>24</v>
      </c>
      <c r="C209" s="153">
        <v>0</v>
      </c>
      <c r="D209" s="154">
        <v>0</v>
      </c>
      <c r="E209" s="154">
        <v>0</v>
      </c>
      <c r="F209" s="154">
        <v>0</v>
      </c>
      <c r="G209" s="131">
        <v>0</v>
      </c>
      <c r="H209" s="131">
        <v>0</v>
      </c>
      <c r="I209" s="131">
        <v>0</v>
      </c>
      <c r="J209" s="154">
        <v>0</v>
      </c>
      <c r="K209" s="154">
        <v>0</v>
      </c>
      <c r="L209" s="131">
        <v>0</v>
      </c>
      <c r="M209" s="131">
        <v>0</v>
      </c>
      <c r="N209" s="131">
        <v>0</v>
      </c>
      <c r="O209" s="154">
        <v>0</v>
      </c>
      <c r="P209" s="154">
        <v>0</v>
      </c>
      <c r="Q209" s="154">
        <v>0</v>
      </c>
      <c r="R209" s="155">
        <v>0</v>
      </c>
      <c r="U209" s="9">
        <f t="shared" si="45"/>
        <v>24</v>
      </c>
      <c r="V209" s="7" t="str">
        <f t="shared" si="37"/>
        <v>0000</v>
      </c>
      <c r="W209" s="7" t="str">
        <f t="shared" si="38"/>
        <v>0000</v>
      </c>
      <c r="X209" s="7" t="str">
        <f t="shared" si="39"/>
        <v>0000</v>
      </c>
      <c r="Y209" s="7" t="str">
        <f t="shared" si="40"/>
        <v>0000</v>
      </c>
    </row>
    <row r="210" spans="1:25" s="81" customFormat="1" ht="14.1" customHeight="1">
      <c r="A210" s="80"/>
      <c r="B210" s="84">
        <v>25</v>
      </c>
      <c r="C210" s="153">
        <v>0</v>
      </c>
      <c r="D210" s="154">
        <v>0</v>
      </c>
      <c r="E210" s="154">
        <v>0</v>
      </c>
      <c r="F210" s="154">
        <v>0</v>
      </c>
      <c r="G210" s="131">
        <v>0</v>
      </c>
      <c r="H210" s="131">
        <v>0</v>
      </c>
      <c r="I210" s="131">
        <v>0</v>
      </c>
      <c r="J210" s="154">
        <v>0</v>
      </c>
      <c r="K210" s="154">
        <v>0</v>
      </c>
      <c r="L210" s="131">
        <v>0</v>
      </c>
      <c r="M210" s="131">
        <v>0</v>
      </c>
      <c r="N210" s="131">
        <v>0</v>
      </c>
      <c r="O210" s="154">
        <v>0</v>
      </c>
      <c r="P210" s="154">
        <v>0</v>
      </c>
      <c r="Q210" s="154">
        <v>0</v>
      </c>
      <c r="R210" s="155">
        <v>0</v>
      </c>
      <c r="U210" s="9">
        <f t="shared" si="45"/>
        <v>25</v>
      </c>
      <c r="V210" s="7" t="str">
        <f t="shared" si="37"/>
        <v>0000</v>
      </c>
      <c r="W210" s="7" t="str">
        <f t="shared" si="38"/>
        <v>0000</v>
      </c>
      <c r="X210" s="7" t="str">
        <f t="shared" si="39"/>
        <v>0000</v>
      </c>
      <c r="Y210" s="7" t="str">
        <f t="shared" si="40"/>
        <v>0000</v>
      </c>
    </row>
    <row r="211" spans="1:25" s="81" customFormat="1" ht="14.1" customHeight="1">
      <c r="A211" s="80"/>
      <c r="B211" s="84">
        <v>26</v>
      </c>
      <c r="C211" s="153">
        <v>0</v>
      </c>
      <c r="D211" s="154">
        <v>0</v>
      </c>
      <c r="E211" s="154">
        <v>0</v>
      </c>
      <c r="F211" s="154">
        <v>0</v>
      </c>
      <c r="G211" s="154">
        <v>0</v>
      </c>
      <c r="H211" s="154">
        <v>0</v>
      </c>
      <c r="I211" s="131">
        <v>0</v>
      </c>
      <c r="J211" s="131">
        <v>0</v>
      </c>
      <c r="K211" s="131">
        <v>0</v>
      </c>
      <c r="L211" s="131">
        <v>0</v>
      </c>
      <c r="M211" s="154">
        <v>0</v>
      </c>
      <c r="N211" s="154">
        <v>0</v>
      </c>
      <c r="O211" s="154">
        <v>0</v>
      </c>
      <c r="P211" s="154">
        <v>0</v>
      </c>
      <c r="Q211" s="154">
        <v>0</v>
      </c>
      <c r="R211" s="155">
        <v>0</v>
      </c>
      <c r="U211" s="9">
        <f t="shared" si="45"/>
        <v>26</v>
      </c>
      <c r="V211" s="7" t="str">
        <f t="shared" si="37"/>
        <v>0000</v>
      </c>
      <c r="W211" s="7" t="str">
        <f t="shared" si="38"/>
        <v>0000</v>
      </c>
      <c r="X211" s="7" t="str">
        <f t="shared" si="39"/>
        <v>0000</v>
      </c>
      <c r="Y211" s="7" t="str">
        <f t="shared" si="40"/>
        <v>0000</v>
      </c>
    </row>
    <row r="212" spans="1:25" s="81" customFormat="1" ht="14.1" customHeight="1">
      <c r="A212" s="80"/>
      <c r="B212" s="84">
        <v>27</v>
      </c>
      <c r="C212" s="153">
        <v>0</v>
      </c>
      <c r="D212" s="154">
        <v>0</v>
      </c>
      <c r="E212" s="154">
        <v>0</v>
      </c>
      <c r="F212" s="154">
        <v>0</v>
      </c>
      <c r="G212" s="154">
        <v>0</v>
      </c>
      <c r="H212" s="154">
        <v>0</v>
      </c>
      <c r="I212" s="131">
        <v>0</v>
      </c>
      <c r="J212" s="131">
        <v>0</v>
      </c>
      <c r="K212" s="131">
        <v>0</v>
      </c>
      <c r="L212" s="131">
        <v>0</v>
      </c>
      <c r="M212" s="154">
        <v>0</v>
      </c>
      <c r="N212" s="154">
        <v>0</v>
      </c>
      <c r="O212" s="154">
        <v>0</v>
      </c>
      <c r="P212" s="154">
        <v>0</v>
      </c>
      <c r="Q212" s="154">
        <v>0</v>
      </c>
      <c r="R212" s="155">
        <v>0</v>
      </c>
      <c r="U212" s="9">
        <f t="shared" si="45"/>
        <v>27</v>
      </c>
      <c r="V212" s="7" t="str">
        <f t="shared" si="37"/>
        <v>0000</v>
      </c>
      <c r="W212" s="7" t="str">
        <f t="shared" si="38"/>
        <v>0000</v>
      </c>
      <c r="X212" s="7" t="str">
        <f t="shared" si="39"/>
        <v>0000</v>
      </c>
      <c r="Y212" s="7" t="str">
        <f t="shared" si="40"/>
        <v>0000</v>
      </c>
    </row>
    <row r="213" spans="1:25" s="81" customFormat="1" ht="14.1" customHeight="1">
      <c r="A213" s="80"/>
      <c r="B213" s="84">
        <v>28</v>
      </c>
      <c r="C213" s="153">
        <v>0</v>
      </c>
      <c r="D213" s="154">
        <v>0</v>
      </c>
      <c r="E213" s="154">
        <v>0</v>
      </c>
      <c r="F213" s="154">
        <v>0</v>
      </c>
      <c r="G213" s="154">
        <v>0</v>
      </c>
      <c r="H213" s="154">
        <v>0</v>
      </c>
      <c r="I213" s="154">
        <v>0</v>
      </c>
      <c r="J213" s="154">
        <v>0</v>
      </c>
      <c r="K213" s="154">
        <v>0</v>
      </c>
      <c r="L213" s="154">
        <v>0</v>
      </c>
      <c r="M213" s="154">
        <v>0</v>
      </c>
      <c r="N213" s="154">
        <v>0</v>
      </c>
      <c r="O213" s="154">
        <v>0</v>
      </c>
      <c r="P213" s="154">
        <v>0</v>
      </c>
      <c r="Q213" s="154">
        <v>0</v>
      </c>
      <c r="R213" s="155">
        <v>0</v>
      </c>
      <c r="U213" s="9">
        <f t="shared" si="45"/>
        <v>28</v>
      </c>
      <c r="V213" s="7" t="str">
        <f t="shared" si="37"/>
        <v>0000</v>
      </c>
      <c r="W213" s="7" t="str">
        <f t="shared" si="38"/>
        <v>0000</v>
      </c>
      <c r="X213" s="7" t="str">
        <f t="shared" si="39"/>
        <v>0000</v>
      </c>
      <c r="Y213" s="7" t="str">
        <f t="shared" si="40"/>
        <v>0000</v>
      </c>
    </row>
    <row r="214" spans="1:25" s="81" customFormat="1" ht="14.1" customHeight="1">
      <c r="A214" s="80"/>
      <c r="B214" s="84">
        <v>29</v>
      </c>
      <c r="C214" s="153">
        <v>0</v>
      </c>
      <c r="D214" s="154">
        <v>0</v>
      </c>
      <c r="E214" s="154">
        <v>0</v>
      </c>
      <c r="F214" s="154">
        <v>0</v>
      </c>
      <c r="G214" s="154">
        <v>0</v>
      </c>
      <c r="H214" s="154">
        <v>0</v>
      </c>
      <c r="I214" s="154">
        <v>0</v>
      </c>
      <c r="J214" s="154">
        <v>0</v>
      </c>
      <c r="K214" s="154">
        <v>0</v>
      </c>
      <c r="L214" s="154">
        <v>0</v>
      </c>
      <c r="M214" s="154">
        <v>0</v>
      </c>
      <c r="N214" s="154">
        <v>0</v>
      </c>
      <c r="O214" s="154">
        <v>0</v>
      </c>
      <c r="P214" s="154">
        <v>0</v>
      </c>
      <c r="Q214" s="154">
        <v>0</v>
      </c>
      <c r="R214" s="155">
        <v>0</v>
      </c>
      <c r="U214" s="9">
        <f t="shared" si="45"/>
        <v>29</v>
      </c>
      <c r="V214" s="7" t="str">
        <f t="shared" si="37"/>
        <v>0000</v>
      </c>
      <c r="W214" s="7" t="str">
        <f t="shared" si="38"/>
        <v>0000</v>
      </c>
      <c r="X214" s="7" t="str">
        <f t="shared" si="39"/>
        <v>0000</v>
      </c>
      <c r="Y214" s="7" t="str">
        <f t="shared" si="40"/>
        <v>0000</v>
      </c>
    </row>
    <row r="215" spans="1:25" s="81" customFormat="1" ht="14.1" customHeight="1">
      <c r="A215" s="80"/>
      <c r="B215" s="84">
        <v>30</v>
      </c>
      <c r="C215" s="153">
        <v>0</v>
      </c>
      <c r="D215" s="154">
        <v>0</v>
      </c>
      <c r="E215" s="154">
        <v>0</v>
      </c>
      <c r="F215" s="154">
        <v>0</v>
      </c>
      <c r="G215" s="154">
        <v>0</v>
      </c>
      <c r="H215" s="154">
        <v>0</v>
      </c>
      <c r="I215" s="154">
        <v>0</v>
      </c>
      <c r="J215" s="154">
        <v>0</v>
      </c>
      <c r="K215" s="154">
        <v>0</v>
      </c>
      <c r="L215" s="154">
        <v>0</v>
      </c>
      <c r="M215" s="154">
        <v>0</v>
      </c>
      <c r="N215" s="154">
        <v>0</v>
      </c>
      <c r="O215" s="154">
        <v>0</v>
      </c>
      <c r="P215" s="154">
        <v>0</v>
      </c>
      <c r="Q215" s="154">
        <v>0</v>
      </c>
      <c r="R215" s="155">
        <v>0</v>
      </c>
      <c r="U215" s="9">
        <f t="shared" si="45"/>
        <v>30</v>
      </c>
      <c r="V215" s="7" t="str">
        <f t="shared" si="37"/>
        <v>0000</v>
      </c>
      <c r="W215" s="7" t="str">
        <f t="shared" si="38"/>
        <v>0000</v>
      </c>
      <c r="X215" s="7" t="str">
        <f t="shared" si="39"/>
        <v>0000</v>
      </c>
      <c r="Y215" s="7" t="str">
        <f t="shared" si="40"/>
        <v>0000</v>
      </c>
    </row>
    <row r="216" spans="1:25" s="81" customFormat="1" ht="14.1" customHeight="1" thickBot="1">
      <c r="A216" s="80"/>
      <c r="B216" s="84">
        <v>31</v>
      </c>
      <c r="C216" s="132">
        <v>0</v>
      </c>
      <c r="D216" s="133">
        <v>0</v>
      </c>
      <c r="E216" s="133">
        <v>0</v>
      </c>
      <c r="F216" s="133">
        <v>0</v>
      </c>
      <c r="G216" s="133">
        <v>0</v>
      </c>
      <c r="H216" s="133">
        <v>0</v>
      </c>
      <c r="I216" s="133">
        <v>0</v>
      </c>
      <c r="J216" s="133">
        <v>0</v>
      </c>
      <c r="K216" s="133">
        <v>0</v>
      </c>
      <c r="L216" s="133">
        <v>0</v>
      </c>
      <c r="M216" s="133">
        <v>0</v>
      </c>
      <c r="N216" s="133">
        <v>0</v>
      </c>
      <c r="O216" s="133">
        <v>0</v>
      </c>
      <c r="P216" s="133">
        <v>0</v>
      </c>
      <c r="Q216" s="133">
        <v>0</v>
      </c>
      <c r="R216" s="134">
        <v>0</v>
      </c>
      <c r="U216" s="9">
        <f t="shared" si="45"/>
        <v>31</v>
      </c>
      <c r="V216" s="7" t="str">
        <f t="shared" si="37"/>
        <v>0000</v>
      </c>
      <c r="W216" s="7" t="str">
        <f t="shared" si="38"/>
        <v>0000</v>
      </c>
      <c r="X216" s="7" t="str">
        <f t="shared" si="39"/>
        <v>0000</v>
      </c>
      <c r="Y216" s="7" t="str">
        <f t="shared" si="40"/>
        <v>0000</v>
      </c>
    </row>
    <row r="217" spans="1:25" s="81" customFormat="1" ht="15" thickBot="1">
      <c r="A217" s="80"/>
      <c r="L217" s="11">
        <v>3</v>
      </c>
      <c r="M217" s="11">
        <v>3</v>
      </c>
      <c r="N217" s="11">
        <v>3</v>
      </c>
      <c r="O217" s="11">
        <v>3</v>
      </c>
      <c r="P217" s="11">
        <v>3</v>
      </c>
      <c r="U217" s="85"/>
    </row>
    <row r="218" spans="1:25" s="81" customFormat="1">
      <c r="A218" s="80"/>
      <c r="U218" s="85"/>
    </row>
    <row r="219" spans="1:25" s="81" customFormat="1">
      <c r="A219" s="80" t="s">
        <v>315</v>
      </c>
      <c r="U219" s="8" t="str">
        <f>A219</f>
        <v>7.User setting weight table 1 (Storage to ROM)</v>
      </c>
    </row>
    <row r="220" spans="1:25" s="81" customFormat="1" ht="15" thickBot="1">
      <c r="A220" s="80"/>
      <c r="C220" s="84">
        <v>0</v>
      </c>
      <c r="D220" s="84">
        <v>1</v>
      </c>
      <c r="E220" s="84">
        <v>2</v>
      </c>
      <c r="F220" s="84">
        <v>3</v>
      </c>
      <c r="G220" s="84">
        <v>4</v>
      </c>
      <c r="H220" s="84">
        <v>5</v>
      </c>
      <c r="I220" s="84">
        <v>6</v>
      </c>
      <c r="J220" s="84">
        <v>7</v>
      </c>
      <c r="K220" s="84">
        <v>8</v>
      </c>
      <c r="L220" s="84">
        <v>9</v>
      </c>
      <c r="M220" s="84">
        <v>10</v>
      </c>
      <c r="N220" s="84">
        <v>11</v>
      </c>
      <c r="O220" s="84">
        <v>12</v>
      </c>
      <c r="P220" s="84">
        <v>13</v>
      </c>
      <c r="Q220" s="84">
        <v>14</v>
      </c>
      <c r="R220" s="84">
        <v>15</v>
      </c>
      <c r="U220" s="85"/>
      <c r="V220" s="7" t="str">
        <f t="shared" ref="V220" si="46">C220&amp;D220&amp;E220&amp;F220</f>
        <v>0123</v>
      </c>
      <c r="W220" s="7" t="str">
        <f t="shared" ref="W220" si="47">G220&amp;H220&amp;I220&amp;J220</f>
        <v>4567</v>
      </c>
      <c r="X220" s="7" t="str">
        <f t="shared" ref="X220" si="48">K220&amp;L220&amp;M220&amp;N220</f>
        <v>891011</v>
      </c>
      <c r="Y220" s="7" t="str">
        <f t="shared" ref="Y220" si="49">O220&amp;P220&amp;Q220&amp;R220</f>
        <v>12131415</v>
      </c>
    </row>
    <row r="221" spans="1:25" s="81" customFormat="1" ht="14.1" customHeight="1">
      <c r="A221" s="80"/>
      <c r="B221" s="84">
        <v>0</v>
      </c>
      <c r="C221" s="140">
        <v>0</v>
      </c>
      <c r="D221" s="141">
        <v>0</v>
      </c>
      <c r="E221" s="141">
        <v>0</v>
      </c>
      <c r="F221" s="141">
        <v>0</v>
      </c>
      <c r="G221" s="141">
        <v>0</v>
      </c>
      <c r="H221" s="141">
        <v>0</v>
      </c>
      <c r="I221" s="141">
        <v>0</v>
      </c>
      <c r="J221" s="141">
        <v>0</v>
      </c>
      <c r="K221" s="141">
        <v>0</v>
      </c>
      <c r="L221" s="141">
        <v>0</v>
      </c>
      <c r="M221" s="141">
        <v>0</v>
      </c>
      <c r="N221" s="141">
        <v>0</v>
      </c>
      <c r="O221" s="141">
        <v>0</v>
      </c>
      <c r="P221" s="141">
        <v>0</v>
      </c>
      <c r="Q221" s="141">
        <v>0</v>
      </c>
      <c r="R221" s="142">
        <v>0</v>
      </c>
      <c r="U221" s="9">
        <f t="shared" ref="U221:U252" si="50">B221</f>
        <v>0</v>
      </c>
      <c r="V221" s="7" t="str">
        <f t="shared" si="37"/>
        <v>0000</v>
      </c>
      <c r="W221" s="7" t="str">
        <f t="shared" si="38"/>
        <v>0000</v>
      </c>
      <c r="X221" s="7" t="str">
        <f t="shared" si="39"/>
        <v>0000</v>
      </c>
      <c r="Y221" s="7" t="str">
        <f t="shared" si="40"/>
        <v>0000</v>
      </c>
    </row>
    <row r="222" spans="1:25" s="81" customFormat="1" ht="14.1" customHeight="1">
      <c r="A222" s="80"/>
      <c r="B222" s="84">
        <v>1</v>
      </c>
      <c r="C222" s="143">
        <v>0</v>
      </c>
      <c r="D222" s="144">
        <v>0</v>
      </c>
      <c r="E222" s="144">
        <v>0</v>
      </c>
      <c r="F222" s="144">
        <v>0</v>
      </c>
      <c r="G222" s="144">
        <v>0</v>
      </c>
      <c r="H222" s="144">
        <v>0</v>
      </c>
      <c r="I222" s="144">
        <v>0</v>
      </c>
      <c r="J222" s="144">
        <v>0</v>
      </c>
      <c r="K222" s="144">
        <v>0</v>
      </c>
      <c r="L222" s="144">
        <v>0</v>
      </c>
      <c r="M222" s="144">
        <v>0</v>
      </c>
      <c r="N222" s="144">
        <v>0</v>
      </c>
      <c r="O222" s="144">
        <v>0</v>
      </c>
      <c r="P222" s="144">
        <v>0</v>
      </c>
      <c r="Q222" s="144">
        <v>0</v>
      </c>
      <c r="R222" s="145">
        <v>0</v>
      </c>
      <c r="U222" s="9">
        <f t="shared" si="50"/>
        <v>1</v>
      </c>
      <c r="V222" s="7" t="str">
        <f t="shared" si="37"/>
        <v>0000</v>
      </c>
      <c r="W222" s="7" t="str">
        <f t="shared" si="38"/>
        <v>0000</v>
      </c>
      <c r="X222" s="7" t="str">
        <f t="shared" si="39"/>
        <v>0000</v>
      </c>
      <c r="Y222" s="7" t="str">
        <f t="shared" si="40"/>
        <v>0000</v>
      </c>
    </row>
    <row r="223" spans="1:25" s="81" customFormat="1" ht="14.1" customHeight="1">
      <c r="A223" s="80"/>
      <c r="B223" s="84">
        <v>2</v>
      </c>
      <c r="C223" s="143">
        <v>0</v>
      </c>
      <c r="D223" s="144">
        <v>0</v>
      </c>
      <c r="E223" s="144">
        <v>0</v>
      </c>
      <c r="F223" s="144">
        <v>0</v>
      </c>
      <c r="G223" s="144">
        <v>0</v>
      </c>
      <c r="H223" s="144">
        <v>0</v>
      </c>
      <c r="I223" s="144">
        <v>0</v>
      </c>
      <c r="J223" s="144">
        <v>0</v>
      </c>
      <c r="K223" s="144">
        <v>0</v>
      </c>
      <c r="L223" s="144">
        <v>0</v>
      </c>
      <c r="M223" s="144">
        <v>0</v>
      </c>
      <c r="N223" s="144">
        <v>0</v>
      </c>
      <c r="O223" s="144">
        <v>0</v>
      </c>
      <c r="P223" s="144">
        <v>0</v>
      </c>
      <c r="Q223" s="144">
        <v>0</v>
      </c>
      <c r="R223" s="145">
        <v>0</v>
      </c>
      <c r="U223" s="9">
        <f t="shared" si="50"/>
        <v>2</v>
      </c>
      <c r="V223" s="7" t="str">
        <f t="shared" si="37"/>
        <v>0000</v>
      </c>
      <c r="W223" s="7" t="str">
        <f t="shared" si="38"/>
        <v>0000</v>
      </c>
      <c r="X223" s="7" t="str">
        <f t="shared" si="39"/>
        <v>0000</v>
      </c>
      <c r="Y223" s="7" t="str">
        <f t="shared" si="40"/>
        <v>0000</v>
      </c>
    </row>
    <row r="224" spans="1:25" s="81" customFormat="1" ht="14.1" customHeight="1">
      <c r="A224" s="80"/>
      <c r="B224" s="84">
        <v>3</v>
      </c>
      <c r="C224" s="143">
        <v>0</v>
      </c>
      <c r="D224" s="144">
        <v>0</v>
      </c>
      <c r="E224" s="144">
        <v>0</v>
      </c>
      <c r="F224" s="144">
        <v>0</v>
      </c>
      <c r="G224" s="144">
        <v>0</v>
      </c>
      <c r="H224" s="144">
        <v>0</v>
      </c>
      <c r="I224" s="144">
        <v>0</v>
      </c>
      <c r="J224" s="144">
        <v>0</v>
      </c>
      <c r="K224" s="144">
        <v>0</v>
      </c>
      <c r="L224" s="144">
        <v>0</v>
      </c>
      <c r="M224" s="144">
        <v>0</v>
      </c>
      <c r="N224" s="144">
        <v>0</v>
      </c>
      <c r="O224" s="144">
        <v>0</v>
      </c>
      <c r="P224" s="144">
        <v>0</v>
      </c>
      <c r="Q224" s="144">
        <v>0</v>
      </c>
      <c r="R224" s="145">
        <v>0</v>
      </c>
      <c r="U224" s="9">
        <f t="shared" si="50"/>
        <v>3</v>
      </c>
      <c r="V224" s="7" t="str">
        <f t="shared" si="37"/>
        <v>0000</v>
      </c>
      <c r="W224" s="7" t="str">
        <f t="shared" si="38"/>
        <v>0000</v>
      </c>
      <c r="X224" s="7" t="str">
        <f t="shared" si="39"/>
        <v>0000</v>
      </c>
      <c r="Y224" s="7" t="str">
        <f t="shared" si="40"/>
        <v>0000</v>
      </c>
    </row>
    <row r="225" spans="1:25" s="81" customFormat="1" ht="14.1" customHeight="1">
      <c r="A225" s="80"/>
      <c r="B225" s="84">
        <v>4</v>
      </c>
      <c r="C225" s="143">
        <v>0</v>
      </c>
      <c r="D225" s="144">
        <v>0</v>
      </c>
      <c r="E225" s="144">
        <v>0</v>
      </c>
      <c r="F225" s="144">
        <v>0</v>
      </c>
      <c r="G225" s="144">
        <v>0</v>
      </c>
      <c r="H225" s="144">
        <v>0</v>
      </c>
      <c r="I225" s="144">
        <v>0</v>
      </c>
      <c r="J225" s="144">
        <v>0</v>
      </c>
      <c r="K225" s="144">
        <v>0</v>
      </c>
      <c r="L225" s="144">
        <v>0</v>
      </c>
      <c r="M225" s="144">
        <v>0</v>
      </c>
      <c r="N225" s="144">
        <v>0</v>
      </c>
      <c r="O225" s="144">
        <v>0</v>
      </c>
      <c r="P225" s="144">
        <v>0</v>
      </c>
      <c r="Q225" s="144">
        <v>0</v>
      </c>
      <c r="R225" s="145">
        <v>0</v>
      </c>
      <c r="U225" s="9">
        <f t="shared" si="50"/>
        <v>4</v>
      </c>
      <c r="V225" s="7" t="str">
        <f t="shared" si="37"/>
        <v>0000</v>
      </c>
      <c r="W225" s="7" t="str">
        <f t="shared" si="38"/>
        <v>0000</v>
      </c>
      <c r="X225" s="7" t="str">
        <f t="shared" si="39"/>
        <v>0000</v>
      </c>
      <c r="Y225" s="7" t="str">
        <f t="shared" si="40"/>
        <v>0000</v>
      </c>
    </row>
    <row r="226" spans="1:25" s="81" customFormat="1" ht="14.1" customHeight="1">
      <c r="A226" s="80"/>
      <c r="B226" s="84">
        <v>5</v>
      </c>
      <c r="C226" s="143">
        <v>0</v>
      </c>
      <c r="D226" s="144">
        <v>0</v>
      </c>
      <c r="E226" s="144">
        <v>0</v>
      </c>
      <c r="F226" s="144">
        <v>0</v>
      </c>
      <c r="G226" s="144">
        <v>0</v>
      </c>
      <c r="H226" s="144">
        <v>0</v>
      </c>
      <c r="I226" s="144">
        <v>0</v>
      </c>
      <c r="J226" s="144">
        <v>0</v>
      </c>
      <c r="K226" s="144">
        <v>0</v>
      </c>
      <c r="L226" s="144">
        <v>0</v>
      </c>
      <c r="M226" s="144">
        <v>0</v>
      </c>
      <c r="N226" s="144">
        <v>0</v>
      </c>
      <c r="O226" s="144">
        <v>0</v>
      </c>
      <c r="P226" s="144">
        <v>0</v>
      </c>
      <c r="Q226" s="144">
        <v>0</v>
      </c>
      <c r="R226" s="145">
        <v>0</v>
      </c>
      <c r="U226" s="9">
        <f t="shared" si="50"/>
        <v>5</v>
      </c>
      <c r="V226" s="7" t="str">
        <f t="shared" si="37"/>
        <v>0000</v>
      </c>
      <c r="W226" s="7" t="str">
        <f t="shared" si="38"/>
        <v>0000</v>
      </c>
      <c r="X226" s="7" t="str">
        <f t="shared" si="39"/>
        <v>0000</v>
      </c>
      <c r="Y226" s="7" t="str">
        <f t="shared" si="40"/>
        <v>0000</v>
      </c>
    </row>
    <row r="227" spans="1:25" s="81" customFormat="1" ht="14.1" customHeight="1">
      <c r="A227" s="80"/>
      <c r="B227" s="84">
        <v>6</v>
      </c>
      <c r="C227" s="143">
        <v>0</v>
      </c>
      <c r="D227" s="144">
        <v>0</v>
      </c>
      <c r="E227" s="144">
        <v>0</v>
      </c>
      <c r="F227" s="144">
        <v>0</v>
      </c>
      <c r="G227" s="144">
        <v>0</v>
      </c>
      <c r="H227" s="144">
        <v>0</v>
      </c>
      <c r="I227" s="144">
        <v>0</v>
      </c>
      <c r="J227" s="144">
        <v>7</v>
      </c>
      <c r="K227" s="144">
        <v>7</v>
      </c>
      <c r="L227" s="144">
        <v>0</v>
      </c>
      <c r="M227" s="144">
        <v>0</v>
      </c>
      <c r="N227" s="144">
        <v>0</v>
      </c>
      <c r="O227" s="144">
        <v>0</v>
      </c>
      <c r="P227" s="144">
        <v>0</v>
      </c>
      <c r="Q227" s="144">
        <v>0</v>
      </c>
      <c r="R227" s="145">
        <v>0</v>
      </c>
      <c r="U227" s="9">
        <f t="shared" si="50"/>
        <v>6</v>
      </c>
      <c r="V227" s="7" t="str">
        <f t="shared" si="37"/>
        <v>0000</v>
      </c>
      <c r="W227" s="7" t="str">
        <f t="shared" si="38"/>
        <v>0007</v>
      </c>
      <c r="X227" s="7" t="str">
        <f t="shared" si="39"/>
        <v>7000</v>
      </c>
      <c r="Y227" s="7" t="str">
        <f t="shared" si="40"/>
        <v>0000</v>
      </c>
    </row>
    <row r="228" spans="1:25" s="81" customFormat="1" ht="14.1" customHeight="1">
      <c r="A228" s="80"/>
      <c r="B228" s="84">
        <v>7</v>
      </c>
      <c r="C228" s="143">
        <v>0</v>
      </c>
      <c r="D228" s="144">
        <v>0</v>
      </c>
      <c r="E228" s="144">
        <v>0</v>
      </c>
      <c r="F228" s="144">
        <v>0</v>
      </c>
      <c r="G228" s="144">
        <v>0</v>
      </c>
      <c r="H228" s="144">
        <v>0</v>
      </c>
      <c r="I228" s="144">
        <v>0</v>
      </c>
      <c r="J228" s="144">
        <v>7</v>
      </c>
      <c r="K228" s="144">
        <v>7</v>
      </c>
      <c r="L228" s="144">
        <v>0</v>
      </c>
      <c r="M228" s="144">
        <v>0</v>
      </c>
      <c r="N228" s="144">
        <v>0</v>
      </c>
      <c r="O228" s="144">
        <v>0</v>
      </c>
      <c r="P228" s="144">
        <v>0</v>
      </c>
      <c r="Q228" s="144">
        <v>0</v>
      </c>
      <c r="R228" s="145">
        <v>0</v>
      </c>
      <c r="U228" s="9">
        <f t="shared" si="50"/>
        <v>7</v>
      </c>
      <c r="V228" s="7" t="str">
        <f t="shared" si="37"/>
        <v>0000</v>
      </c>
      <c r="W228" s="7" t="str">
        <f t="shared" si="38"/>
        <v>0007</v>
      </c>
      <c r="X228" s="7" t="str">
        <f t="shared" si="39"/>
        <v>7000</v>
      </c>
      <c r="Y228" s="7" t="str">
        <f t="shared" si="40"/>
        <v>0000</v>
      </c>
    </row>
    <row r="229" spans="1:25" s="81" customFormat="1" ht="14.1" customHeight="1">
      <c r="A229" s="80"/>
      <c r="B229" s="84">
        <v>8</v>
      </c>
      <c r="C229" s="143">
        <v>0</v>
      </c>
      <c r="D229" s="144">
        <v>0</v>
      </c>
      <c r="E229" s="144">
        <v>0</v>
      </c>
      <c r="F229" s="144">
        <v>0</v>
      </c>
      <c r="G229" s="144">
        <v>0</v>
      </c>
      <c r="H229" s="144">
        <v>7</v>
      </c>
      <c r="I229" s="144">
        <v>7</v>
      </c>
      <c r="J229" s="144">
        <v>7</v>
      </c>
      <c r="K229" s="144">
        <v>7</v>
      </c>
      <c r="L229" s="144">
        <v>7</v>
      </c>
      <c r="M229" s="144">
        <v>7</v>
      </c>
      <c r="N229" s="144">
        <v>0</v>
      </c>
      <c r="O229" s="144">
        <v>0</v>
      </c>
      <c r="P229" s="144">
        <v>0</v>
      </c>
      <c r="Q229" s="144">
        <v>0</v>
      </c>
      <c r="R229" s="145">
        <v>0</v>
      </c>
      <c r="U229" s="9">
        <f t="shared" si="50"/>
        <v>8</v>
      </c>
      <c r="V229" s="7" t="str">
        <f t="shared" ref="V229:V288" si="51">DEC2HEX(C229)&amp;DEC2HEX(D229)&amp;DEC2HEX(E229)&amp;DEC2HEX(F229)</f>
        <v>0000</v>
      </c>
      <c r="W229" s="7" t="str">
        <f t="shared" ref="W229:W288" si="52">DEC2HEX(G229)&amp;DEC2HEX(H229)&amp;DEC2HEX(I229)&amp;DEC2HEX(J229)</f>
        <v>0777</v>
      </c>
      <c r="X229" s="7" t="str">
        <f t="shared" ref="X229:X288" si="53">DEC2HEX(K229)&amp;DEC2HEX(L229)&amp;DEC2HEX(M229)&amp;DEC2HEX(N229)</f>
        <v>7770</v>
      </c>
      <c r="Y229" s="7" t="str">
        <f t="shared" ref="Y229:Y288" si="54">DEC2HEX(O229)&amp;DEC2HEX(P229)&amp;DEC2HEX(Q229)&amp;DEC2HEX(R229)</f>
        <v>0000</v>
      </c>
    </row>
    <row r="230" spans="1:25" s="81" customFormat="1" ht="14.1" customHeight="1">
      <c r="A230" s="80"/>
      <c r="B230" s="84">
        <v>9</v>
      </c>
      <c r="C230" s="143">
        <v>0</v>
      </c>
      <c r="D230" s="144">
        <v>0</v>
      </c>
      <c r="E230" s="144">
        <v>0</v>
      </c>
      <c r="F230" s="144">
        <v>0</v>
      </c>
      <c r="G230" s="144">
        <v>0</v>
      </c>
      <c r="H230" s="144">
        <v>7</v>
      </c>
      <c r="I230" s="144">
        <v>7</v>
      </c>
      <c r="J230" s="144">
        <v>7</v>
      </c>
      <c r="K230" s="144">
        <v>7</v>
      </c>
      <c r="L230" s="144">
        <v>7</v>
      </c>
      <c r="M230" s="144">
        <v>7</v>
      </c>
      <c r="N230" s="144">
        <v>0</v>
      </c>
      <c r="O230" s="144">
        <v>0</v>
      </c>
      <c r="P230" s="144">
        <v>0</v>
      </c>
      <c r="Q230" s="144">
        <v>0</v>
      </c>
      <c r="R230" s="145">
        <v>0</v>
      </c>
      <c r="U230" s="9">
        <f t="shared" si="50"/>
        <v>9</v>
      </c>
      <c r="V230" s="7" t="str">
        <f t="shared" si="51"/>
        <v>0000</v>
      </c>
      <c r="W230" s="7" t="str">
        <f t="shared" si="52"/>
        <v>0777</v>
      </c>
      <c r="X230" s="7" t="str">
        <f t="shared" si="53"/>
        <v>7770</v>
      </c>
      <c r="Y230" s="7" t="str">
        <f t="shared" si="54"/>
        <v>0000</v>
      </c>
    </row>
    <row r="231" spans="1:25" s="81" customFormat="1" ht="14.1" customHeight="1">
      <c r="A231" s="80"/>
      <c r="B231" s="84">
        <v>10</v>
      </c>
      <c r="C231" s="143">
        <v>0</v>
      </c>
      <c r="D231" s="144">
        <v>0</v>
      </c>
      <c r="E231" s="144">
        <v>0</v>
      </c>
      <c r="F231" s="144">
        <v>0</v>
      </c>
      <c r="G231" s="144">
        <v>7</v>
      </c>
      <c r="H231" s="144">
        <v>7</v>
      </c>
      <c r="I231" s="144">
        <v>11</v>
      </c>
      <c r="J231" s="144">
        <v>11</v>
      </c>
      <c r="K231" s="144">
        <v>11</v>
      </c>
      <c r="L231" s="144">
        <v>11</v>
      </c>
      <c r="M231" s="144">
        <v>7</v>
      </c>
      <c r="N231" s="144">
        <v>7</v>
      </c>
      <c r="O231" s="144">
        <v>0</v>
      </c>
      <c r="P231" s="144">
        <v>0</v>
      </c>
      <c r="Q231" s="144">
        <v>0</v>
      </c>
      <c r="R231" s="145">
        <v>0</v>
      </c>
      <c r="U231" s="9">
        <f t="shared" si="50"/>
        <v>10</v>
      </c>
      <c r="V231" s="7" t="str">
        <f t="shared" si="51"/>
        <v>0000</v>
      </c>
      <c r="W231" s="7" t="str">
        <f t="shared" si="52"/>
        <v>77BB</v>
      </c>
      <c r="X231" s="7" t="str">
        <f t="shared" si="53"/>
        <v>BB77</v>
      </c>
      <c r="Y231" s="7" t="str">
        <f t="shared" si="54"/>
        <v>0000</v>
      </c>
    </row>
    <row r="232" spans="1:25" s="81" customFormat="1" ht="14.1" customHeight="1">
      <c r="A232" s="80"/>
      <c r="B232" s="84">
        <v>11</v>
      </c>
      <c r="C232" s="143">
        <v>0</v>
      </c>
      <c r="D232" s="144">
        <v>0</v>
      </c>
      <c r="E232" s="144">
        <v>0</v>
      </c>
      <c r="F232" s="144">
        <v>0</v>
      </c>
      <c r="G232" s="144">
        <v>7</v>
      </c>
      <c r="H232" s="144">
        <v>7</v>
      </c>
      <c r="I232" s="144">
        <v>11</v>
      </c>
      <c r="J232" s="144">
        <v>11</v>
      </c>
      <c r="K232" s="144">
        <v>11</v>
      </c>
      <c r="L232" s="144">
        <v>11</v>
      </c>
      <c r="M232" s="144">
        <v>7</v>
      </c>
      <c r="N232" s="144">
        <v>7</v>
      </c>
      <c r="O232" s="144">
        <v>0</v>
      </c>
      <c r="P232" s="144">
        <v>0</v>
      </c>
      <c r="Q232" s="144">
        <v>0</v>
      </c>
      <c r="R232" s="145">
        <v>0</v>
      </c>
      <c r="U232" s="9">
        <f t="shared" si="50"/>
        <v>11</v>
      </c>
      <c r="V232" s="7" t="str">
        <f t="shared" si="51"/>
        <v>0000</v>
      </c>
      <c r="W232" s="7" t="str">
        <f t="shared" si="52"/>
        <v>77BB</v>
      </c>
      <c r="X232" s="7" t="str">
        <f t="shared" si="53"/>
        <v>BB77</v>
      </c>
      <c r="Y232" s="7" t="str">
        <f t="shared" si="54"/>
        <v>0000</v>
      </c>
    </row>
    <row r="233" spans="1:25" s="81" customFormat="1" ht="14.1" customHeight="1">
      <c r="A233" s="80"/>
      <c r="B233" s="84">
        <v>12</v>
      </c>
      <c r="C233" s="143">
        <v>0</v>
      </c>
      <c r="D233" s="144">
        <v>0</v>
      </c>
      <c r="E233" s="144">
        <v>0</v>
      </c>
      <c r="F233" s="144">
        <v>0</v>
      </c>
      <c r="G233" s="144">
        <v>7</v>
      </c>
      <c r="H233" s="144">
        <v>11</v>
      </c>
      <c r="I233" s="144">
        <v>13</v>
      </c>
      <c r="J233" s="144">
        <v>13</v>
      </c>
      <c r="K233" s="144">
        <v>13</v>
      </c>
      <c r="L233" s="144">
        <v>13</v>
      </c>
      <c r="M233" s="144">
        <v>11</v>
      </c>
      <c r="N233" s="144">
        <v>7</v>
      </c>
      <c r="O233" s="144">
        <v>0</v>
      </c>
      <c r="P233" s="144">
        <v>0</v>
      </c>
      <c r="Q233" s="144">
        <v>0</v>
      </c>
      <c r="R233" s="145">
        <v>0</v>
      </c>
      <c r="U233" s="9">
        <f t="shared" si="50"/>
        <v>12</v>
      </c>
      <c r="V233" s="7" t="str">
        <f t="shared" si="51"/>
        <v>0000</v>
      </c>
      <c r="W233" s="7" t="str">
        <f t="shared" si="52"/>
        <v>7BDD</v>
      </c>
      <c r="X233" s="7" t="str">
        <f t="shared" si="53"/>
        <v>DDB7</v>
      </c>
      <c r="Y233" s="7" t="str">
        <f t="shared" si="54"/>
        <v>0000</v>
      </c>
    </row>
    <row r="234" spans="1:25" s="81" customFormat="1" ht="14.1" customHeight="1">
      <c r="A234" s="80"/>
      <c r="B234" s="84">
        <v>13</v>
      </c>
      <c r="C234" s="143">
        <v>0</v>
      </c>
      <c r="D234" s="144">
        <v>0</v>
      </c>
      <c r="E234" s="144">
        <v>0</v>
      </c>
      <c r="F234" s="144">
        <v>0</v>
      </c>
      <c r="G234" s="144">
        <v>7</v>
      </c>
      <c r="H234" s="144">
        <v>11</v>
      </c>
      <c r="I234" s="144">
        <v>13</v>
      </c>
      <c r="J234" s="144">
        <v>13</v>
      </c>
      <c r="K234" s="144">
        <v>13</v>
      </c>
      <c r="L234" s="144">
        <v>13</v>
      </c>
      <c r="M234" s="144">
        <v>11</v>
      </c>
      <c r="N234" s="144">
        <v>7</v>
      </c>
      <c r="O234" s="144">
        <v>0</v>
      </c>
      <c r="P234" s="144">
        <v>0</v>
      </c>
      <c r="Q234" s="144">
        <v>0</v>
      </c>
      <c r="R234" s="145">
        <v>0</v>
      </c>
      <c r="U234" s="9">
        <f t="shared" si="50"/>
        <v>13</v>
      </c>
      <c r="V234" s="7" t="str">
        <f t="shared" si="51"/>
        <v>0000</v>
      </c>
      <c r="W234" s="7" t="str">
        <f t="shared" si="52"/>
        <v>7BDD</v>
      </c>
      <c r="X234" s="7" t="str">
        <f t="shared" si="53"/>
        <v>DDB7</v>
      </c>
      <c r="Y234" s="7" t="str">
        <f t="shared" si="54"/>
        <v>0000</v>
      </c>
    </row>
    <row r="235" spans="1:25" s="81" customFormat="1" ht="14.1" customHeight="1">
      <c r="A235" s="80"/>
      <c r="B235" s="84">
        <v>14</v>
      </c>
      <c r="C235" s="143">
        <v>0</v>
      </c>
      <c r="D235" s="144">
        <v>0</v>
      </c>
      <c r="E235" s="144">
        <v>0</v>
      </c>
      <c r="F235" s="144">
        <v>7</v>
      </c>
      <c r="G235" s="144">
        <v>7</v>
      </c>
      <c r="H235" s="144">
        <v>11</v>
      </c>
      <c r="I235" s="144">
        <v>13</v>
      </c>
      <c r="J235" s="144">
        <v>15</v>
      </c>
      <c r="K235" s="144">
        <v>15</v>
      </c>
      <c r="L235" s="144">
        <v>13</v>
      </c>
      <c r="M235" s="144">
        <v>11</v>
      </c>
      <c r="N235" s="144">
        <v>7</v>
      </c>
      <c r="O235" s="144">
        <v>7</v>
      </c>
      <c r="P235" s="144">
        <v>0</v>
      </c>
      <c r="Q235" s="144">
        <v>0</v>
      </c>
      <c r="R235" s="145">
        <v>0</v>
      </c>
      <c r="U235" s="9">
        <f t="shared" si="50"/>
        <v>14</v>
      </c>
      <c r="V235" s="7" t="str">
        <f t="shared" si="51"/>
        <v>0007</v>
      </c>
      <c r="W235" s="7" t="str">
        <f t="shared" si="52"/>
        <v>7BDF</v>
      </c>
      <c r="X235" s="7" t="str">
        <f t="shared" si="53"/>
        <v>FDB7</v>
      </c>
      <c r="Y235" s="7" t="str">
        <f t="shared" si="54"/>
        <v>7000</v>
      </c>
    </row>
    <row r="236" spans="1:25" s="81" customFormat="1" ht="14.1" customHeight="1">
      <c r="A236" s="80"/>
      <c r="B236" s="84">
        <v>15</v>
      </c>
      <c r="C236" s="143">
        <v>0</v>
      </c>
      <c r="D236" s="144">
        <v>0</v>
      </c>
      <c r="E236" s="144">
        <v>0</v>
      </c>
      <c r="F236" s="144">
        <v>7</v>
      </c>
      <c r="G236" s="144">
        <v>7</v>
      </c>
      <c r="H236" s="144">
        <v>11</v>
      </c>
      <c r="I236" s="144">
        <v>13</v>
      </c>
      <c r="J236" s="144">
        <v>15</v>
      </c>
      <c r="K236" s="144">
        <v>15</v>
      </c>
      <c r="L236" s="144">
        <v>13</v>
      </c>
      <c r="M236" s="144">
        <v>11</v>
      </c>
      <c r="N236" s="144">
        <v>7</v>
      </c>
      <c r="O236" s="144">
        <v>7</v>
      </c>
      <c r="P236" s="144">
        <v>0</v>
      </c>
      <c r="Q236" s="144">
        <v>0</v>
      </c>
      <c r="R236" s="145">
        <v>0</v>
      </c>
      <c r="U236" s="9">
        <f t="shared" si="50"/>
        <v>15</v>
      </c>
      <c r="V236" s="7" t="str">
        <f t="shared" si="51"/>
        <v>0007</v>
      </c>
      <c r="W236" s="7" t="str">
        <f t="shared" si="52"/>
        <v>7BDF</v>
      </c>
      <c r="X236" s="7" t="str">
        <f t="shared" si="53"/>
        <v>FDB7</v>
      </c>
      <c r="Y236" s="7" t="str">
        <f t="shared" si="54"/>
        <v>7000</v>
      </c>
    </row>
    <row r="237" spans="1:25" s="81" customFormat="1" ht="14.1" customHeight="1">
      <c r="A237" s="80"/>
      <c r="B237" s="84">
        <v>16</v>
      </c>
      <c r="C237" s="138">
        <v>0</v>
      </c>
      <c r="D237" s="144">
        <v>0</v>
      </c>
      <c r="E237" s="144">
        <v>0</v>
      </c>
      <c r="F237" s="146">
        <v>7</v>
      </c>
      <c r="G237" s="146">
        <v>7</v>
      </c>
      <c r="H237" s="146">
        <v>11</v>
      </c>
      <c r="I237" s="144">
        <v>13</v>
      </c>
      <c r="J237" s="144">
        <v>15</v>
      </c>
      <c r="K237" s="144">
        <v>15</v>
      </c>
      <c r="L237" s="144">
        <v>13</v>
      </c>
      <c r="M237" s="146">
        <v>11</v>
      </c>
      <c r="N237" s="146">
        <v>7</v>
      </c>
      <c r="O237" s="146">
        <v>7</v>
      </c>
      <c r="P237" s="144">
        <v>0</v>
      </c>
      <c r="Q237" s="144">
        <v>0</v>
      </c>
      <c r="R237" s="139">
        <v>0</v>
      </c>
      <c r="U237" s="9">
        <f t="shared" si="50"/>
        <v>16</v>
      </c>
      <c r="V237" s="7" t="str">
        <f t="shared" si="51"/>
        <v>0007</v>
      </c>
      <c r="W237" s="7" t="str">
        <f t="shared" si="52"/>
        <v>7BDF</v>
      </c>
      <c r="X237" s="7" t="str">
        <f t="shared" si="53"/>
        <v>FDB7</v>
      </c>
      <c r="Y237" s="7" t="str">
        <f t="shared" si="54"/>
        <v>7000</v>
      </c>
    </row>
    <row r="238" spans="1:25" s="81" customFormat="1" ht="14.1" customHeight="1">
      <c r="A238" s="80"/>
      <c r="B238" s="84">
        <v>17</v>
      </c>
      <c r="C238" s="143">
        <v>0</v>
      </c>
      <c r="D238" s="144">
        <v>0</v>
      </c>
      <c r="E238" s="144">
        <v>0</v>
      </c>
      <c r="F238" s="144">
        <v>7</v>
      </c>
      <c r="G238" s="144">
        <v>7</v>
      </c>
      <c r="H238" s="144">
        <v>11</v>
      </c>
      <c r="I238" s="144">
        <v>13</v>
      </c>
      <c r="J238" s="144">
        <v>15</v>
      </c>
      <c r="K238" s="144">
        <v>15</v>
      </c>
      <c r="L238" s="144">
        <v>13</v>
      </c>
      <c r="M238" s="144">
        <v>11</v>
      </c>
      <c r="N238" s="144">
        <v>7</v>
      </c>
      <c r="O238" s="144">
        <v>7</v>
      </c>
      <c r="P238" s="144">
        <v>0</v>
      </c>
      <c r="Q238" s="144">
        <v>0</v>
      </c>
      <c r="R238" s="145">
        <v>0</v>
      </c>
      <c r="U238" s="9">
        <f t="shared" si="50"/>
        <v>17</v>
      </c>
      <c r="V238" s="7" t="str">
        <f t="shared" si="51"/>
        <v>0007</v>
      </c>
      <c r="W238" s="7" t="str">
        <f t="shared" si="52"/>
        <v>7BDF</v>
      </c>
      <c r="X238" s="7" t="str">
        <f t="shared" si="53"/>
        <v>FDB7</v>
      </c>
      <c r="Y238" s="7" t="str">
        <f t="shared" si="54"/>
        <v>7000</v>
      </c>
    </row>
    <row r="239" spans="1:25" s="81" customFormat="1" ht="14.1" customHeight="1">
      <c r="A239" s="80"/>
      <c r="B239" s="84">
        <v>18</v>
      </c>
      <c r="C239" s="143">
        <v>0</v>
      </c>
      <c r="D239" s="144">
        <v>0</v>
      </c>
      <c r="E239" s="144">
        <v>0</v>
      </c>
      <c r="F239" s="144">
        <v>0</v>
      </c>
      <c r="G239" s="144">
        <v>7</v>
      </c>
      <c r="H239" s="144">
        <v>11</v>
      </c>
      <c r="I239" s="144">
        <v>13</v>
      </c>
      <c r="J239" s="144">
        <v>13</v>
      </c>
      <c r="K239" s="144">
        <v>13</v>
      </c>
      <c r="L239" s="144">
        <v>13</v>
      </c>
      <c r="M239" s="144">
        <v>11</v>
      </c>
      <c r="N239" s="144">
        <v>7</v>
      </c>
      <c r="O239" s="144">
        <v>0</v>
      </c>
      <c r="P239" s="144">
        <v>0</v>
      </c>
      <c r="Q239" s="144">
        <v>0</v>
      </c>
      <c r="R239" s="145">
        <v>0</v>
      </c>
      <c r="U239" s="9">
        <f t="shared" si="50"/>
        <v>18</v>
      </c>
      <c r="V239" s="7" t="str">
        <f t="shared" si="51"/>
        <v>0000</v>
      </c>
      <c r="W239" s="7" t="str">
        <f t="shared" si="52"/>
        <v>7BDD</v>
      </c>
      <c r="X239" s="7" t="str">
        <f t="shared" si="53"/>
        <v>DDB7</v>
      </c>
      <c r="Y239" s="7" t="str">
        <f t="shared" si="54"/>
        <v>0000</v>
      </c>
    </row>
    <row r="240" spans="1:25" s="81" customFormat="1" ht="14.1" customHeight="1">
      <c r="A240" s="80"/>
      <c r="B240" s="84">
        <v>19</v>
      </c>
      <c r="C240" s="143">
        <v>0</v>
      </c>
      <c r="D240" s="144">
        <v>0</v>
      </c>
      <c r="E240" s="144">
        <v>0</v>
      </c>
      <c r="F240" s="144">
        <v>0</v>
      </c>
      <c r="G240" s="144">
        <v>7</v>
      </c>
      <c r="H240" s="144">
        <v>11</v>
      </c>
      <c r="I240" s="144">
        <v>13</v>
      </c>
      <c r="J240" s="144">
        <v>13</v>
      </c>
      <c r="K240" s="144">
        <v>13</v>
      </c>
      <c r="L240" s="144">
        <v>13</v>
      </c>
      <c r="M240" s="144">
        <v>11</v>
      </c>
      <c r="N240" s="144">
        <v>7</v>
      </c>
      <c r="O240" s="144">
        <v>0</v>
      </c>
      <c r="P240" s="144">
        <v>0</v>
      </c>
      <c r="Q240" s="144">
        <v>0</v>
      </c>
      <c r="R240" s="145">
        <v>0</v>
      </c>
      <c r="U240" s="9">
        <f t="shared" si="50"/>
        <v>19</v>
      </c>
      <c r="V240" s="7" t="str">
        <f t="shared" si="51"/>
        <v>0000</v>
      </c>
      <c r="W240" s="7" t="str">
        <f t="shared" si="52"/>
        <v>7BDD</v>
      </c>
      <c r="X240" s="7" t="str">
        <f t="shared" si="53"/>
        <v>DDB7</v>
      </c>
      <c r="Y240" s="7" t="str">
        <f t="shared" si="54"/>
        <v>0000</v>
      </c>
    </row>
    <row r="241" spans="1:25" s="81" customFormat="1" ht="14.1" customHeight="1">
      <c r="A241" s="80"/>
      <c r="B241" s="84">
        <v>20</v>
      </c>
      <c r="C241" s="143">
        <v>0</v>
      </c>
      <c r="D241" s="144">
        <v>0</v>
      </c>
      <c r="E241" s="144">
        <v>0</v>
      </c>
      <c r="F241" s="144">
        <v>0</v>
      </c>
      <c r="G241" s="144">
        <v>7</v>
      </c>
      <c r="H241" s="144">
        <v>7</v>
      </c>
      <c r="I241" s="144">
        <v>11</v>
      </c>
      <c r="J241" s="144">
        <v>11</v>
      </c>
      <c r="K241" s="144">
        <v>11</v>
      </c>
      <c r="L241" s="144">
        <v>11</v>
      </c>
      <c r="M241" s="144">
        <v>7</v>
      </c>
      <c r="N241" s="144">
        <v>7</v>
      </c>
      <c r="O241" s="144">
        <v>0</v>
      </c>
      <c r="P241" s="144">
        <v>0</v>
      </c>
      <c r="Q241" s="144">
        <v>0</v>
      </c>
      <c r="R241" s="145">
        <v>0</v>
      </c>
      <c r="U241" s="9">
        <f t="shared" si="50"/>
        <v>20</v>
      </c>
      <c r="V241" s="7" t="str">
        <f t="shared" si="51"/>
        <v>0000</v>
      </c>
      <c r="W241" s="7" t="str">
        <f t="shared" si="52"/>
        <v>77BB</v>
      </c>
      <c r="X241" s="7" t="str">
        <f t="shared" si="53"/>
        <v>BB77</v>
      </c>
      <c r="Y241" s="7" t="str">
        <f t="shared" si="54"/>
        <v>0000</v>
      </c>
    </row>
    <row r="242" spans="1:25" s="81" customFormat="1" ht="14.1" customHeight="1">
      <c r="A242" s="80"/>
      <c r="B242" s="84">
        <v>21</v>
      </c>
      <c r="C242" s="143">
        <v>0</v>
      </c>
      <c r="D242" s="144">
        <v>0</v>
      </c>
      <c r="E242" s="144">
        <v>0</v>
      </c>
      <c r="F242" s="144">
        <v>0</v>
      </c>
      <c r="G242" s="144">
        <v>7</v>
      </c>
      <c r="H242" s="144">
        <v>7</v>
      </c>
      <c r="I242" s="144">
        <v>11</v>
      </c>
      <c r="J242" s="144">
        <v>11</v>
      </c>
      <c r="K242" s="144">
        <v>11</v>
      </c>
      <c r="L242" s="144">
        <v>11</v>
      </c>
      <c r="M242" s="144">
        <v>7</v>
      </c>
      <c r="N242" s="144">
        <v>7</v>
      </c>
      <c r="O242" s="144">
        <v>0</v>
      </c>
      <c r="P242" s="144">
        <v>0</v>
      </c>
      <c r="Q242" s="144">
        <v>0</v>
      </c>
      <c r="R242" s="145">
        <v>0</v>
      </c>
      <c r="U242" s="9">
        <f t="shared" si="50"/>
        <v>21</v>
      </c>
      <c r="V242" s="7" t="str">
        <f t="shared" si="51"/>
        <v>0000</v>
      </c>
      <c r="W242" s="7" t="str">
        <f t="shared" si="52"/>
        <v>77BB</v>
      </c>
      <c r="X242" s="7" t="str">
        <f t="shared" si="53"/>
        <v>BB77</v>
      </c>
      <c r="Y242" s="7" t="str">
        <f t="shared" si="54"/>
        <v>0000</v>
      </c>
    </row>
    <row r="243" spans="1:25" s="81" customFormat="1" ht="14.1" customHeight="1">
      <c r="A243" s="80"/>
      <c r="B243" s="84">
        <v>22</v>
      </c>
      <c r="C243" s="143">
        <v>0</v>
      </c>
      <c r="D243" s="144">
        <v>0</v>
      </c>
      <c r="E243" s="144">
        <v>0</v>
      </c>
      <c r="F243" s="144">
        <v>0</v>
      </c>
      <c r="G243" s="144">
        <v>0</v>
      </c>
      <c r="H243" s="144">
        <v>7</v>
      </c>
      <c r="I243" s="144">
        <v>7</v>
      </c>
      <c r="J243" s="144">
        <v>7</v>
      </c>
      <c r="K243" s="144">
        <v>7</v>
      </c>
      <c r="L243" s="144">
        <v>7</v>
      </c>
      <c r="M243" s="144">
        <v>7</v>
      </c>
      <c r="N243" s="144">
        <v>0</v>
      </c>
      <c r="O243" s="144">
        <v>0</v>
      </c>
      <c r="P243" s="144">
        <v>0</v>
      </c>
      <c r="Q243" s="144">
        <v>0</v>
      </c>
      <c r="R243" s="145">
        <v>0</v>
      </c>
      <c r="U243" s="9">
        <f t="shared" si="50"/>
        <v>22</v>
      </c>
      <c r="V243" s="7" t="str">
        <f t="shared" si="51"/>
        <v>0000</v>
      </c>
      <c r="W243" s="7" t="str">
        <f t="shared" si="52"/>
        <v>0777</v>
      </c>
      <c r="X243" s="7" t="str">
        <f t="shared" si="53"/>
        <v>7770</v>
      </c>
      <c r="Y243" s="7" t="str">
        <f t="shared" si="54"/>
        <v>0000</v>
      </c>
    </row>
    <row r="244" spans="1:25" s="81" customFormat="1" ht="14.1" customHeight="1">
      <c r="A244" s="80"/>
      <c r="B244" s="84">
        <v>23</v>
      </c>
      <c r="C244" s="143">
        <v>0</v>
      </c>
      <c r="D244" s="144">
        <v>0</v>
      </c>
      <c r="E244" s="144">
        <v>0</v>
      </c>
      <c r="F244" s="144">
        <v>0</v>
      </c>
      <c r="G244" s="144">
        <v>0</v>
      </c>
      <c r="H244" s="144">
        <v>7</v>
      </c>
      <c r="I244" s="144">
        <v>7</v>
      </c>
      <c r="J244" s="144">
        <v>7</v>
      </c>
      <c r="K244" s="144">
        <v>7</v>
      </c>
      <c r="L244" s="144">
        <v>7</v>
      </c>
      <c r="M244" s="144">
        <v>7</v>
      </c>
      <c r="N244" s="144">
        <v>0</v>
      </c>
      <c r="O244" s="144">
        <v>0</v>
      </c>
      <c r="P244" s="144">
        <v>0</v>
      </c>
      <c r="Q244" s="144">
        <v>0</v>
      </c>
      <c r="R244" s="145">
        <v>0</v>
      </c>
      <c r="U244" s="9">
        <f t="shared" si="50"/>
        <v>23</v>
      </c>
      <c r="V244" s="7" t="str">
        <f t="shared" si="51"/>
        <v>0000</v>
      </c>
      <c r="W244" s="7" t="str">
        <f t="shared" si="52"/>
        <v>0777</v>
      </c>
      <c r="X244" s="7" t="str">
        <f t="shared" si="53"/>
        <v>7770</v>
      </c>
      <c r="Y244" s="7" t="str">
        <f t="shared" si="54"/>
        <v>0000</v>
      </c>
    </row>
    <row r="245" spans="1:25" s="81" customFormat="1" ht="14.1" customHeight="1">
      <c r="A245" s="80"/>
      <c r="B245" s="84">
        <v>24</v>
      </c>
      <c r="C245" s="143">
        <v>0</v>
      </c>
      <c r="D245" s="144">
        <v>0</v>
      </c>
      <c r="E245" s="144">
        <v>0</v>
      </c>
      <c r="F245" s="144">
        <v>0</v>
      </c>
      <c r="G245" s="144">
        <v>0</v>
      </c>
      <c r="H245" s="144">
        <v>0</v>
      </c>
      <c r="I245" s="144">
        <v>0</v>
      </c>
      <c r="J245" s="144">
        <v>7</v>
      </c>
      <c r="K245" s="144">
        <v>7</v>
      </c>
      <c r="L245" s="144">
        <v>0</v>
      </c>
      <c r="M245" s="144">
        <v>0</v>
      </c>
      <c r="N245" s="144">
        <v>0</v>
      </c>
      <c r="O245" s="144">
        <v>0</v>
      </c>
      <c r="P245" s="144">
        <v>0</v>
      </c>
      <c r="Q245" s="144">
        <v>0</v>
      </c>
      <c r="R245" s="145">
        <v>0</v>
      </c>
      <c r="U245" s="9">
        <f t="shared" si="50"/>
        <v>24</v>
      </c>
      <c r="V245" s="7" t="str">
        <f t="shared" si="51"/>
        <v>0000</v>
      </c>
      <c r="W245" s="7" t="str">
        <f t="shared" si="52"/>
        <v>0007</v>
      </c>
      <c r="X245" s="7" t="str">
        <f t="shared" si="53"/>
        <v>7000</v>
      </c>
      <c r="Y245" s="7" t="str">
        <f t="shared" si="54"/>
        <v>0000</v>
      </c>
    </row>
    <row r="246" spans="1:25" s="81" customFormat="1" ht="14.1" customHeight="1">
      <c r="A246" s="80"/>
      <c r="B246" s="84">
        <v>25</v>
      </c>
      <c r="C246" s="143">
        <v>0</v>
      </c>
      <c r="D246" s="144">
        <v>0</v>
      </c>
      <c r="E246" s="144">
        <v>0</v>
      </c>
      <c r="F246" s="144">
        <v>0</v>
      </c>
      <c r="G246" s="144">
        <v>0</v>
      </c>
      <c r="H246" s="144">
        <v>0</v>
      </c>
      <c r="I246" s="144">
        <v>0</v>
      </c>
      <c r="J246" s="144">
        <v>7</v>
      </c>
      <c r="K246" s="144">
        <v>7</v>
      </c>
      <c r="L246" s="144">
        <v>0</v>
      </c>
      <c r="M246" s="144">
        <v>0</v>
      </c>
      <c r="N246" s="144">
        <v>0</v>
      </c>
      <c r="O246" s="144">
        <v>0</v>
      </c>
      <c r="P246" s="144">
        <v>0</v>
      </c>
      <c r="Q246" s="144">
        <v>0</v>
      </c>
      <c r="R246" s="145">
        <v>0</v>
      </c>
      <c r="U246" s="9">
        <f t="shared" si="50"/>
        <v>25</v>
      </c>
      <c r="V246" s="7" t="str">
        <f t="shared" si="51"/>
        <v>0000</v>
      </c>
      <c r="W246" s="7" t="str">
        <f t="shared" si="52"/>
        <v>0007</v>
      </c>
      <c r="X246" s="7" t="str">
        <f t="shared" si="53"/>
        <v>7000</v>
      </c>
      <c r="Y246" s="7" t="str">
        <f t="shared" si="54"/>
        <v>0000</v>
      </c>
    </row>
    <row r="247" spans="1:25" s="81" customFormat="1" ht="14.1" customHeight="1">
      <c r="A247" s="80"/>
      <c r="B247" s="84">
        <v>26</v>
      </c>
      <c r="C247" s="143">
        <v>0</v>
      </c>
      <c r="D247" s="144">
        <v>0</v>
      </c>
      <c r="E247" s="144">
        <v>0</v>
      </c>
      <c r="F247" s="144">
        <v>0</v>
      </c>
      <c r="G247" s="144">
        <v>0</v>
      </c>
      <c r="H247" s="144">
        <v>0</v>
      </c>
      <c r="I247" s="144">
        <v>0</v>
      </c>
      <c r="J247" s="144">
        <v>0</v>
      </c>
      <c r="K247" s="144">
        <v>0</v>
      </c>
      <c r="L247" s="144">
        <v>0</v>
      </c>
      <c r="M247" s="144">
        <v>0</v>
      </c>
      <c r="N247" s="144">
        <v>0</v>
      </c>
      <c r="O247" s="144">
        <v>0</v>
      </c>
      <c r="P247" s="144">
        <v>0</v>
      </c>
      <c r="Q247" s="144">
        <v>0</v>
      </c>
      <c r="R247" s="145">
        <v>0</v>
      </c>
      <c r="U247" s="9">
        <f t="shared" si="50"/>
        <v>26</v>
      </c>
      <c r="V247" s="7" t="str">
        <f t="shared" si="51"/>
        <v>0000</v>
      </c>
      <c r="W247" s="7" t="str">
        <f t="shared" si="52"/>
        <v>0000</v>
      </c>
      <c r="X247" s="7" t="str">
        <f t="shared" si="53"/>
        <v>0000</v>
      </c>
      <c r="Y247" s="7" t="str">
        <f t="shared" si="54"/>
        <v>0000</v>
      </c>
    </row>
    <row r="248" spans="1:25" s="81" customFormat="1" ht="14.1" customHeight="1">
      <c r="A248" s="80"/>
      <c r="B248" s="84">
        <v>27</v>
      </c>
      <c r="C248" s="143">
        <v>0</v>
      </c>
      <c r="D248" s="144">
        <v>0</v>
      </c>
      <c r="E248" s="144">
        <v>0</v>
      </c>
      <c r="F248" s="144">
        <v>0</v>
      </c>
      <c r="G248" s="144">
        <v>0</v>
      </c>
      <c r="H248" s="144">
        <v>0</v>
      </c>
      <c r="I248" s="144">
        <v>0</v>
      </c>
      <c r="J248" s="144">
        <v>0</v>
      </c>
      <c r="K248" s="144">
        <v>0</v>
      </c>
      <c r="L248" s="144">
        <v>0</v>
      </c>
      <c r="M248" s="144">
        <v>0</v>
      </c>
      <c r="N248" s="144">
        <v>0</v>
      </c>
      <c r="O248" s="144">
        <v>0</v>
      </c>
      <c r="P248" s="144">
        <v>0</v>
      </c>
      <c r="Q248" s="144">
        <v>0</v>
      </c>
      <c r="R248" s="145">
        <v>0</v>
      </c>
      <c r="U248" s="9">
        <f t="shared" si="50"/>
        <v>27</v>
      </c>
      <c r="V248" s="7" t="str">
        <f t="shared" si="51"/>
        <v>0000</v>
      </c>
      <c r="W248" s="7" t="str">
        <f t="shared" si="52"/>
        <v>0000</v>
      </c>
      <c r="X248" s="7" t="str">
        <f t="shared" si="53"/>
        <v>0000</v>
      </c>
      <c r="Y248" s="7" t="str">
        <f t="shared" si="54"/>
        <v>0000</v>
      </c>
    </row>
    <row r="249" spans="1:25" s="81" customFormat="1" ht="14.1" customHeight="1">
      <c r="A249" s="80"/>
      <c r="B249" s="84">
        <v>28</v>
      </c>
      <c r="C249" s="143">
        <v>0</v>
      </c>
      <c r="D249" s="144">
        <v>0</v>
      </c>
      <c r="E249" s="144">
        <v>0</v>
      </c>
      <c r="F249" s="144">
        <v>0</v>
      </c>
      <c r="G249" s="144">
        <v>0</v>
      </c>
      <c r="H249" s="144">
        <v>0</v>
      </c>
      <c r="I249" s="144">
        <v>0</v>
      </c>
      <c r="J249" s="144">
        <v>0</v>
      </c>
      <c r="K249" s="144">
        <v>0</v>
      </c>
      <c r="L249" s="144">
        <v>0</v>
      </c>
      <c r="M249" s="144">
        <v>0</v>
      </c>
      <c r="N249" s="144">
        <v>0</v>
      </c>
      <c r="O249" s="144">
        <v>0</v>
      </c>
      <c r="P249" s="144">
        <v>0</v>
      </c>
      <c r="Q249" s="144">
        <v>0</v>
      </c>
      <c r="R249" s="145">
        <v>0</v>
      </c>
      <c r="U249" s="9">
        <f t="shared" si="50"/>
        <v>28</v>
      </c>
      <c r="V249" s="7" t="str">
        <f t="shared" si="51"/>
        <v>0000</v>
      </c>
      <c r="W249" s="7" t="str">
        <f t="shared" si="52"/>
        <v>0000</v>
      </c>
      <c r="X249" s="7" t="str">
        <f t="shared" si="53"/>
        <v>0000</v>
      </c>
      <c r="Y249" s="7" t="str">
        <f t="shared" si="54"/>
        <v>0000</v>
      </c>
    </row>
    <row r="250" spans="1:25" s="81" customFormat="1" ht="14.1" customHeight="1">
      <c r="A250" s="80"/>
      <c r="B250" s="84">
        <v>29</v>
      </c>
      <c r="C250" s="143">
        <v>0</v>
      </c>
      <c r="D250" s="144">
        <v>0</v>
      </c>
      <c r="E250" s="144">
        <v>0</v>
      </c>
      <c r="F250" s="144">
        <v>0</v>
      </c>
      <c r="G250" s="144">
        <v>0</v>
      </c>
      <c r="H250" s="144">
        <v>0</v>
      </c>
      <c r="I250" s="144">
        <v>0</v>
      </c>
      <c r="J250" s="144">
        <v>0</v>
      </c>
      <c r="K250" s="144">
        <v>0</v>
      </c>
      <c r="L250" s="144">
        <v>0</v>
      </c>
      <c r="M250" s="144">
        <v>0</v>
      </c>
      <c r="N250" s="144">
        <v>0</v>
      </c>
      <c r="O250" s="144">
        <v>0</v>
      </c>
      <c r="P250" s="144">
        <v>0</v>
      </c>
      <c r="Q250" s="144">
        <v>0</v>
      </c>
      <c r="R250" s="145">
        <v>0</v>
      </c>
      <c r="U250" s="9">
        <f t="shared" si="50"/>
        <v>29</v>
      </c>
      <c r="V250" s="7" t="str">
        <f t="shared" si="51"/>
        <v>0000</v>
      </c>
      <c r="W250" s="7" t="str">
        <f t="shared" si="52"/>
        <v>0000</v>
      </c>
      <c r="X250" s="7" t="str">
        <f t="shared" si="53"/>
        <v>0000</v>
      </c>
      <c r="Y250" s="7" t="str">
        <f t="shared" si="54"/>
        <v>0000</v>
      </c>
    </row>
    <row r="251" spans="1:25" s="81" customFormat="1" ht="14.1" customHeight="1">
      <c r="A251" s="80"/>
      <c r="B251" s="84">
        <v>30</v>
      </c>
      <c r="C251" s="143">
        <v>0</v>
      </c>
      <c r="D251" s="144">
        <v>0</v>
      </c>
      <c r="E251" s="144">
        <v>0</v>
      </c>
      <c r="F251" s="144">
        <v>0</v>
      </c>
      <c r="G251" s="144">
        <v>0</v>
      </c>
      <c r="H251" s="144">
        <v>0</v>
      </c>
      <c r="I251" s="144">
        <v>0</v>
      </c>
      <c r="J251" s="144">
        <v>0</v>
      </c>
      <c r="K251" s="144">
        <v>0</v>
      </c>
      <c r="L251" s="144">
        <v>0</v>
      </c>
      <c r="M251" s="144">
        <v>0</v>
      </c>
      <c r="N251" s="144">
        <v>0</v>
      </c>
      <c r="O251" s="144">
        <v>0</v>
      </c>
      <c r="P251" s="144">
        <v>0</v>
      </c>
      <c r="Q251" s="144">
        <v>0</v>
      </c>
      <c r="R251" s="145">
        <v>0</v>
      </c>
      <c r="U251" s="9">
        <f t="shared" si="50"/>
        <v>30</v>
      </c>
      <c r="V251" s="7" t="str">
        <f t="shared" si="51"/>
        <v>0000</v>
      </c>
      <c r="W251" s="7" t="str">
        <f t="shared" si="52"/>
        <v>0000</v>
      </c>
      <c r="X251" s="7" t="str">
        <f t="shared" si="53"/>
        <v>0000</v>
      </c>
      <c r="Y251" s="7" t="str">
        <f t="shared" si="54"/>
        <v>0000</v>
      </c>
    </row>
    <row r="252" spans="1:25" s="81" customFormat="1" ht="14.1" customHeight="1" thickBot="1">
      <c r="A252" s="80"/>
      <c r="B252" s="84">
        <v>31</v>
      </c>
      <c r="C252" s="135">
        <v>0</v>
      </c>
      <c r="D252" s="136">
        <v>0</v>
      </c>
      <c r="E252" s="136">
        <v>0</v>
      </c>
      <c r="F252" s="136">
        <v>0</v>
      </c>
      <c r="G252" s="136">
        <v>0</v>
      </c>
      <c r="H252" s="136">
        <v>0</v>
      </c>
      <c r="I252" s="136">
        <v>0</v>
      </c>
      <c r="J252" s="136">
        <v>0</v>
      </c>
      <c r="K252" s="136">
        <v>0</v>
      </c>
      <c r="L252" s="136">
        <v>0</v>
      </c>
      <c r="M252" s="136">
        <v>0</v>
      </c>
      <c r="N252" s="136">
        <v>0</v>
      </c>
      <c r="O252" s="136">
        <v>0</v>
      </c>
      <c r="P252" s="136">
        <v>0</v>
      </c>
      <c r="Q252" s="136">
        <v>0</v>
      </c>
      <c r="R252" s="137">
        <v>0</v>
      </c>
      <c r="U252" s="9">
        <f t="shared" si="50"/>
        <v>31</v>
      </c>
      <c r="V252" s="7" t="str">
        <f t="shared" si="51"/>
        <v>0000</v>
      </c>
      <c r="W252" s="7" t="str">
        <f t="shared" si="52"/>
        <v>0000</v>
      </c>
      <c r="X252" s="7" t="str">
        <f t="shared" si="53"/>
        <v>0000</v>
      </c>
      <c r="Y252" s="7" t="str">
        <f t="shared" si="54"/>
        <v>0000</v>
      </c>
    </row>
    <row r="253" spans="1:25" s="81" customFormat="1">
      <c r="A253" s="80"/>
      <c r="U253" s="88"/>
    </row>
    <row r="254" spans="1:25" s="81" customFormat="1">
      <c r="A254" s="80"/>
      <c r="U254" s="85"/>
    </row>
    <row r="255" spans="1:25" s="81" customFormat="1">
      <c r="A255" s="80" t="s">
        <v>422</v>
      </c>
      <c r="U255" s="8" t="str">
        <f>A255</f>
        <v>8.Used by Touch AE (Storage to ROM)</v>
      </c>
    </row>
    <row r="256" spans="1:25" s="81" customFormat="1" ht="15" thickBot="1">
      <c r="A256" s="80"/>
      <c r="B256" s="84"/>
      <c r="C256" s="84">
        <v>0</v>
      </c>
      <c r="D256" s="84">
        <v>1</v>
      </c>
      <c r="E256" s="84">
        <v>2</v>
      </c>
      <c r="F256" s="84">
        <v>3</v>
      </c>
      <c r="G256" s="84">
        <v>4</v>
      </c>
      <c r="H256" s="84">
        <v>5</v>
      </c>
      <c r="I256" s="84">
        <v>6</v>
      </c>
      <c r="J256" s="84">
        <v>7</v>
      </c>
      <c r="K256" s="84">
        <v>8</v>
      </c>
      <c r="L256" s="84">
        <v>9</v>
      </c>
      <c r="M256" s="84">
        <v>10</v>
      </c>
      <c r="N256" s="84">
        <v>11</v>
      </c>
      <c r="O256" s="84">
        <v>12</v>
      </c>
      <c r="P256" s="84">
        <v>13</v>
      </c>
      <c r="Q256" s="84">
        <v>14</v>
      </c>
      <c r="R256" s="84">
        <v>15</v>
      </c>
      <c r="U256" s="85"/>
      <c r="V256" s="7" t="str">
        <f t="shared" ref="V256" si="55">C256&amp;D256&amp;E256&amp;F256</f>
        <v>0123</v>
      </c>
      <c r="W256" s="7" t="str">
        <f t="shared" ref="W256" si="56">G256&amp;H256&amp;I256&amp;J256</f>
        <v>4567</v>
      </c>
      <c r="X256" s="7" t="str">
        <f t="shared" ref="X256" si="57">K256&amp;L256&amp;M256&amp;N256</f>
        <v>891011</v>
      </c>
      <c r="Y256" s="7" t="str">
        <f t="shared" ref="Y256" si="58">O256&amp;P256&amp;Q256&amp;R256</f>
        <v>12131415</v>
      </c>
    </row>
    <row r="257" spans="1:25" s="81" customFormat="1" ht="14.1" customHeight="1">
      <c r="A257" s="80"/>
      <c r="B257" s="84">
        <v>0</v>
      </c>
      <c r="C257" s="193">
        <v>0</v>
      </c>
      <c r="D257" s="194">
        <v>0</v>
      </c>
      <c r="E257" s="194">
        <v>0</v>
      </c>
      <c r="F257" s="194">
        <v>0</v>
      </c>
      <c r="G257" s="194">
        <v>0</v>
      </c>
      <c r="H257" s="194">
        <v>0</v>
      </c>
      <c r="I257" s="194">
        <v>0</v>
      </c>
      <c r="J257" s="194">
        <v>0</v>
      </c>
      <c r="K257" s="194">
        <v>0</v>
      </c>
      <c r="L257" s="194">
        <v>0</v>
      </c>
      <c r="M257" s="194">
        <v>0</v>
      </c>
      <c r="N257" s="194">
        <v>0</v>
      </c>
      <c r="O257" s="194">
        <v>0</v>
      </c>
      <c r="P257" s="194">
        <v>0</v>
      </c>
      <c r="Q257" s="194">
        <v>0</v>
      </c>
      <c r="R257" s="195">
        <v>0</v>
      </c>
      <c r="U257" s="9">
        <f t="shared" ref="U257:U272" si="59">B257</f>
        <v>0</v>
      </c>
      <c r="V257" s="7" t="str">
        <f t="shared" si="51"/>
        <v>0000</v>
      </c>
      <c r="W257" s="7" t="str">
        <f t="shared" si="52"/>
        <v>0000</v>
      </c>
      <c r="X257" s="7" t="str">
        <f t="shared" si="53"/>
        <v>0000</v>
      </c>
      <c r="Y257" s="7" t="str">
        <f t="shared" si="54"/>
        <v>0000</v>
      </c>
    </row>
    <row r="258" spans="1:25" s="81" customFormat="1" ht="14.1" customHeight="1">
      <c r="A258" s="80"/>
      <c r="B258" s="84">
        <v>1</v>
      </c>
      <c r="C258" s="196">
        <v>0</v>
      </c>
      <c r="D258" s="197">
        <v>0</v>
      </c>
      <c r="E258" s="197">
        <v>0</v>
      </c>
      <c r="F258" s="197">
        <v>0</v>
      </c>
      <c r="G258" s="197">
        <v>0</v>
      </c>
      <c r="H258" s="197">
        <v>0</v>
      </c>
      <c r="I258" s="197">
        <v>0</v>
      </c>
      <c r="J258" s="197">
        <v>0</v>
      </c>
      <c r="K258" s="197">
        <v>0</v>
      </c>
      <c r="L258" s="197">
        <v>0</v>
      </c>
      <c r="M258" s="197">
        <v>0</v>
      </c>
      <c r="N258" s="197">
        <v>0</v>
      </c>
      <c r="O258" s="197">
        <v>0</v>
      </c>
      <c r="P258" s="197">
        <v>0</v>
      </c>
      <c r="Q258" s="197">
        <v>0</v>
      </c>
      <c r="R258" s="198">
        <v>0</v>
      </c>
      <c r="U258" s="9">
        <f t="shared" si="59"/>
        <v>1</v>
      </c>
      <c r="V258" s="7" t="str">
        <f t="shared" si="51"/>
        <v>0000</v>
      </c>
      <c r="W258" s="7" t="str">
        <f t="shared" si="52"/>
        <v>0000</v>
      </c>
      <c r="X258" s="7" t="str">
        <f t="shared" si="53"/>
        <v>0000</v>
      </c>
      <c r="Y258" s="7" t="str">
        <f t="shared" si="54"/>
        <v>0000</v>
      </c>
    </row>
    <row r="259" spans="1:25" s="81" customFormat="1" ht="14.1" customHeight="1">
      <c r="A259" s="80"/>
      <c r="B259" s="84">
        <v>2</v>
      </c>
      <c r="C259" s="196">
        <v>0</v>
      </c>
      <c r="D259" s="197">
        <v>0</v>
      </c>
      <c r="E259" s="197">
        <v>0</v>
      </c>
      <c r="F259" s="197">
        <v>0</v>
      </c>
      <c r="G259" s="197">
        <v>0</v>
      </c>
      <c r="H259" s="197">
        <v>0</v>
      </c>
      <c r="I259" s="197">
        <v>0</v>
      </c>
      <c r="J259" s="197">
        <v>0</v>
      </c>
      <c r="K259" s="197">
        <v>0</v>
      </c>
      <c r="L259" s="197">
        <v>0</v>
      </c>
      <c r="M259" s="197">
        <v>0</v>
      </c>
      <c r="N259" s="197">
        <v>0</v>
      </c>
      <c r="O259" s="197">
        <v>0</v>
      </c>
      <c r="P259" s="197">
        <v>0</v>
      </c>
      <c r="Q259" s="197">
        <v>0</v>
      </c>
      <c r="R259" s="198">
        <v>0</v>
      </c>
      <c r="U259" s="9">
        <f t="shared" si="59"/>
        <v>2</v>
      </c>
      <c r="V259" s="7" t="str">
        <f t="shared" si="51"/>
        <v>0000</v>
      </c>
      <c r="W259" s="7" t="str">
        <f t="shared" si="52"/>
        <v>0000</v>
      </c>
      <c r="X259" s="7" t="str">
        <f t="shared" si="53"/>
        <v>0000</v>
      </c>
      <c r="Y259" s="7" t="str">
        <f t="shared" si="54"/>
        <v>0000</v>
      </c>
    </row>
    <row r="260" spans="1:25" s="81" customFormat="1" ht="14.1" customHeight="1">
      <c r="A260" s="80"/>
      <c r="B260" s="84">
        <v>3</v>
      </c>
      <c r="C260" s="196">
        <v>0</v>
      </c>
      <c r="D260" s="197">
        <v>0</v>
      </c>
      <c r="E260" s="197">
        <v>0</v>
      </c>
      <c r="F260" s="197">
        <v>0</v>
      </c>
      <c r="G260" s="197">
        <v>0</v>
      </c>
      <c r="H260" s="197">
        <v>0</v>
      </c>
      <c r="I260" s="197">
        <v>0</v>
      </c>
      <c r="J260" s="197">
        <v>0</v>
      </c>
      <c r="K260" s="197">
        <v>0</v>
      </c>
      <c r="L260" s="197">
        <v>0</v>
      </c>
      <c r="M260" s="197">
        <v>0</v>
      </c>
      <c r="N260" s="197">
        <v>0</v>
      </c>
      <c r="O260" s="197">
        <v>0</v>
      </c>
      <c r="P260" s="197">
        <v>0</v>
      </c>
      <c r="Q260" s="197">
        <v>0</v>
      </c>
      <c r="R260" s="198">
        <v>0</v>
      </c>
      <c r="U260" s="9">
        <f t="shared" si="59"/>
        <v>3</v>
      </c>
      <c r="V260" s="7" t="str">
        <f t="shared" si="51"/>
        <v>0000</v>
      </c>
      <c r="W260" s="7" t="str">
        <f t="shared" si="52"/>
        <v>0000</v>
      </c>
      <c r="X260" s="7" t="str">
        <f t="shared" si="53"/>
        <v>0000</v>
      </c>
      <c r="Y260" s="7" t="str">
        <f t="shared" si="54"/>
        <v>0000</v>
      </c>
    </row>
    <row r="261" spans="1:25" s="81" customFormat="1" ht="14.1" customHeight="1">
      <c r="A261" s="80"/>
      <c r="B261" s="84">
        <v>4</v>
      </c>
      <c r="C261" s="196">
        <v>0</v>
      </c>
      <c r="D261" s="197">
        <v>0</v>
      </c>
      <c r="E261" s="197">
        <v>0</v>
      </c>
      <c r="F261" s="197">
        <v>0</v>
      </c>
      <c r="G261" s="197">
        <v>0</v>
      </c>
      <c r="H261" s="197">
        <v>0</v>
      </c>
      <c r="I261" s="197">
        <v>0</v>
      </c>
      <c r="J261" s="197">
        <v>0</v>
      </c>
      <c r="K261" s="197">
        <v>0</v>
      </c>
      <c r="L261" s="197">
        <v>0</v>
      </c>
      <c r="M261" s="197">
        <v>0</v>
      </c>
      <c r="N261" s="197">
        <v>0</v>
      </c>
      <c r="O261" s="197">
        <v>0</v>
      </c>
      <c r="P261" s="197">
        <v>0</v>
      </c>
      <c r="Q261" s="197">
        <v>0</v>
      </c>
      <c r="R261" s="198">
        <v>0</v>
      </c>
      <c r="U261" s="9">
        <f t="shared" si="59"/>
        <v>4</v>
      </c>
      <c r="V261" s="7" t="str">
        <f t="shared" si="51"/>
        <v>0000</v>
      </c>
      <c r="W261" s="7" t="str">
        <f t="shared" si="52"/>
        <v>0000</v>
      </c>
      <c r="X261" s="7" t="str">
        <f t="shared" si="53"/>
        <v>0000</v>
      </c>
      <c r="Y261" s="7" t="str">
        <f t="shared" si="54"/>
        <v>0000</v>
      </c>
    </row>
    <row r="262" spans="1:25" s="81" customFormat="1" ht="14.1" customHeight="1">
      <c r="A262" s="80"/>
      <c r="B262" s="84">
        <v>5</v>
      </c>
      <c r="C262" s="196">
        <v>0</v>
      </c>
      <c r="D262" s="197">
        <v>0</v>
      </c>
      <c r="E262" s="197">
        <v>0</v>
      </c>
      <c r="F262" s="197">
        <v>0</v>
      </c>
      <c r="G262" s="197">
        <v>0</v>
      </c>
      <c r="H262" s="197">
        <v>0</v>
      </c>
      <c r="I262" s="197">
        <v>0</v>
      </c>
      <c r="J262" s="197">
        <v>1</v>
      </c>
      <c r="K262" s="197">
        <v>1</v>
      </c>
      <c r="L262" s="197">
        <v>0</v>
      </c>
      <c r="M262" s="197">
        <v>0</v>
      </c>
      <c r="N262" s="197">
        <v>0</v>
      </c>
      <c r="O262" s="197">
        <v>0</v>
      </c>
      <c r="P262" s="197">
        <v>0</v>
      </c>
      <c r="Q262" s="197">
        <v>0</v>
      </c>
      <c r="R262" s="198">
        <v>0</v>
      </c>
      <c r="U262" s="9">
        <f t="shared" si="59"/>
        <v>5</v>
      </c>
      <c r="V262" s="7" t="str">
        <f t="shared" si="51"/>
        <v>0000</v>
      </c>
      <c r="W262" s="7" t="str">
        <f t="shared" si="52"/>
        <v>0001</v>
      </c>
      <c r="X262" s="7" t="str">
        <f t="shared" si="53"/>
        <v>1000</v>
      </c>
      <c r="Y262" s="7" t="str">
        <f t="shared" si="54"/>
        <v>0000</v>
      </c>
    </row>
    <row r="263" spans="1:25" s="81" customFormat="1" ht="14.1" customHeight="1">
      <c r="A263" s="80"/>
      <c r="B263" s="84">
        <v>6</v>
      </c>
      <c r="C263" s="196">
        <v>0</v>
      </c>
      <c r="D263" s="197">
        <v>0</v>
      </c>
      <c r="E263" s="197">
        <v>0</v>
      </c>
      <c r="F263" s="197">
        <v>0</v>
      </c>
      <c r="G263" s="197">
        <v>0</v>
      </c>
      <c r="H263" s="197">
        <v>0</v>
      </c>
      <c r="I263" s="197">
        <v>0</v>
      </c>
      <c r="J263" s="197">
        <v>0</v>
      </c>
      <c r="K263" s="197">
        <v>0</v>
      </c>
      <c r="L263" s="197">
        <v>0</v>
      </c>
      <c r="M263" s="197">
        <v>0</v>
      </c>
      <c r="N263" s="197">
        <v>0</v>
      </c>
      <c r="O263" s="197">
        <v>0</v>
      </c>
      <c r="P263" s="197">
        <v>0</v>
      </c>
      <c r="Q263" s="197">
        <v>0</v>
      </c>
      <c r="R263" s="198">
        <v>0</v>
      </c>
      <c r="U263" s="9">
        <f t="shared" si="59"/>
        <v>6</v>
      </c>
      <c r="V263" s="7" t="str">
        <f t="shared" si="51"/>
        <v>0000</v>
      </c>
      <c r="W263" s="7" t="str">
        <f t="shared" si="52"/>
        <v>0000</v>
      </c>
      <c r="X263" s="7" t="str">
        <f t="shared" si="53"/>
        <v>0000</v>
      </c>
      <c r="Y263" s="7" t="str">
        <f t="shared" si="54"/>
        <v>0000</v>
      </c>
    </row>
    <row r="264" spans="1:25" s="81" customFormat="1" ht="14.1" customHeight="1">
      <c r="A264" s="80"/>
      <c r="B264" s="84">
        <v>7</v>
      </c>
      <c r="C264" s="196">
        <v>0</v>
      </c>
      <c r="D264" s="197">
        <v>0</v>
      </c>
      <c r="E264" s="197">
        <v>0</v>
      </c>
      <c r="F264" s="197">
        <v>0</v>
      </c>
      <c r="G264" s="197">
        <v>0</v>
      </c>
      <c r="H264" s="197">
        <v>0</v>
      </c>
      <c r="I264" s="197">
        <v>1</v>
      </c>
      <c r="J264" s="197">
        <v>0</v>
      </c>
      <c r="K264" s="197">
        <v>0</v>
      </c>
      <c r="L264" s="197">
        <v>1</v>
      </c>
      <c r="M264" s="197">
        <v>0</v>
      </c>
      <c r="N264" s="197">
        <v>0</v>
      </c>
      <c r="O264" s="197">
        <v>0</v>
      </c>
      <c r="P264" s="197">
        <v>0</v>
      </c>
      <c r="Q264" s="197">
        <v>0</v>
      </c>
      <c r="R264" s="198">
        <v>0</v>
      </c>
      <c r="U264" s="9">
        <f t="shared" si="59"/>
        <v>7</v>
      </c>
      <c r="V264" s="7" t="str">
        <f t="shared" si="51"/>
        <v>0000</v>
      </c>
      <c r="W264" s="7" t="str">
        <f t="shared" si="52"/>
        <v>0010</v>
      </c>
      <c r="X264" s="7" t="str">
        <f t="shared" si="53"/>
        <v>0100</v>
      </c>
      <c r="Y264" s="7" t="str">
        <f t="shared" si="54"/>
        <v>0000</v>
      </c>
    </row>
    <row r="265" spans="1:25" s="81" customFormat="1" ht="14.1" customHeight="1">
      <c r="A265" s="80"/>
      <c r="B265" s="84">
        <v>8</v>
      </c>
      <c r="C265" s="196">
        <v>0</v>
      </c>
      <c r="D265" s="197">
        <v>0</v>
      </c>
      <c r="E265" s="197">
        <v>0</v>
      </c>
      <c r="F265" s="197">
        <v>0</v>
      </c>
      <c r="G265" s="197">
        <v>0</v>
      </c>
      <c r="H265" s="197">
        <v>0</v>
      </c>
      <c r="I265" s="197">
        <v>0</v>
      </c>
      <c r="J265" s="197">
        <v>0</v>
      </c>
      <c r="K265" s="197">
        <v>0</v>
      </c>
      <c r="L265" s="197">
        <v>0</v>
      </c>
      <c r="M265" s="197">
        <v>0</v>
      </c>
      <c r="N265" s="197">
        <v>0</v>
      </c>
      <c r="O265" s="197">
        <v>0</v>
      </c>
      <c r="P265" s="197">
        <v>0</v>
      </c>
      <c r="Q265" s="197">
        <v>0</v>
      </c>
      <c r="R265" s="198">
        <v>0</v>
      </c>
      <c r="U265" s="9">
        <f t="shared" si="59"/>
        <v>8</v>
      </c>
      <c r="V265" s="7" t="str">
        <f t="shared" si="51"/>
        <v>0000</v>
      </c>
      <c r="W265" s="7" t="str">
        <f t="shared" si="52"/>
        <v>0000</v>
      </c>
      <c r="X265" s="7" t="str">
        <f t="shared" si="53"/>
        <v>0000</v>
      </c>
      <c r="Y265" s="7" t="str">
        <f t="shared" si="54"/>
        <v>0000</v>
      </c>
    </row>
    <row r="266" spans="1:25" s="81" customFormat="1" ht="14.1" customHeight="1">
      <c r="A266" s="80"/>
      <c r="B266" s="84">
        <v>9</v>
      </c>
      <c r="C266" s="196">
        <v>0</v>
      </c>
      <c r="D266" s="197">
        <v>0</v>
      </c>
      <c r="E266" s="197">
        <v>0</v>
      </c>
      <c r="F266" s="197">
        <v>0</v>
      </c>
      <c r="G266" s="197">
        <v>0</v>
      </c>
      <c r="H266" s="197">
        <v>1</v>
      </c>
      <c r="I266" s="197">
        <v>0</v>
      </c>
      <c r="J266" s="197">
        <v>1</v>
      </c>
      <c r="K266" s="197">
        <v>1</v>
      </c>
      <c r="L266" s="197">
        <v>0</v>
      </c>
      <c r="M266" s="197">
        <v>1</v>
      </c>
      <c r="N266" s="197">
        <v>0</v>
      </c>
      <c r="O266" s="197">
        <v>0</v>
      </c>
      <c r="P266" s="197">
        <v>0</v>
      </c>
      <c r="Q266" s="197">
        <v>0</v>
      </c>
      <c r="R266" s="198">
        <v>0</v>
      </c>
      <c r="U266" s="9">
        <f t="shared" si="59"/>
        <v>9</v>
      </c>
      <c r="V266" s="7" t="str">
        <f t="shared" si="51"/>
        <v>0000</v>
      </c>
      <c r="W266" s="7" t="str">
        <f t="shared" si="52"/>
        <v>0101</v>
      </c>
      <c r="X266" s="7" t="str">
        <f t="shared" si="53"/>
        <v>1010</v>
      </c>
      <c r="Y266" s="7" t="str">
        <f t="shared" si="54"/>
        <v>0000</v>
      </c>
    </row>
    <row r="267" spans="1:25" s="81" customFormat="1" ht="14.1" customHeight="1">
      <c r="A267" s="80"/>
      <c r="B267" s="84">
        <v>10</v>
      </c>
      <c r="C267" s="196">
        <v>0</v>
      </c>
      <c r="D267" s="197">
        <v>0</v>
      </c>
      <c r="E267" s="197">
        <v>0</v>
      </c>
      <c r="F267" s="197">
        <v>0</v>
      </c>
      <c r="G267" s="197">
        <v>0</v>
      </c>
      <c r="H267" s="197">
        <v>0</v>
      </c>
      <c r="I267" s="197">
        <v>0</v>
      </c>
      <c r="J267" s="197">
        <v>0</v>
      </c>
      <c r="K267" s="197">
        <v>0</v>
      </c>
      <c r="L267" s="197">
        <v>0</v>
      </c>
      <c r="M267" s="197">
        <v>0</v>
      </c>
      <c r="N267" s="197">
        <v>0</v>
      </c>
      <c r="O267" s="197">
        <v>0</v>
      </c>
      <c r="P267" s="197">
        <v>0</v>
      </c>
      <c r="Q267" s="197">
        <v>0</v>
      </c>
      <c r="R267" s="198">
        <v>0</v>
      </c>
      <c r="U267" s="9">
        <f t="shared" si="59"/>
        <v>10</v>
      </c>
      <c r="V267" s="7" t="str">
        <f t="shared" si="51"/>
        <v>0000</v>
      </c>
      <c r="W267" s="7" t="str">
        <f t="shared" si="52"/>
        <v>0000</v>
      </c>
      <c r="X267" s="7" t="str">
        <f t="shared" si="53"/>
        <v>0000</v>
      </c>
      <c r="Y267" s="7" t="str">
        <f t="shared" si="54"/>
        <v>0000</v>
      </c>
    </row>
    <row r="268" spans="1:25" s="81" customFormat="1" ht="14.1" customHeight="1">
      <c r="A268" s="80"/>
      <c r="B268" s="84">
        <v>11</v>
      </c>
      <c r="C268" s="196">
        <v>0</v>
      </c>
      <c r="D268" s="197">
        <v>0</v>
      </c>
      <c r="E268" s="197">
        <v>0</v>
      </c>
      <c r="F268" s="197">
        <v>0</v>
      </c>
      <c r="G268" s="197">
        <v>1</v>
      </c>
      <c r="H268" s="197">
        <v>0</v>
      </c>
      <c r="I268" s="197">
        <v>1</v>
      </c>
      <c r="J268" s="197">
        <v>0</v>
      </c>
      <c r="K268" s="197">
        <v>0</v>
      </c>
      <c r="L268" s="197">
        <v>1</v>
      </c>
      <c r="M268" s="197">
        <v>0</v>
      </c>
      <c r="N268" s="197">
        <v>1</v>
      </c>
      <c r="O268" s="197">
        <v>0</v>
      </c>
      <c r="P268" s="197">
        <v>0</v>
      </c>
      <c r="Q268" s="197">
        <v>0</v>
      </c>
      <c r="R268" s="198">
        <v>0</v>
      </c>
      <c r="U268" s="9">
        <f t="shared" si="59"/>
        <v>11</v>
      </c>
      <c r="V268" s="7" t="str">
        <f t="shared" si="51"/>
        <v>0000</v>
      </c>
      <c r="W268" s="7" t="str">
        <f t="shared" si="52"/>
        <v>1010</v>
      </c>
      <c r="X268" s="7" t="str">
        <f t="shared" si="53"/>
        <v>0101</v>
      </c>
      <c r="Y268" s="7" t="str">
        <f t="shared" si="54"/>
        <v>0000</v>
      </c>
    </row>
    <row r="269" spans="1:25" s="81" customFormat="1" ht="14.1" customHeight="1">
      <c r="A269" s="80"/>
      <c r="B269" s="84">
        <v>12</v>
      </c>
      <c r="C269" s="196">
        <v>0</v>
      </c>
      <c r="D269" s="197">
        <v>0</v>
      </c>
      <c r="E269" s="197">
        <v>0</v>
      </c>
      <c r="F269" s="197">
        <v>0</v>
      </c>
      <c r="G269" s="197">
        <v>0</v>
      </c>
      <c r="H269" s="197">
        <v>0</v>
      </c>
      <c r="I269" s="197">
        <v>0</v>
      </c>
      <c r="J269" s="197">
        <v>0</v>
      </c>
      <c r="K269" s="197">
        <v>0</v>
      </c>
      <c r="L269" s="197">
        <v>0</v>
      </c>
      <c r="M269" s="197">
        <v>0</v>
      </c>
      <c r="N269" s="197">
        <v>0</v>
      </c>
      <c r="O269" s="197">
        <v>0</v>
      </c>
      <c r="P269" s="197">
        <v>0</v>
      </c>
      <c r="Q269" s="197">
        <v>0</v>
      </c>
      <c r="R269" s="198">
        <v>0</v>
      </c>
      <c r="U269" s="9">
        <f t="shared" si="59"/>
        <v>12</v>
      </c>
      <c r="V269" s="7" t="str">
        <f t="shared" si="51"/>
        <v>0000</v>
      </c>
      <c r="W269" s="7" t="str">
        <f t="shared" si="52"/>
        <v>0000</v>
      </c>
      <c r="X269" s="7" t="str">
        <f t="shared" si="53"/>
        <v>0000</v>
      </c>
      <c r="Y269" s="7" t="str">
        <f t="shared" si="54"/>
        <v>0000</v>
      </c>
    </row>
    <row r="270" spans="1:25" s="81" customFormat="1" ht="14.1" customHeight="1">
      <c r="A270" s="80"/>
      <c r="B270" s="84">
        <v>13</v>
      </c>
      <c r="C270" s="196">
        <v>0</v>
      </c>
      <c r="D270" s="197">
        <v>0</v>
      </c>
      <c r="E270" s="197">
        <v>0</v>
      </c>
      <c r="F270" s="197">
        <v>1</v>
      </c>
      <c r="G270" s="197">
        <v>0</v>
      </c>
      <c r="H270" s="197">
        <v>1</v>
      </c>
      <c r="I270" s="197">
        <v>0</v>
      </c>
      <c r="J270" s="197">
        <v>1</v>
      </c>
      <c r="K270" s="197">
        <v>1</v>
      </c>
      <c r="L270" s="197">
        <v>0</v>
      </c>
      <c r="M270" s="197">
        <v>1</v>
      </c>
      <c r="N270" s="197">
        <v>0</v>
      </c>
      <c r="O270" s="197">
        <v>1</v>
      </c>
      <c r="P270" s="197">
        <v>0</v>
      </c>
      <c r="Q270" s="197">
        <v>0</v>
      </c>
      <c r="R270" s="198">
        <v>0</v>
      </c>
      <c r="U270" s="9">
        <f t="shared" si="59"/>
        <v>13</v>
      </c>
      <c r="V270" s="7" t="str">
        <f t="shared" si="51"/>
        <v>0001</v>
      </c>
      <c r="W270" s="7" t="str">
        <f t="shared" si="52"/>
        <v>0101</v>
      </c>
      <c r="X270" s="7" t="str">
        <f t="shared" si="53"/>
        <v>1010</v>
      </c>
      <c r="Y270" s="7" t="str">
        <f t="shared" si="54"/>
        <v>1000</v>
      </c>
    </row>
    <row r="271" spans="1:25" s="81" customFormat="1" ht="14.1" customHeight="1">
      <c r="A271" s="80"/>
      <c r="B271" s="84">
        <v>14</v>
      </c>
      <c r="C271" s="196">
        <v>0</v>
      </c>
      <c r="D271" s="197">
        <v>0</v>
      </c>
      <c r="E271" s="197">
        <v>0</v>
      </c>
      <c r="F271" s="197">
        <v>0</v>
      </c>
      <c r="G271" s="197">
        <v>0</v>
      </c>
      <c r="H271" s="197">
        <v>0</v>
      </c>
      <c r="I271" s="197">
        <v>0</v>
      </c>
      <c r="J271" s="197">
        <v>0</v>
      </c>
      <c r="K271" s="197">
        <v>0</v>
      </c>
      <c r="L271" s="197">
        <v>0</v>
      </c>
      <c r="M271" s="197">
        <v>0</v>
      </c>
      <c r="N271" s="197">
        <v>0</v>
      </c>
      <c r="O271" s="197">
        <v>0</v>
      </c>
      <c r="P271" s="197">
        <v>0</v>
      </c>
      <c r="Q271" s="197">
        <v>0</v>
      </c>
      <c r="R271" s="198">
        <v>0</v>
      </c>
      <c r="U271" s="9">
        <f t="shared" si="59"/>
        <v>14</v>
      </c>
      <c r="V271" s="7" t="str">
        <f t="shared" si="51"/>
        <v>0000</v>
      </c>
      <c r="W271" s="7" t="str">
        <f t="shared" si="52"/>
        <v>0000</v>
      </c>
      <c r="X271" s="7" t="str">
        <f t="shared" si="53"/>
        <v>0000</v>
      </c>
      <c r="Y271" s="7" t="str">
        <f t="shared" si="54"/>
        <v>0000</v>
      </c>
    </row>
    <row r="272" spans="1:25" s="81" customFormat="1" ht="14.1" customHeight="1">
      <c r="A272" s="80"/>
      <c r="B272" s="84">
        <v>15</v>
      </c>
      <c r="C272" s="196">
        <v>0</v>
      </c>
      <c r="D272" s="197">
        <v>0</v>
      </c>
      <c r="E272" s="197">
        <v>1</v>
      </c>
      <c r="F272" s="197">
        <v>0</v>
      </c>
      <c r="G272" s="197">
        <v>1</v>
      </c>
      <c r="H272" s="197">
        <v>0</v>
      </c>
      <c r="I272" s="197">
        <v>1</v>
      </c>
      <c r="J272" s="197">
        <v>0</v>
      </c>
      <c r="K272" s="197">
        <v>0</v>
      </c>
      <c r="L272" s="197">
        <v>1</v>
      </c>
      <c r="M272" s="197">
        <v>0</v>
      </c>
      <c r="N272" s="197">
        <v>1</v>
      </c>
      <c r="O272" s="197">
        <v>0</v>
      </c>
      <c r="P272" s="197">
        <v>1</v>
      </c>
      <c r="Q272" s="197">
        <v>0</v>
      </c>
      <c r="R272" s="198">
        <v>0</v>
      </c>
      <c r="U272" s="9">
        <f t="shared" si="59"/>
        <v>15</v>
      </c>
      <c r="V272" s="7" t="str">
        <f t="shared" si="51"/>
        <v>0010</v>
      </c>
      <c r="W272" s="7" t="str">
        <f t="shared" si="52"/>
        <v>1010</v>
      </c>
      <c r="X272" s="7" t="str">
        <f t="shared" si="53"/>
        <v>0101</v>
      </c>
      <c r="Y272" s="7" t="str">
        <f t="shared" si="54"/>
        <v>0100</v>
      </c>
    </row>
    <row r="273" spans="1:25" s="81" customFormat="1">
      <c r="A273" s="80"/>
      <c r="B273" s="84">
        <v>16</v>
      </c>
      <c r="C273" s="196">
        <v>0</v>
      </c>
      <c r="D273" s="197">
        <v>0</v>
      </c>
      <c r="E273" s="197">
        <v>0</v>
      </c>
      <c r="F273" s="197">
        <v>0</v>
      </c>
      <c r="G273" s="197">
        <v>0</v>
      </c>
      <c r="H273" s="197">
        <v>0</v>
      </c>
      <c r="I273" s="197">
        <v>0</v>
      </c>
      <c r="J273" s="197">
        <v>0</v>
      </c>
      <c r="K273" s="197">
        <v>0</v>
      </c>
      <c r="L273" s="197">
        <v>0</v>
      </c>
      <c r="M273" s="197">
        <v>0</v>
      </c>
      <c r="N273" s="197">
        <v>0</v>
      </c>
      <c r="O273" s="197">
        <v>0</v>
      </c>
      <c r="P273" s="197">
        <v>0</v>
      </c>
      <c r="Q273" s="197">
        <v>0</v>
      </c>
      <c r="R273" s="198">
        <v>0</v>
      </c>
      <c r="U273" s="9">
        <f>B273</f>
        <v>16</v>
      </c>
      <c r="V273" s="7" t="str">
        <f t="shared" si="51"/>
        <v>0000</v>
      </c>
      <c r="W273" s="7" t="str">
        <f t="shared" si="52"/>
        <v>0000</v>
      </c>
      <c r="X273" s="7" t="str">
        <f t="shared" si="53"/>
        <v>0000</v>
      </c>
      <c r="Y273" s="7" t="str">
        <f t="shared" si="54"/>
        <v>0000</v>
      </c>
    </row>
    <row r="274" spans="1:25" s="81" customFormat="1">
      <c r="A274" s="80"/>
      <c r="B274" s="84">
        <v>17</v>
      </c>
      <c r="C274" s="196">
        <v>0</v>
      </c>
      <c r="D274" s="197">
        <v>0</v>
      </c>
      <c r="E274" s="197">
        <v>0</v>
      </c>
      <c r="F274" s="197">
        <v>1</v>
      </c>
      <c r="G274" s="197">
        <v>0</v>
      </c>
      <c r="H274" s="197">
        <v>1</v>
      </c>
      <c r="I274" s="197">
        <v>0</v>
      </c>
      <c r="J274" s="197">
        <v>1</v>
      </c>
      <c r="K274" s="197">
        <v>1</v>
      </c>
      <c r="L274" s="197">
        <v>0</v>
      </c>
      <c r="M274" s="197">
        <v>1</v>
      </c>
      <c r="N274" s="197">
        <v>0</v>
      </c>
      <c r="O274" s="197">
        <v>1</v>
      </c>
      <c r="P274" s="197">
        <v>0</v>
      </c>
      <c r="Q274" s="197">
        <v>0</v>
      </c>
      <c r="R274" s="198">
        <v>0</v>
      </c>
      <c r="U274" s="9">
        <f>B274</f>
        <v>17</v>
      </c>
      <c r="V274" s="7" t="str">
        <f t="shared" si="51"/>
        <v>0001</v>
      </c>
      <c r="W274" s="7" t="str">
        <f t="shared" si="52"/>
        <v>0101</v>
      </c>
      <c r="X274" s="7" t="str">
        <f t="shared" si="53"/>
        <v>1010</v>
      </c>
      <c r="Y274" s="7" t="str">
        <f t="shared" si="54"/>
        <v>1000</v>
      </c>
    </row>
    <row r="275" spans="1:25" s="81" customFormat="1">
      <c r="A275" s="80"/>
      <c r="B275" s="84">
        <v>18</v>
      </c>
      <c r="C275" s="196">
        <v>0</v>
      </c>
      <c r="D275" s="197">
        <v>0</v>
      </c>
      <c r="E275" s="197">
        <v>0</v>
      </c>
      <c r="F275" s="197">
        <v>0</v>
      </c>
      <c r="G275" s="197">
        <v>0</v>
      </c>
      <c r="H275" s="197">
        <v>0</v>
      </c>
      <c r="I275" s="197">
        <v>0</v>
      </c>
      <c r="J275" s="197">
        <v>0</v>
      </c>
      <c r="K275" s="197">
        <v>0</v>
      </c>
      <c r="L275" s="197">
        <v>0</v>
      </c>
      <c r="M275" s="197">
        <v>0</v>
      </c>
      <c r="N275" s="197">
        <v>0</v>
      </c>
      <c r="O275" s="197">
        <v>0</v>
      </c>
      <c r="P275" s="197">
        <v>0</v>
      </c>
      <c r="Q275" s="197">
        <v>0</v>
      </c>
      <c r="R275" s="198">
        <v>0</v>
      </c>
      <c r="U275" s="9">
        <f>B275</f>
        <v>18</v>
      </c>
      <c r="V275" s="7" t="str">
        <f t="shared" si="51"/>
        <v>0000</v>
      </c>
      <c r="W275" s="7" t="str">
        <f t="shared" si="52"/>
        <v>0000</v>
      </c>
      <c r="X275" s="7" t="str">
        <f t="shared" si="53"/>
        <v>0000</v>
      </c>
      <c r="Y275" s="7" t="str">
        <f t="shared" si="54"/>
        <v>0000</v>
      </c>
    </row>
    <row r="276" spans="1:25" s="81" customFormat="1">
      <c r="A276" s="80"/>
      <c r="B276" s="84">
        <v>19</v>
      </c>
      <c r="C276" s="196">
        <v>0</v>
      </c>
      <c r="D276" s="197">
        <v>0</v>
      </c>
      <c r="E276" s="197">
        <v>1</v>
      </c>
      <c r="F276" s="197">
        <v>0</v>
      </c>
      <c r="G276" s="197">
        <v>1</v>
      </c>
      <c r="H276" s="197">
        <v>0</v>
      </c>
      <c r="I276" s="197">
        <v>1</v>
      </c>
      <c r="J276" s="197">
        <v>0</v>
      </c>
      <c r="K276" s="197">
        <v>0</v>
      </c>
      <c r="L276" s="197">
        <v>1</v>
      </c>
      <c r="M276" s="197">
        <v>0</v>
      </c>
      <c r="N276" s="197">
        <v>1</v>
      </c>
      <c r="O276" s="197">
        <v>0</v>
      </c>
      <c r="P276" s="197">
        <v>1</v>
      </c>
      <c r="Q276" s="197">
        <v>0</v>
      </c>
      <c r="R276" s="198">
        <v>0</v>
      </c>
      <c r="U276" s="9">
        <f t="shared" ref="U276:U288" si="60">B276</f>
        <v>19</v>
      </c>
      <c r="V276" s="7" t="str">
        <f t="shared" si="51"/>
        <v>0010</v>
      </c>
      <c r="W276" s="7" t="str">
        <f t="shared" si="52"/>
        <v>1010</v>
      </c>
      <c r="X276" s="7" t="str">
        <f t="shared" si="53"/>
        <v>0101</v>
      </c>
      <c r="Y276" s="7" t="str">
        <f t="shared" si="54"/>
        <v>0100</v>
      </c>
    </row>
    <row r="277" spans="1:25" s="81" customFormat="1">
      <c r="A277" s="80"/>
      <c r="B277" s="84">
        <v>20</v>
      </c>
      <c r="C277" s="196">
        <v>0</v>
      </c>
      <c r="D277" s="197">
        <v>0</v>
      </c>
      <c r="E277" s="197">
        <v>0</v>
      </c>
      <c r="F277" s="197">
        <v>0</v>
      </c>
      <c r="G277" s="197">
        <v>0</v>
      </c>
      <c r="H277" s="197">
        <v>0</v>
      </c>
      <c r="I277" s="197">
        <v>0</v>
      </c>
      <c r="J277" s="197">
        <v>0</v>
      </c>
      <c r="K277" s="197">
        <v>0</v>
      </c>
      <c r="L277" s="197">
        <v>0</v>
      </c>
      <c r="M277" s="197">
        <v>0</v>
      </c>
      <c r="N277" s="197">
        <v>0</v>
      </c>
      <c r="O277" s="197">
        <v>0</v>
      </c>
      <c r="P277" s="197">
        <v>0</v>
      </c>
      <c r="Q277" s="197">
        <v>0</v>
      </c>
      <c r="R277" s="198">
        <v>0</v>
      </c>
      <c r="U277" s="9">
        <f t="shared" si="60"/>
        <v>20</v>
      </c>
      <c r="V277" s="7" t="str">
        <f t="shared" si="51"/>
        <v>0000</v>
      </c>
      <c r="W277" s="7" t="str">
        <f t="shared" si="52"/>
        <v>0000</v>
      </c>
      <c r="X277" s="7" t="str">
        <f t="shared" si="53"/>
        <v>0000</v>
      </c>
      <c r="Y277" s="7" t="str">
        <f t="shared" si="54"/>
        <v>0000</v>
      </c>
    </row>
    <row r="278" spans="1:25" s="81" customFormat="1">
      <c r="A278" s="80"/>
      <c r="B278" s="84">
        <v>21</v>
      </c>
      <c r="C278" s="196">
        <v>0</v>
      </c>
      <c r="D278" s="197">
        <v>0</v>
      </c>
      <c r="E278" s="197">
        <v>0</v>
      </c>
      <c r="F278" s="197">
        <v>1</v>
      </c>
      <c r="G278" s="197">
        <v>0</v>
      </c>
      <c r="H278" s="197">
        <v>1</v>
      </c>
      <c r="I278" s="197">
        <v>0</v>
      </c>
      <c r="J278" s="197">
        <v>1</v>
      </c>
      <c r="K278" s="197">
        <v>1</v>
      </c>
      <c r="L278" s="197">
        <v>0</v>
      </c>
      <c r="M278" s="197">
        <v>1</v>
      </c>
      <c r="N278" s="197">
        <v>0</v>
      </c>
      <c r="O278" s="197">
        <v>1</v>
      </c>
      <c r="P278" s="197">
        <v>0</v>
      </c>
      <c r="Q278" s="197">
        <v>0</v>
      </c>
      <c r="R278" s="198">
        <v>0</v>
      </c>
      <c r="U278" s="9">
        <f t="shared" si="60"/>
        <v>21</v>
      </c>
      <c r="V278" s="7" t="str">
        <f t="shared" si="51"/>
        <v>0001</v>
      </c>
      <c r="W278" s="7" t="str">
        <f t="shared" si="52"/>
        <v>0101</v>
      </c>
      <c r="X278" s="7" t="str">
        <f t="shared" si="53"/>
        <v>1010</v>
      </c>
      <c r="Y278" s="7" t="str">
        <f t="shared" si="54"/>
        <v>1000</v>
      </c>
    </row>
    <row r="279" spans="1:25" s="81" customFormat="1">
      <c r="A279" s="80"/>
      <c r="B279" s="84">
        <v>22</v>
      </c>
      <c r="C279" s="196">
        <v>0</v>
      </c>
      <c r="D279" s="197">
        <v>0</v>
      </c>
      <c r="E279" s="197">
        <v>0</v>
      </c>
      <c r="F279" s="197">
        <v>0</v>
      </c>
      <c r="G279" s="197">
        <v>0</v>
      </c>
      <c r="H279" s="197">
        <v>0</v>
      </c>
      <c r="I279" s="197">
        <v>0</v>
      </c>
      <c r="J279" s="197">
        <v>0</v>
      </c>
      <c r="K279" s="197">
        <v>0</v>
      </c>
      <c r="L279" s="197">
        <v>0</v>
      </c>
      <c r="M279" s="197">
        <v>0</v>
      </c>
      <c r="N279" s="197">
        <v>0</v>
      </c>
      <c r="O279" s="197">
        <v>0</v>
      </c>
      <c r="P279" s="197">
        <v>0</v>
      </c>
      <c r="Q279" s="197">
        <v>0</v>
      </c>
      <c r="R279" s="198">
        <v>0</v>
      </c>
      <c r="U279" s="9">
        <f t="shared" si="60"/>
        <v>22</v>
      </c>
      <c r="V279" s="7" t="str">
        <f t="shared" si="51"/>
        <v>0000</v>
      </c>
      <c r="W279" s="7" t="str">
        <f t="shared" si="52"/>
        <v>0000</v>
      </c>
      <c r="X279" s="7" t="str">
        <f t="shared" si="53"/>
        <v>0000</v>
      </c>
      <c r="Y279" s="7" t="str">
        <f t="shared" si="54"/>
        <v>0000</v>
      </c>
    </row>
    <row r="280" spans="1:25" s="81" customFormat="1">
      <c r="A280" s="80"/>
      <c r="B280" s="84">
        <v>23</v>
      </c>
      <c r="C280" s="196">
        <v>0</v>
      </c>
      <c r="D280" s="197">
        <v>0</v>
      </c>
      <c r="E280" s="197">
        <v>1</v>
      </c>
      <c r="F280" s="197">
        <v>0</v>
      </c>
      <c r="G280" s="197">
        <v>1</v>
      </c>
      <c r="H280" s="197">
        <v>0</v>
      </c>
      <c r="I280" s="197">
        <v>1</v>
      </c>
      <c r="J280" s="197">
        <v>0</v>
      </c>
      <c r="K280" s="197">
        <v>0</v>
      </c>
      <c r="L280" s="197">
        <v>1</v>
      </c>
      <c r="M280" s="197">
        <v>0</v>
      </c>
      <c r="N280" s="197">
        <v>1</v>
      </c>
      <c r="O280" s="197">
        <v>0</v>
      </c>
      <c r="P280" s="197">
        <v>1</v>
      </c>
      <c r="Q280" s="197">
        <v>0</v>
      </c>
      <c r="R280" s="198">
        <v>0</v>
      </c>
      <c r="U280" s="9">
        <f t="shared" si="60"/>
        <v>23</v>
      </c>
      <c r="V280" s="7" t="str">
        <f t="shared" si="51"/>
        <v>0010</v>
      </c>
      <c r="W280" s="7" t="str">
        <f t="shared" si="52"/>
        <v>1010</v>
      </c>
      <c r="X280" s="7" t="str">
        <f t="shared" si="53"/>
        <v>0101</v>
      </c>
      <c r="Y280" s="7" t="str">
        <f t="shared" si="54"/>
        <v>0100</v>
      </c>
    </row>
    <row r="281" spans="1:25" s="81" customFormat="1">
      <c r="A281" s="80"/>
      <c r="B281" s="84">
        <v>24</v>
      </c>
      <c r="C281" s="196">
        <v>0</v>
      </c>
      <c r="D281" s="197">
        <v>0</v>
      </c>
      <c r="E281" s="197">
        <v>0</v>
      </c>
      <c r="F281" s="197">
        <v>0</v>
      </c>
      <c r="G281" s="197">
        <v>0</v>
      </c>
      <c r="H281" s="197">
        <v>0</v>
      </c>
      <c r="I281" s="197">
        <v>0</v>
      </c>
      <c r="J281" s="197">
        <v>0</v>
      </c>
      <c r="K281" s="197">
        <v>0</v>
      </c>
      <c r="L281" s="197">
        <v>0</v>
      </c>
      <c r="M281" s="197">
        <v>0</v>
      </c>
      <c r="N281" s="197">
        <v>0</v>
      </c>
      <c r="O281" s="197">
        <v>0</v>
      </c>
      <c r="P281" s="197">
        <v>0</v>
      </c>
      <c r="Q281" s="197">
        <v>0</v>
      </c>
      <c r="R281" s="198">
        <v>0</v>
      </c>
      <c r="U281" s="9">
        <f t="shared" si="60"/>
        <v>24</v>
      </c>
      <c r="V281" s="7" t="str">
        <f t="shared" si="51"/>
        <v>0000</v>
      </c>
      <c r="W281" s="7" t="str">
        <f t="shared" si="52"/>
        <v>0000</v>
      </c>
      <c r="X281" s="7" t="str">
        <f t="shared" si="53"/>
        <v>0000</v>
      </c>
      <c r="Y281" s="7" t="str">
        <f t="shared" si="54"/>
        <v>0000</v>
      </c>
    </row>
    <row r="282" spans="1:25" s="81" customFormat="1">
      <c r="A282" s="80"/>
      <c r="B282" s="84">
        <v>25</v>
      </c>
      <c r="C282" s="196">
        <v>0</v>
      </c>
      <c r="D282" s="197">
        <v>0</v>
      </c>
      <c r="E282" s="197">
        <v>0</v>
      </c>
      <c r="F282" s="197">
        <v>1</v>
      </c>
      <c r="G282" s="197">
        <v>0</v>
      </c>
      <c r="H282" s="197">
        <v>1</v>
      </c>
      <c r="I282" s="197">
        <v>0</v>
      </c>
      <c r="J282" s="197">
        <v>1</v>
      </c>
      <c r="K282" s="197">
        <v>1</v>
      </c>
      <c r="L282" s="197">
        <v>0</v>
      </c>
      <c r="M282" s="197">
        <v>1</v>
      </c>
      <c r="N282" s="197">
        <v>0</v>
      </c>
      <c r="O282" s="197">
        <v>1</v>
      </c>
      <c r="P282" s="197">
        <v>0</v>
      </c>
      <c r="Q282" s="197">
        <v>0</v>
      </c>
      <c r="R282" s="198">
        <v>0</v>
      </c>
      <c r="U282" s="9">
        <f t="shared" si="60"/>
        <v>25</v>
      </c>
      <c r="V282" s="7" t="str">
        <f t="shared" si="51"/>
        <v>0001</v>
      </c>
      <c r="W282" s="7" t="str">
        <f t="shared" si="52"/>
        <v>0101</v>
      </c>
      <c r="X282" s="7" t="str">
        <f t="shared" si="53"/>
        <v>1010</v>
      </c>
      <c r="Y282" s="7" t="str">
        <f t="shared" si="54"/>
        <v>1000</v>
      </c>
    </row>
    <row r="283" spans="1:25" s="81" customFormat="1">
      <c r="A283" s="80"/>
      <c r="B283" s="84">
        <v>26</v>
      </c>
      <c r="C283" s="196">
        <v>0</v>
      </c>
      <c r="D283" s="197">
        <v>0</v>
      </c>
      <c r="E283" s="197">
        <v>0</v>
      </c>
      <c r="F283" s="197">
        <v>0</v>
      </c>
      <c r="G283" s="197">
        <v>0</v>
      </c>
      <c r="H283" s="197">
        <v>0</v>
      </c>
      <c r="I283" s="197">
        <v>0</v>
      </c>
      <c r="J283" s="197">
        <v>0</v>
      </c>
      <c r="K283" s="197">
        <v>0</v>
      </c>
      <c r="L283" s="197">
        <v>0</v>
      </c>
      <c r="M283" s="197">
        <v>0</v>
      </c>
      <c r="N283" s="197">
        <v>0</v>
      </c>
      <c r="O283" s="197">
        <v>0</v>
      </c>
      <c r="P283" s="197">
        <v>0</v>
      </c>
      <c r="Q283" s="197">
        <v>0</v>
      </c>
      <c r="R283" s="198">
        <v>0</v>
      </c>
      <c r="U283" s="9">
        <f t="shared" si="60"/>
        <v>26</v>
      </c>
      <c r="V283" s="7" t="str">
        <f t="shared" si="51"/>
        <v>0000</v>
      </c>
      <c r="W283" s="7" t="str">
        <f t="shared" si="52"/>
        <v>0000</v>
      </c>
      <c r="X283" s="7" t="str">
        <f t="shared" si="53"/>
        <v>0000</v>
      </c>
      <c r="Y283" s="7" t="str">
        <f t="shared" si="54"/>
        <v>0000</v>
      </c>
    </row>
    <row r="284" spans="1:25" s="81" customFormat="1">
      <c r="A284" s="80"/>
      <c r="B284" s="84">
        <v>27</v>
      </c>
      <c r="C284" s="196">
        <v>0</v>
      </c>
      <c r="D284" s="197">
        <v>0</v>
      </c>
      <c r="E284" s="197">
        <v>0</v>
      </c>
      <c r="F284" s="197">
        <v>0</v>
      </c>
      <c r="G284" s="197">
        <v>1</v>
      </c>
      <c r="H284" s="197">
        <v>0</v>
      </c>
      <c r="I284" s="197">
        <v>1</v>
      </c>
      <c r="J284" s="197">
        <v>0</v>
      </c>
      <c r="K284" s="197">
        <v>0</v>
      </c>
      <c r="L284" s="197">
        <v>1</v>
      </c>
      <c r="M284" s="197">
        <v>0</v>
      </c>
      <c r="N284" s="197">
        <v>1</v>
      </c>
      <c r="O284" s="197">
        <v>0</v>
      </c>
      <c r="P284" s="197">
        <v>0</v>
      </c>
      <c r="Q284" s="197">
        <v>0</v>
      </c>
      <c r="R284" s="198">
        <v>0</v>
      </c>
      <c r="U284" s="9">
        <f t="shared" si="60"/>
        <v>27</v>
      </c>
      <c r="V284" s="7" t="str">
        <f t="shared" si="51"/>
        <v>0000</v>
      </c>
      <c r="W284" s="7" t="str">
        <f t="shared" si="52"/>
        <v>1010</v>
      </c>
      <c r="X284" s="7" t="str">
        <f t="shared" si="53"/>
        <v>0101</v>
      </c>
      <c r="Y284" s="7" t="str">
        <f t="shared" si="54"/>
        <v>0000</v>
      </c>
    </row>
    <row r="285" spans="1:25" s="81" customFormat="1">
      <c r="A285" s="80"/>
      <c r="B285" s="84">
        <v>28</v>
      </c>
      <c r="C285" s="196">
        <v>0</v>
      </c>
      <c r="D285" s="197">
        <v>0</v>
      </c>
      <c r="E285" s="197">
        <v>0</v>
      </c>
      <c r="F285" s="197">
        <v>0</v>
      </c>
      <c r="G285" s="197">
        <v>0</v>
      </c>
      <c r="H285" s="197">
        <v>0</v>
      </c>
      <c r="I285" s="197">
        <v>0</v>
      </c>
      <c r="J285" s="197">
        <v>0</v>
      </c>
      <c r="K285" s="197">
        <v>0</v>
      </c>
      <c r="L285" s="197">
        <v>0</v>
      </c>
      <c r="M285" s="197">
        <v>0</v>
      </c>
      <c r="N285" s="197">
        <v>0</v>
      </c>
      <c r="O285" s="197">
        <v>0</v>
      </c>
      <c r="P285" s="197">
        <v>0</v>
      </c>
      <c r="Q285" s="197">
        <v>0</v>
      </c>
      <c r="R285" s="198">
        <v>0</v>
      </c>
      <c r="U285" s="9">
        <f t="shared" si="60"/>
        <v>28</v>
      </c>
      <c r="V285" s="7" t="str">
        <f t="shared" si="51"/>
        <v>0000</v>
      </c>
      <c r="W285" s="7" t="str">
        <f t="shared" si="52"/>
        <v>0000</v>
      </c>
      <c r="X285" s="7" t="str">
        <f t="shared" si="53"/>
        <v>0000</v>
      </c>
      <c r="Y285" s="7" t="str">
        <f t="shared" si="54"/>
        <v>0000</v>
      </c>
    </row>
    <row r="286" spans="1:25" s="81" customFormat="1">
      <c r="A286" s="80"/>
      <c r="B286" s="84">
        <v>29</v>
      </c>
      <c r="C286" s="196">
        <v>0</v>
      </c>
      <c r="D286" s="197">
        <v>0</v>
      </c>
      <c r="E286" s="197">
        <v>0</v>
      </c>
      <c r="F286" s="197">
        <v>1</v>
      </c>
      <c r="G286" s="197">
        <v>0</v>
      </c>
      <c r="H286" s="197">
        <v>1</v>
      </c>
      <c r="I286" s="197">
        <v>0</v>
      </c>
      <c r="J286" s="197">
        <v>1</v>
      </c>
      <c r="K286" s="197">
        <v>1</v>
      </c>
      <c r="L286" s="197">
        <v>0</v>
      </c>
      <c r="M286" s="197">
        <v>1</v>
      </c>
      <c r="N286" s="197">
        <v>0</v>
      </c>
      <c r="O286" s="197">
        <v>1</v>
      </c>
      <c r="P286" s="197">
        <v>0</v>
      </c>
      <c r="Q286" s="197">
        <v>0</v>
      </c>
      <c r="R286" s="198">
        <v>0</v>
      </c>
      <c r="U286" s="9">
        <f t="shared" si="60"/>
        <v>29</v>
      </c>
      <c r="V286" s="7" t="str">
        <f t="shared" si="51"/>
        <v>0001</v>
      </c>
      <c r="W286" s="7" t="str">
        <f t="shared" si="52"/>
        <v>0101</v>
      </c>
      <c r="X286" s="7" t="str">
        <f t="shared" si="53"/>
        <v>1010</v>
      </c>
      <c r="Y286" s="7" t="str">
        <f t="shared" si="54"/>
        <v>1000</v>
      </c>
    </row>
    <row r="287" spans="1:25" s="81" customFormat="1">
      <c r="A287" s="80"/>
      <c r="B287" s="84">
        <v>30</v>
      </c>
      <c r="C287" s="196">
        <v>0</v>
      </c>
      <c r="D287" s="197">
        <v>0</v>
      </c>
      <c r="E287" s="197">
        <v>0</v>
      </c>
      <c r="F287" s="197">
        <v>0</v>
      </c>
      <c r="G287" s="197">
        <v>0</v>
      </c>
      <c r="H287" s="197">
        <v>0</v>
      </c>
      <c r="I287" s="197">
        <v>0</v>
      </c>
      <c r="J287" s="197">
        <v>0</v>
      </c>
      <c r="K287" s="197">
        <v>0</v>
      </c>
      <c r="L287" s="197">
        <v>0</v>
      </c>
      <c r="M287" s="197">
        <v>0</v>
      </c>
      <c r="N287" s="197">
        <v>0</v>
      </c>
      <c r="O287" s="197">
        <v>0</v>
      </c>
      <c r="P287" s="197">
        <v>0</v>
      </c>
      <c r="Q287" s="197">
        <v>0</v>
      </c>
      <c r="R287" s="198">
        <v>0</v>
      </c>
      <c r="U287" s="9">
        <f t="shared" si="60"/>
        <v>30</v>
      </c>
      <c r="V287" s="7" t="str">
        <f t="shared" si="51"/>
        <v>0000</v>
      </c>
      <c r="W287" s="7" t="str">
        <f t="shared" si="52"/>
        <v>0000</v>
      </c>
      <c r="X287" s="7" t="str">
        <f t="shared" si="53"/>
        <v>0000</v>
      </c>
      <c r="Y287" s="7" t="str">
        <f t="shared" si="54"/>
        <v>0000</v>
      </c>
    </row>
    <row r="288" spans="1:25" s="81" customFormat="1" ht="15" thickBot="1">
      <c r="A288" s="80"/>
      <c r="B288" s="84">
        <v>31</v>
      </c>
      <c r="C288" s="201">
        <v>0</v>
      </c>
      <c r="D288" s="202">
        <v>0</v>
      </c>
      <c r="E288" s="202">
        <v>0</v>
      </c>
      <c r="F288" s="202">
        <v>0</v>
      </c>
      <c r="G288" s="202">
        <v>1</v>
      </c>
      <c r="H288" s="202">
        <v>0</v>
      </c>
      <c r="I288" s="202">
        <v>1</v>
      </c>
      <c r="J288" s="202">
        <v>0</v>
      </c>
      <c r="K288" s="202">
        <v>0</v>
      </c>
      <c r="L288" s="202">
        <v>1</v>
      </c>
      <c r="M288" s="202">
        <v>0</v>
      </c>
      <c r="N288" s="202">
        <v>1</v>
      </c>
      <c r="O288" s="202">
        <v>0</v>
      </c>
      <c r="P288" s="202">
        <v>0</v>
      </c>
      <c r="Q288" s="202">
        <v>0</v>
      </c>
      <c r="R288" s="203">
        <v>0</v>
      </c>
      <c r="U288" s="9">
        <f t="shared" si="60"/>
        <v>31</v>
      </c>
      <c r="V288" s="7" t="str">
        <f t="shared" si="51"/>
        <v>0000</v>
      </c>
      <c r="W288" s="7" t="str">
        <f t="shared" si="52"/>
        <v>1010</v>
      </c>
      <c r="X288" s="7" t="str">
        <f t="shared" si="53"/>
        <v>0101</v>
      </c>
      <c r="Y288" s="7" t="str">
        <f t="shared" si="54"/>
        <v>0000</v>
      </c>
    </row>
    <row r="289" spans="1:25" s="81" customFormat="1">
      <c r="A289" s="80"/>
      <c r="U289" s="85"/>
    </row>
    <row r="290" spans="1:25" s="81" customFormat="1">
      <c r="A290" s="80"/>
      <c r="U290" s="85"/>
    </row>
    <row r="291" spans="1:25" s="81" customFormat="1">
      <c r="A291" s="80" t="s">
        <v>421</v>
      </c>
      <c r="U291" s="8" t="str">
        <f>A291</f>
        <v>9.Used by FD (Storage to ROM)</v>
      </c>
    </row>
    <row r="292" spans="1:25" s="81" customFormat="1" ht="15" thickBot="1">
      <c r="A292" s="80"/>
      <c r="C292" s="84">
        <v>0</v>
      </c>
      <c r="D292" s="84">
        <v>1</v>
      </c>
      <c r="E292" s="84">
        <v>2</v>
      </c>
      <c r="F292" s="84">
        <v>3</v>
      </c>
      <c r="G292" s="84">
        <v>4</v>
      </c>
      <c r="H292" s="84">
        <v>5</v>
      </c>
      <c r="I292" s="84">
        <v>6</v>
      </c>
      <c r="J292" s="84">
        <v>7</v>
      </c>
      <c r="K292" s="84">
        <v>8</v>
      </c>
      <c r="L292" s="84">
        <v>9</v>
      </c>
      <c r="M292" s="84">
        <v>10</v>
      </c>
      <c r="N292" s="84">
        <v>11</v>
      </c>
      <c r="O292" s="84">
        <v>12</v>
      </c>
      <c r="P292" s="84">
        <v>13</v>
      </c>
      <c r="Q292" s="84">
        <v>14</v>
      </c>
      <c r="R292" s="84">
        <v>15</v>
      </c>
      <c r="U292" s="85"/>
      <c r="V292" s="7" t="str">
        <f t="shared" ref="V292" si="61">C292&amp;D292&amp;E292&amp;F292</f>
        <v>0123</v>
      </c>
      <c r="W292" s="7" t="str">
        <f t="shared" ref="W292" si="62">G292&amp;H292&amp;I292&amp;J292</f>
        <v>4567</v>
      </c>
      <c r="X292" s="7" t="str">
        <f t="shared" ref="X292" si="63">K292&amp;L292&amp;M292&amp;N292</f>
        <v>891011</v>
      </c>
      <c r="Y292" s="7" t="str">
        <f t="shared" ref="Y292" si="64">O292&amp;P292&amp;Q292&amp;R292</f>
        <v>12131415</v>
      </c>
    </row>
    <row r="293" spans="1:25" s="81" customFormat="1" ht="14.1" customHeight="1">
      <c r="A293" s="80"/>
      <c r="B293" s="84">
        <v>0</v>
      </c>
      <c r="C293" s="193">
        <v>0</v>
      </c>
      <c r="D293" s="194">
        <v>0</v>
      </c>
      <c r="E293" s="194">
        <v>0</v>
      </c>
      <c r="F293" s="194">
        <v>0</v>
      </c>
      <c r="G293" s="194">
        <v>0</v>
      </c>
      <c r="H293" s="194">
        <v>0</v>
      </c>
      <c r="I293" s="194">
        <v>0</v>
      </c>
      <c r="J293" s="194">
        <v>0</v>
      </c>
      <c r="K293" s="194">
        <v>0</v>
      </c>
      <c r="L293" s="194">
        <v>0</v>
      </c>
      <c r="M293" s="194">
        <v>0</v>
      </c>
      <c r="N293" s="194">
        <v>0</v>
      </c>
      <c r="O293" s="194">
        <v>0</v>
      </c>
      <c r="P293" s="194">
        <v>0</v>
      </c>
      <c r="Q293" s="194">
        <v>0</v>
      </c>
      <c r="R293" s="195">
        <v>0</v>
      </c>
      <c r="U293" s="9">
        <f t="shared" ref="U293:U324" si="65">B293</f>
        <v>0</v>
      </c>
      <c r="V293" s="7" t="str">
        <f t="shared" ref="V293:V324" si="66">DEC2HEX(C293)&amp;DEC2HEX(D293)&amp;DEC2HEX(E293)&amp;DEC2HEX(F293)</f>
        <v>0000</v>
      </c>
      <c r="W293" s="7" t="str">
        <f t="shared" ref="W293:W324" si="67">DEC2HEX(G293)&amp;DEC2HEX(H293)&amp;DEC2HEX(I293)&amp;DEC2HEX(J293)</f>
        <v>0000</v>
      </c>
      <c r="X293" s="7" t="str">
        <f t="shared" ref="X293:X324" si="68">DEC2HEX(K293)&amp;DEC2HEX(L293)&amp;DEC2HEX(M293)&amp;DEC2HEX(N293)</f>
        <v>0000</v>
      </c>
      <c r="Y293" s="7" t="str">
        <f t="shared" ref="Y293:Y324" si="69">DEC2HEX(O293)&amp;DEC2HEX(P293)&amp;DEC2HEX(Q293)&amp;DEC2HEX(R293)</f>
        <v>0000</v>
      </c>
    </row>
    <row r="294" spans="1:25" s="81" customFormat="1" ht="14.1" customHeight="1">
      <c r="A294" s="80"/>
      <c r="B294" s="84">
        <v>1</v>
      </c>
      <c r="C294" s="196">
        <v>0</v>
      </c>
      <c r="D294" s="197">
        <v>0</v>
      </c>
      <c r="E294" s="197">
        <v>0</v>
      </c>
      <c r="F294" s="197">
        <v>0</v>
      </c>
      <c r="G294" s="197">
        <v>0</v>
      </c>
      <c r="H294" s="197">
        <v>0</v>
      </c>
      <c r="I294" s="197">
        <v>0</v>
      </c>
      <c r="J294" s="197">
        <v>0</v>
      </c>
      <c r="K294" s="197">
        <v>0</v>
      </c>
      <c r="L294" s="197">
        <v>0</v>
      </c>
      <c r="M294" s="197">
        <v>0</v>
      </c>
      <c r="N294" s="197">
        <v>0</v>
      </c>
      <c r="O294" s="197">
        <v>0</v>
      </c>
      <c r="P294" s="197">
        <v>0</v>
      </c>
      <c r="Q294" s="197">
        <v>0</v>
      </c>
      <c r="R294" s="198">
        <v>0</v>
      </c>
      <c r="U294" s="9">
        <f t="shared" si="65"/>
        <v>1</v>
      </c>
      <c r="V294" s="7" t="str">
        <f t="shared" si="66"/>
        <v>0000</v>
      </c>
      <c r="W294" s="7" t="str">
        <f t="shared" si="67"/>
        <v>0000</v>
      </c>
      <c r="X294" s="7" t="str">
        <f t="shared" si="68"/>
        <v>0000</v>
      </c>
      <c r="Y294" s="7" t="str">
        <f t="shared" si="69"/>
        <v>0000</v>
      </c>
    </row>
    <row r="295" spans="1:25" s="81" customFormat="1" ht="14.1" customHeight="1">
      <c r="A295" s="80"/>
      <c r="B295" s="84">
        <v>2</v>
      </c>
      <c r="C295" s="196">
        <v>0</v>
      </c>
      <c r="D295" s="197">
        <v>0</v>
      </c>
      <c r="E295" s="197">
        <v>0</v>
      </c>
      <c r="F295" s="197">
        <v>0</v>
      </c>
      <c r="G295" s="197">
        <v>0</v>
      </c>
      <c r="H295" s="197">
        <v>0</v>
      </c>
      <c r="I295" s="197">
        <v>0</v>
      </c>
      <c r="J295" s="197">
        <v>0</v>
      </c>
      <c r="K295" s="197">
        <v>0</v>
      </c>
      <c r="L295" s="197">
        <v>0</v>
      </c>
      <c r="M295" s="197">
        <v>0</v>
      </c>
      <c r="N295" s="197">
        <v>0</v>
      </c>
      <c r="O295" s="197">
        <v>0</v>
      </c>
      <c r="P295" s="197">
        <v>0</v>
      </c>
      <c r="Q295" s="197">
        <v>0</v>
      </c>
      <c r="R295" s="198">
        <v>0</v>
      </c>
      <c r="U295" s="9">
        <f t="shared" si="65"/>
        <v>2</v>
      </c>
      <c r="V295" s="7" t="str">
        <f t="shared" si="66"/>
        <v>0000</v>
      </c>
      <c r="W295" s="7" t="str">
        <f t="shared" si="67"/>
        <v>0000</v>
      </c>
      <c r="X295" s="7" t="str">
        <f t="shared" si="68"/>
        <v>0000</v>
      </c>
      <c r="Y295" s="7" t="str">
        <f t="shared" si="69"/>
        <v>0000</v>
      </c>
    </row>
    <row r="296" spans="1:25" s="81" customFormat="1" ht="14.1" customHeight="1">
      <c r="A296" s="80"/>
      <c r="B296" s="84">
        <v>3</v>
      </c>
      <c r="C296" s="196">
        <v>0</v>
      </c>
      <c r="D296" s="197">
        <v>0</v>
      </c>
      <c r="E296" s="197">
        <v>0</v>
      </c>
      <c r="F296" s="197">
        <v>0</v>
      </c>
      <c r="G296" s="197">
        <v>0</v>
      </c>
      <c r="H296" s="197">
        <v>0</v>
      </c>
      <c r="I296" s="197">
        <v>0</v>
      </c>
      <c r="J296" s="197">
        <v>0</v>
      </c>
      <c r="K296" s="197">
        <v>0</v>
      </c>
      <c r="L296" s="197">
        <v>0</v>
      </c>
      <c r="M296" s="197">
        <v>0</v>
      </c>
      <c r="N296" s="197">
        <v>0</v>
      </c>
      <c r="O296" s="197">
        <v>0</v>
      </c>
      <c r="P296" s="197">
        <v>0</v>
      </c>
      <c r="Q296" s="197">
        <v>0</v>
      </c>
      <c r="R296" s="198">
        <v>0</v>
      </c>
      <c r="U296" s="9">
        <f t="shared" si="65"/>
        <v>3</v>
      </c>
      <c r="V296" s="7" t="str">
        <f t="shared" si="66"/>
        <v>0000</v>
      </c>
      <c r="W296" s="7" t="str">
        <f t="shared" si="67"/>
        <v>0000</v>
      </c>
      <c r="X296" s="7" t="str">
        <f t="shared" si="68"/>
        <v>0000</v>
      </c>
      <c r="Y296" s="7" t="str">
        <f t="shared" si="69"/>
        <v>0000</v>
      </c>
    </row>
    <row r="297" spans="1:25" s="81" customFormat="1" ht="14.1" customHeight="1">
      <c r="A297" s="80"/>
      <c r="B297" s="84">
        <v>4</v>
      </c>
      <c r="C297" s="196">
        <v>0</v>
      </c>
      <c r="D297" s="197">
        <v>0</v>
      </c>
      <c r="E297" s="197">
        <v>0</v>
      </c>
      <c r="F297" s="197">
        <v>0</v>
      </c>
      <c r="G297" s="197">
        <v>0</v>
      </c>
      <c r="H297" s="197">
        <v>0</v>
      </c>
      <c r="I297" s="197">
        <v>0</v>
      </c>
      <c r="J297" s="197">
        <v>0</v>
      </c>
      <c r="K297" s="197">
        <v>0</v>
      </c>
      <c r="L297" s="197">
        <v>0</v>
      </c>
      <c r="M297" s="197">
        <v>0</v>
      </c>
      <c r="N297" s="197">
        <v>0</v>
      </c>
      <c r="O297" s="197">
        <v>0</v>
      </c>
      <c r="P297" s="197">
        <v>0</v>
      </c>
      <c r="Q297" s="197">
        <v>0</v>
      </c>
      <c r="R297" s="198">
        <v>0</v>
      </c>
      <c r="U297" s="9">
        <f t="shared" si="65"/>
        <v>4</v>
      </c>
      <c r="V297" s="7" t="str">
        <f t="shared" si="66"/>
        <v>0000</v>
      </c>
      <c r="W297" s="7" t="str">
        <f t="shared" si="67"/>
        <v>0000</v>
      </c>
      <c r="X297" s="7" t="str">
        <f t="shared" si="68"/>
        <v>0000</v>
      </c>
      <c r="Y297" s="7" t="str">
        <f t="shared" si="69"/>
        <v>0000</v>
      </c>
    </row>
    <row r="298" spans="1:25" s="81" customFormat="1" ht="14.1" customHeight="1">
      <c r="A298" s="80"/>
      <c r="B298" s="84">
        <v>5</v>
      </c>
      <c r="C298" s="196">
        <v>0</v>
      </c>
      <c r="D298" s="197">
        <v>0</v>
      </c>
      <c r="E298" s="197">
        <v>0</v>
      </c>
      <c r="F298" s="197">
        <v>0</v>
      </c>
      <c r="G298" s="197">
        <v>0</v>
      </c>
      <c r="H298" s="197">
        <v>0</v>
      </c>
      <c r="I298" s="197">
        <v>0</v>
      </c>
      <c r="J298" s="197">
        <v>0</v>
      </c>
      <c r="K298" s="197">
        <v>0</v>
      </c>
      <c r="L298" s="197">
        <v>0</v>
      </c>
      <c r="M298" s="197">
        <v>0</v>
      </c>
      <c r="N298" s="197">
        <v>0</v>
      </c>
      <c r="O298" s="197">
        <v>0</v>
      </c>
      <c r="P298" s="197">
        <v>0</v>
      </c>
      <c r="Q298" s="197">
        <v>0</v>
      </c>
      <c r="R298" s="198">
        <v>0</v>
      </c>
      <c r="U298" s="9">
        <f t="shared" si="65"/>
        <v>5</v>
      </c>
      <c r="V298" s="7" t="str">
        <f t="shared" si="66"/>
        <v>0000</v>
      </c>
      <c r="W298" s="7" t="str">
        <f t="shared" si="67"/>
        <v>0000</v>
      </c>
      <c r="X298" s="7" t="str">
        <f t="shared" si="68"/>
        <v>0000</v>
      </c>
      <c r="Y298" s="7" t="str">
        <f t="shared" si="69"/>
        <v>0000</v>
      </c>
    </row>
    <row r="299" spans="1:25" s="81" customFormat="1" ht="14.1" customHeight="1">
      <c r="A299" s="80"/>
      <c r="B299" s="84">
        <v>6</v>
      </c>
      <c r="C299" s="196">
        <v>0</v>
      </c>
      <c r="D299" s="197">
        <v>0</v>
      </c>
      <c r="E299" s="197">
        <v>0</v>
      </c>
      <c r="F299" s="197">
        <v>0</v>
      </c>
      <c r="G299" s="197">
        <v>0</v>
      </c>
      <c r="H299" s="197">
        <v>0</v>
      </c>
      <c r="I299" s="197">
        <v>0</v>
      </c>
      <c r="J299" s="197">
        <v>0</v>
      </c>
      <c r="K299" s="197">
        <v>0</v>
      </c>
      <c r="L299" s="197">
        <v>0</v>
      </c>
      <c r="M299" s="197">
        <v>0</v>
      </c>
      <c r="N299" s="197">
        <v>0</v>
      </c>
      <c r="O299" s="197">
        <v>0</v>
      </c>
      <c r="P299" s="197">
        <v>0</v>
      </c>
      <c r="Q299" s="197">
        <v>0</v>
      </c>
      <c r="R299" s="198">
        <v>0</v>
      </c>
      <c r="U299" s="9">
        <f t="shared" si="65"/>
        <v>6</v>
      </c>
      <c r="V299" s="7" t="str">
        <f t="shared" si="66"/>
        <v>0000</v>
      </c>
      <c r="W299" s="7" t="str">
        <f t="shared" si="67"/>
        <v>0000</v>
      </c>
      <c r="X299" s="7" t="str">
        <f t="shared" si="68"/>
        <v>0000</v>
      </c>
      <c r="Y299" s="7" t="str">
        <f t="shared" si="69"/>
        <v>0000</v>
      </c>
    </row>
    <row r="300" spans="1:25" s="81" customFormat="1" ht="14.1" customHeight="1">
      <c r="A300" s="80"/>
      <c r="B300" s="84">
        <v>7</v>
      </c>
      <c r="C300" s="196">
        <v>0</v>
      </c>
      <c r="D300" s="197">
        <v>0</v>
      </c>
      <c r="E300" s="197">
        <v>0</v>
      </c>
      <c r="F300" s="197">
        <v>0</v>
      </c>
      <c r="G300" s="197">
        <v>0</v>
      </c>
      <c r="H300" s="197">
        <v>0</v>
      </c>
      <c r="I300" s="197">
        <v>0</v>
      </c>
      <c r="J300" s="197">
        <v>0</v>
      </c>
      <c r="K300" s="197">
        <v>0</v>
      </c>
      <c r="L300" s="197">
        <v>0</v>
      </c>
      <c r="M300" s="197">
        <v>0</v>
      </c>
      <c r="N300" s="197">
        <v>0</v>
      </c>
      <c r="O300" s="197">
        <v>0</v>
      </c>
      <c r="P300" s="197">
        <v>0</v>
      </c>
      <c r="Q300" s="197">
        <v>0</v>
      </c>
      <c r="R300" s="198">
        <v>0</v>
      </c>
      <c r="U300" s="9">
        <f t="shared" si="65"/>
        <v>7</v>
      </c>
      <c r="V300" s="7" t="str">
        <f t="shared" si="66"/>
        <v>0000</v>
      </c>
      <c r="W300" s="7" t="str">
        <f t="shared" si="67"/>
        <v>0000</v>
      </c>
      <c r="X300" s="7" t="str">
        <f t="shared" si="68"/>
        <v>0000</v>
      </c>
      <c r="Y300" s="7" t="str">
        <f t="shared" si="69"/>
        <v>0000</v>
      </c>
    </row>
    <row r="301" spans="1:25" s="81" customFormat="1" ht="14.1" customHeight="1">
      <c r="A301" s="80"/>
      <c r="B301" s="84">
        <v>8</v>
      </c>
      <c r="C301" s="196">
        <v>0</v>
      </c>
      <c r="D301" s="197">
        <v>0</v>
      </c>
      <c r="E301" s="197">
        <v>0</v>
      </c>
      <c r="F301" s="197">
        <v>0</v>
      </c>
      <c r="G301" s="197">
        <v>0</v>
      </c>
      <c r="H301" s="197">
        <v>0</v>
      </c>
      <c r="I301" s="197">
        <v>0</v>
      </c>
      <c r="J301" s="197">
        <v>0</v>
      </c>
      <c r="K301" s="197">
        <v>0</v>
      </c>
      <c r="L301" s="197">
        <v>0</v>
      </c>
      <c r="M301" s="197">
        <v>0</v>
      </c>
      <c r="N301" s="197">
        <v>0</v>
      </c>
      <c r="O301" s="197">
        <v>0</v>
      </c>
      <c r="P301" s="197">
        <v>0</v>
      </c>
      <c r="Q301" s="197">
        <v>0</v>
      </c>
      <c r="R301" s="198">
        <v>0</v>
      </c>
      <c r="U301" s="9">
        <f t="shared" si="65"/>
        <v>8</v>
      </c>
      <c r="V301" s="7" t="str">
        <f t="shared" si="66"/>
        <v>0000</v>
      </c>
      <c r="W301" s="7" t="str">
        <f t="shared" si="67"/>
        <v>0000</v>
      </c>
      <c r="X301" s="7" t="str">
        <f t="shared" si="68"/>
        <v>0000</v>
      </c>
      <c r="Y301" s="7" t="str">
        <f t="shared" si="69"/>
        <v>0000</v>
      </c>
    </row>
    <row r="302" spans="1:25" s="81" customFormat="1" ht="14.1" customHeight="1">
      <c r="A302" s="80"/>
      <c r="B302" s="84">
        <v>9</v>
      </c>
      <c r="C302" s="196">
        <v>0</v>
      </c>
      <c r="D302" s="197">
        <v>0</v>
      </c>
      <c r="E302" s="197">
        <v>0</v>
      </c>
      <c r="F302" s="197">
        <v>0</v>
      </c>
      <c r="G302" s="197">
        <v>0</v>
      </c>
      <c r="H302" s="197">
        <v>0</v>
      </c>
      <c r="I302" s="197">
        <v>0</v>
      </c>
      <c r="J302" s="197">
        <v>0</v>
      </c>
      <c r="K302" s="197">
        <v>0</v>
      </c>
      <c r="L302" s="197">
        <v>0</v>
      </c>
      <c r="M302" s="197">
        <v>0</v>
      </c>
      <c r="N302" s="197">
        <v>0</v>
      </c>
      <c r="O302" s="197">
        <v>0</v>
      </c>
      <c r="P302" s="197">
        <v>0</v>
      </c>
      <c r="Q302" s="197">
        <v>0</v>
      </c>
      <c r="R302" s="198">
        <v>0</v>
      </c>
      <c r="U302" s="9">
        <f t="shared" si="65"/>
        <v>9</v>
      </c>
      <c r="V302" s="7" t="str">
        <f t="shared" si="66"/>
        <v>0000</v>
      </c>
      <c r="W302" s="7" t="str">
        <f t="shared" si="67"/>
        <v>0000</v>
      </c>
      <c r="X302" s="7" t="str">
        <f t="shared" si="68"/>
        <v>0000</v>
      </c>
      <c r="Y302" s="7" t="str">
        <f t="shared" si="69"/>
        <v>0000</v>
      </c>
    </row>
    <row r="303" spans="1:25" s="81" customFormat="1" ht="14.1" customHeight="1">
      <c r="A303" s="80"/>
      <c r="B303" s="84">
        <v>10</v>
      </c>
      <c r="C303" s="196">
        <v>0</v>
      </c>
      <c r="D303" s="197">
        <v>0</v>
      </c>
      <c r="E303" s="197">
        <v>0</v>
      </c>
      <c r="F303" s="197">
        <v>0</v>
      </c>
      <c r="G303" s="197">
        <v>0</v>
      </c>
      <c r="H303" s="197">
        <v>0</v>
      </c>
      <c r="I303" s="197">
        <v>0</v>
      </c>
      <c r="J303" s="197">
        <v>0</v>
      </c>
      <c r="K303" s="197">
        <v>0</v>
      </c>
      <c r="L303" s="197">
        <v>0</v>
      </c>
      <c r="M303" s="197">
        <v>0</v>
      </c>
      <c r="N303" s="197">
        <v>0</v>
      </c>
      <c r="O303" s="197">
        <v>0</v>
      </c>
      <c r="P303" s="197">
        <v>0</v>
      </c>
      <c r="Q303" s="197">
        <v>0</v>
      </c>
      <c r="R303" s="198">
        <v>0</v>
      </c>
      <c r="U303" s="9">
        <f t="shared" si="65"/>
        <v>10</v>
      </c>
      <c r="V303" s="7" t="str">
        <f t="shared" si="66"/>
        <v>0000</v>
      </c>
      <c r="W303" s="7" t="str">
        <f t="shared" si="67"/>
        <v>0000</v>
      </c>
      <c r="X303" s="7" t="str">
        <f t="shared" si="68"/>
        <v>0000</v>
      </c>
      <c r="Y303" s="7" t="str">
        <f t="shared" si="69"/>
        <v>0000</v>
      </c>
    </row>
    <row r="304" spans="1:25" s="81" customFormat="1" ht="14.1" customHeight="1">
      <c r="A304" s="80"/>
      <c r="B304" s="84">
        <v>11</v>
      </c>
      <c r="C304" s="196">
        <v>0</v>
      </c>
      <c r="D304" s="197">
        <v>0</v>
      </c>
      <c r="E304" s="197">
        <v>0</v>
      </c>
      <c r="F304" s="197">
        <v>0</v>
      </c>
      <c r="G304" s="197">
        <v>0</v>
      </c>
      <c r="H304" s="197">
        <v>0</v>
      </c>
      <c r="I304" s="197">
        <v>1</v>
      </c>
      <c r="J304" s="197">
        <v>0</v>
      </c>
      <c r="K304" s="197">
        <v>0</v>
      </c>
      <c r="L304" s="197">
        <v>1</v>
      </c>
      <c r="M304" s="197">
        <v>0</v>
      </c>
      <c r="N304" s="197">
        <v>0</v>
      </c>
      <c r="O304" s="197">
        <v>0</v>
      </c>
      <c r="P304" s="197">
        <v>0</v>
      </c>
      <c r="Q304" s="197">
        <v>0</v>
      </c>
      <c r="R304" s="198">
        <v>0</v>
      </c>
      <c r="U304" s="9">
        <f t="shared" si="65"/>
        <v>11</v>
      </c>
      <c r="V304" s="7" t="str">
        <f t="shared" si="66"/>
        <v>0000</v>
      </c>
      <c r="W304" s="7" t="str">
        <f t="shared" si="67"/>
        <v>0010</v>
      </c>
      <c r="X304" s="7" t="str">
        <f t="shared" si="68"/>
        <v>0100</v>
      </c>
      <c r="Y304" s="7" t="str">
        <f t="shared" si="69"/>
        <v>0000</v>
      </c>
    </row>
    <row r="305" spans="1:25" s="81" customFormat="1" ht="14.1" customHeight="1">
      <c r="A305" s="80"/>
      <c r="B305" s="84">
        <v>12</v>
      </c>
      <c r="C305" s="196">
        <v>0</v>
      </c>
      <c r="D305" s="197">
        <v>0</v>
      </c>
      <c r="E305" s="197">
        <v>0</v>
      </c>
      <c r="F305" s="197">
        <v>0</v>
      </c>
      <c r="G305" s="197">
        <v>0</v>
      </c>
      <c r="H305" s="197">
        <v>0</v>
      </c>
      <c r="I305" s="197">
        <v>0</v>
      </c>
      <c r="J305" s="197">
        <v>0</v>
      </c>
      <c r="K305" s="197">
        <v>0</v>
      </c>
      <c r="L305" s="197">
        <v>0</v>
      </c>
      <c r="M305" s="197">
        <v>0</v>
      </c>
      <c r="N305" s="197">
        <v>0</v>
      </c>
      <c r="O305" s="197">
        <v>0</v>
      </c>
      <c r="P305" s="197">
        <v>0</v>
      </c>
      <c r="Q305" s="197">
        <v>0</v>
      </c>
      <c r="R305" s="198">
        <v>0</v>
      </c>
      <c r="U305" s="9">
        <f t="shared" si="65"/>
        <v>12</v>
      </c>
      <c r="V305" s="7" t="str">
        <f t="shared" si="66"/>
        <v>0000</v>
      </c>
      <c r="W305" s="7" t="str">
        <f t="shared" si="67"/>
        <v>0000</v>
      </c>
      <c r="X305" s="7" t="str">
        <f t="shared" si="68"/>
        <v>0000</v>
      </c>
      <c r="Y305" s="7" t="str">
        <f t="shared" si="69"/>
        <v>0000</v>
      </c>
    </row>
    <row r="306" spans="1:25" s="81" customFormat="1" ht="14.1" customHeight="1">
      <c r="A306" s="80"/>
      <c r="B306" s="84">
        <v>13</v>
      </c>
      <c r="C306" s="196">
        <v>0</v>
      </c>
      <c r="D306" s="197">
        <v>0</v>
      </c>
      <c r="E306" s="197">
        <v>0</v>
      </c>
      <c r="F306" s="197">
        <v>0</v>
      </c>
      <c r="G306" s="197">
        <v>0</v>
      </c>
      <c r="H306" s="197">
        <v>0</v>
      </c>
      <c r="I306" s="197">
        <v>0</v>
      </c>
      <c r="J306" s="197">
        <v>0</v>
      </c>
      <c r="K306" s="197">
        <v>0</v>
      </c>
      <c r="L306" s="197">
        <v>0</v>
      </c>
      <c r="M306" s="197">
        <v>0</v>
      </c>
      <c r="N306" s="197">
        <v>0</v>
      </c>
      <c r="O306" s="197">
        <v>0</v>
      </c>
      <c r="P306" s="197">
        <v>0</v>
      </c>
      <c r="Q306" s="197">
        <v>0</v>
      </c>
      <c r="R306" s="198">
        <v>0</v>
      </c>
      <c r="U306" s="9">
        <f t="shared" si="65"/>
        <v>13</v>
      </c>
      <c r="V306" s="7" t="str">
        <f t="shared" si="66"/>
        <v>0000</v>
      </c>
      <c r="W306" s="7" t="str">
        <f t="shared" si="67"/>
        <v>0000</v>
      </c>
      <c r="X306" s="7" t="str">
        <f t="shared" si="68"/>
        <v>0000</v>
      </c>
      <c r="Y306" s="7" t="str">
        <f t="shared" si="69"/>
        <v>0000</v>
      </c>
    </row>
    <row r="307" spans="1:25" s="81" customFormat="1" ht="14.1" customHeight="1">
      <c r="A307" s="80"/>
      <c r="B307" s="84">
        <v>14</v>
      </c>
      <c r="C307" s="196">
        <v>0</v>
      </c>
      <c r="D307" s="197">
        <v>0</v>
      </c>
      <c r="E307" s="197">
        <v>0</v>
      </c>
      <c r="F307" s="197">
        <v>0</v>
      </c>
      <c r="G307" s="197">
        <v>0</v>
      </c>
      <c r="H307" s="197">
        <v>0</v>
      </c>
      <c r="I307" s="197">
        <v>0</v>
      </c>
      <c r="J307" s="197">
        <v>0</v>
      </c>
      <c r="K307" s="197">
        <v>0</v>
      </c>
      <c r="L307" s="197">
        <v>0</v>
      </c>
      <c r="M307" s="197">
        <v>0</v>
      </c>
      <c r="N307" s="197">
        <v>0</v>
      </c>
      <c r="O307" s="197">
        <v>0</v>
      </c>
      <c r="P307" s="197">
        <v>0</v>
      </c>
      <c r="Q307" s="197">
        <v>0</v>
      </c>
      <c r="R307" s="198">
        <v>0</v>
      </c>
      <c r="U307" s="9">
        <f t="shared" si="65"/>
        <v>14</v>
      </c>
      <c r="V307" s="7" t="str">
        <f t="shared" si="66"/>
        <v>0000</v>
      </c>
      <c r="W307" s="7" t="str">
        <f t="shared" si="67"/>
        <v>0000</v>
      </c>
      <c r="X307" s="7" t="str">
        <f t="shared" si="68"/>
        <v>0000</v>
      </c>
      <c r="Y307" s="7" t="str">
        <f t="shared" si="69"/>
        <v>0000</v>
      </c>
    </row>
    <row r="308" spans="1:25" s="81" customFormat="1" ht="14.1" customHeight="1">
      <c r="A308" s="80"/>
      <c r="B308" s="84">
        <v>15</v>
      </c>
      <c r="C308" s="196">
        <v>0</v>
      </c>
      <c r="D308" s="197">
        <v>0</v>
      </c>
      <c r="E308" s="197">
        <v>0</v>
      </c>
      <c r="F308" s="197">
        <v>0</v>
      </c>
      <c r="G308" s="197">
        <v>1</v>
      </c>
      <c r="H308" s="197">
        <v>0</v>
      </c>
      <c r="I308" s="197">
        <v>0</v>
      </c>
      <c r="J308" s="197">
        <v>0</v>
      </c>
      <c r="K308" s="197">
        <v>0</v>
      </c>
      <c r="L308" s="197">
        <v>0</v>
      </c>
      <c r="M308" s="197">
        <v>0</v>
      </c>
      <c r="N308" s="197">
        <v>1</v>
      </c>
      <c r="O308" s="197">
        <v>0</v>
      </c>
      <c r="P308" s="197">
        <v>0</v>
      </c>
      <c r="Q308" s="197">
        <v>0</v>
      </c>
      <c r="R308" s="198">
        <v>0</v>
      </c>
      <c r="U308" s="9">
        <f t="shared" si="65"/>
        <v>15</v>
      </c>
      <c r="V308" s="7" t="str">
        <f t="shared" si="66"/>
        <v>0000</v>
      </c>
      <c r="W308" s="7" t="str">
        <f t="shared" si="67"/>
        <v>1000</v>
      </c>
      <c r="X308" s="7" t="str">
        <f t="shared" si="68"/>
        <v>0001</v>
      </c>
      <c r="Y308" s="7" t="str">
        <f t="shared" si="69"/>
        <v>0000</v>
      </c>
    </row>
    <row r="309" spans="1:25" s="81" customFormat="1" ht="14.1" customHeight="1">
      <c r="A309" s="80"/>
      <c r="B309" s="84">
        <v>16</v>
      </c>
      <c r="C309" s="196">
        <v>0</v>
      </c>
      <c r="D309" s="197">
        <v>0</v>
      </c>
      <c r="E309" s="197">
        <v>0</v>
      </c>
      <c r="F309" s="197">
        <v>0</v>
      </c>
      <c r="G309" s="197">
        <v>0</v>
      </c>
      <c r="H309" s="197">
        <v>0</v>
      </c>
      <c r="I309" s="197">
        <v>0</v>
      </c>
      <c r="J309" s="197">
        <v>0</v>
      </c>
      <c r="K309" s="197">
        <v>0</v>
      </c>
      <c r="L309" s="197">
        <v>0</v>
      </c>
      <c r="M309" s="197">
        <v>0</v>
      </c>
      <c r="N309" s="197">
        <v>0</v>
      </c>
      <c r="O309" s="197">
        <v>0</v>
      </c>
      <c r="P309" s="197">
        <v>0</v>
      </c>
      <c r="Q309" s="197">
        <v>0</v>
      </c>
      <c r="R309" s="198">
        <v>0</v>
      </c>
      <c r="U309" s="9">
        <f t="shared" si="65"/>
        <v>16</v>
      </c>
      <c r="V309" s="7" t="str">
        <f t="shared" si="66"/>
        <v>0000</v>
      </c>
      <c r="W309" s="7" t="str">
        <f t="shared" si="67"/>
        <v>0000</v>
      </c>
      <c r="X309" s="7" t="str">
        <f t="shared" si="68"/>
        <v>0000</v>
      </c>
      <c r="Y309" s="7" t="str">
        <f t="shared" si="69"/>
        <v>0000</v>
      </c>
    </row>
    <row r="310" spans="1:25" s="81" customFormat="1" ht="14.1" customHeight="1">
      <c r="A310" s="80"/>
      <c r="B310" s="84">
        <v>17</v>
      </c>
      <c r="C310" s="196">
        <v>0</v>
      </c>
      <c r="D310" s="197">
        <v>0</v>
      </c>
      <c r="E310" s="197">
        <v>0</v>
      </c>
      <c r="F310" s="197">
        <v>0</v>
      </c>
      <c r="G310" s="197">
        <v>0</v>
      </c>
      <c r="H310" s="197">
        <v>0</v>
      </c>
      <c r="I310" s="197">
        <v>0</v>
      </c>
      <c r="J310" s="197">
        <v>0</v>
      </c>
      <c r="K310" s="197">
        <v>0</v>
      </c>
      <c r="L310" s="197">
        <v>0</v>
      </c>
      <c r="M310" s="197">
        <v>0</v>
      </c>
      <c r="N310" s="197">
        <v>0</v>
      </c>
      <c r="O310" s="197">
        <v>0</v>
      </c>
      <c r="P310" s="197">
        <v>0</v>
      </c>
      <c r="Q310" s="197">
        <v>0</v>
      </c>
      <c r="R310" s="198">
        <v>0</v>
      </c>
      <c r="U310" s="9">
        <f t="shared" si="65"/>
        <v>17</v>
      </c>
      <c r="V310" s="7" t="str">
        <f t="shared" si="66"/>
        <v>0000</v>
      </c>
      <c r="W310" s="7" t="str">
        <f t="shared" si="67"/>
        <v>0000</v>
      </c>
      <c r="X310" s="7" t="str">
        <f t="shared" si="68"/>
        <v>0000</v>
      </c>
      <c r="Y310" s="7" t="str">
        <f t="shared" si="69"/>
        <v>0000</v>
      </c>
    </row>
    <row r="311" spans="1:25" s="81" customFormat="1" ht="14.1" customHeight="1">
      <c r="A311" s="80"/>
      <c r="B311" s="84">
        <v>18</v>
      </c>
      <c r="C311" s="196">
        <v>0</v>
      </c>
      <c r="D311" s="197">
        <v>0</v>
      </c>
      <c r="E311" s="197">
        <v>0</v>
      </c>
      <c r="F311" s="197">
        <v>0</v>
      </c>
      <c r="G311" s="197">
        <v>0</v>
      </c>
      <c r="H311" s="197">
        <v>0</v>
      </c>
      <c r="I311" s="197">
        <v>0</v>
      </c>
      <c r="J311" s="197">
        <v>0</v>
      </c>
      <c r="K311" s="197">
        <v>0</v>
      </c>
      <c r="L311" s="197">
        <v>0</v>
      </c>
      <c r="M311" s="197">
        <v>0</v>
      </c>
      <c r="N311" s="197">
        <v>0</v>
      </c>
      <c r="O311" s="197">
        <v>0</v>
      </c>
      <c r="P311" s="197">
        <v>0</v>
      </c>
      <c r="Q311" s="197">
        <v>0</v>
      </c>
      <c r="R311" s="198">
        <v>0</v>
      </c>
      <c r="U311" s="9">
        <f t="shared" si="65"/>
        <v>18</v>
      </c>
      <c r="V311" s="7" t="str">
        <f t="shared" si="66"/>
        <v>0000</v>
      </c>
      <c r="W311" s="7" t="str">
        <f t="shared" si="67"/>
        <v>0000</v>
      </c>
      <c r="X311" s="7" t="str">
        <f t="shared" si="68"/>
        <v>0000</v>
      </c>
      <c r="Y311" s="7" t="str">
        <f t="shared" si="69"/>
        <v>0000</v>
      </c>
    </row>
    <row r="312" spans="1:25" s="81" customFormat="1" ht="14.1" customHeight="1">
      <c r="A312" s="80"/>
      <c r="B312" s="84">
        <v>19</v>
      </c>
      <c r="C312" s="196">
        <v>0</v>
      </c>
      <c r="D312" s="197">
        <v>0</v>
      </c>
      <c r="E312" s="197">
        <v>1</v>
      </c>
      <c r="F312" s="197">
        <v>0</v>
      </c>
      <c r="G312" s="197">
        <v>0</v>
      </c>
      <c r="H312" s="197">
        <v>0</v>
      </c>
      <c r="I312" s="197">
        <v>1</v>
      </c>
      <c r="J312" s="197">
        <v>0</v>
      </c>
      <c r="K312" s="197">
        <v>0</v>
      </c>
      <c r="L312" s="197">
        <v>1</v>
      </c>
      <c r="M312" s="197">
        <v>0</v>
      </c>
      <c r="N312" s="197">
        <v>0</v>
      </c>
      <c r="O312" s="197">
        <v>0</v>
      </c>
      <c r="P312" s="197">
        <v>1</v>
      </c>
      <c r="Q312" s="197">
        <v>0</v>
      </c>
      <c r="R312" s="198">
        <v>0</v>
      </c>
      <c r="U312" s="9">
        <f t="shared" si="65"/>
        <v>19</v>
      </c>
      <c r="V312" s="7" t="str">
        <f t="shared" si="66"/>
        <v>0010</v>
      </c>
      <c r="W312" s="7" t="str">
        <f t="shared" si="67"/>
        <v>0010</v>
      </c>
      <c r="X312" s="7" t="str">
        <f t="shared" si="68"/>
        <v>0100</v>
      </c>
      <c r="Y312" s="7" t="str">
        <f t="shared" si="69"/>
        <v>0100</v>
      </c>
    </row>
    <row r="313" spans="1:25" s="81" customFormat="1" ht="14.1" customHeight="1">
      <c r="A313" s="80"/>
      <c r="B313" s="84">
        <v>20</v>
      </c>
      <c r="C313" s="196">
        <v>0</v>
      </c>
      <c r="D313" s="197">
        <v>0</v>
      </c>
      <c r="E313" s="197">
        <v>0</v>
      </c>
      <c r="F313" s="197">
        <v>0</v>
      </c>
      <c r="G313" s="197">
        <v>0</v>
      </c>
      <c r="H313" s="197">
        <v>0</v>
      </c>
      <c r="I313" s="197">
        <v>0</v>
      </c>
      <c r="J313" s="197">
        <v>0</v>
      </c>
      <c r="K313" s="197">
        <v>0</v>
      </c>
      <c r="L313" s="197">
        <v>0</v>
      </c>
      <c r="M313" s="197">
        <v>0</v>
      </c>
      <c r="N313" s="197">
        <v>0</v>
      </c>
      <c r="O313" s="197">
        <v>0</v>
      </c>
      <c r="P313" s="197">
        <v>0</v>
      </c>
      <c r="Q313" s="197">
        <v>0</v>
      </c>
      <c r="R313" s="198">
        <v>0</v>
      </c>
      <c r="U313" s="9">
        <f t="shared" si="65"/>
        <v>20</v>
      </c>
      <c r="V313" s="7" t="str">
        <f t="shared" si="66"/>
        <v>0000</v>
      </c>
      <c r="W313" s="7" t="str">
        <f t="shared" si="67"/>
        <v>0000</v>
      </c>
      <c r="X313" s="7" t="str">
        <f t="shared" si="68"/>
        <v>0000</v>
      </c>
      <c r="Y313" s="7" t="str">
        <f t="shared" si="69"/>
        <v>0000</v>
      </c>
    </row>
    <row r="314" spans="1:25" s="81" customFormat="1" ht="14.1" customHeight="1">
      <c r="A314" s="80"/>
      <c r="B314" s="84">
        <v>21</v>
      </c>
      <c r="C314" s="196">
        <v>0</v>
      </c>
      <c r="D314" s="197">
        <v>0</v>
      </c>
      <c r="E314" s="197">
        <v>0</v>
      </c>
      <c r="F314" s="197">
        <v>0</v>
      </c>
      <c r="G314" s="197">
        <v>0</v>
      </c>
      <c r="H314" s="197">
        <v>0</v>
      </c>
      <c r="I314" s="197">
        <v>0</v>
      </c>
      <c r="J314" s="197">
        <v>0</v>
      </c>
      <c r="K314" s="197">
        <v>0</v>
      </c>
      <c r="L314" s="197">
        <v>0</v>
      </c>
      <c r="M314" s="197">
        <v>0</v>
      </c>
      <c r="N314" s="197">
        <v>0</v>
      </c>
      <c r="O314" s="197">
        <v>0</v>
      </c>
      <c r="P314" s="197">
        <v>0</v>
      </c>
      <c r="Q314" s="197">
        <v>0</v>
      </c>
      <c r="R314" s="198">
        <v>0</v>
      </c>
      <c r="U314" s="9">
        <f t="shared" si="65"/>
        <v>21</v>
      </c>
      <c r="V314" s="7" t="str">
        <f t="shared" si="66"/>
        <v>0000</v>
      </c>
      <c r="W314" s="7" t="str">
        <f t="shared" si="67"/>
        <v>0000</v>
      </c>
      <c r="X314" s="7" t="str">
        <f t="shared" si="68"/>
        <v>0000</v>
      </c>
      <c r="Y314" s="7" t="str">
        <f t="shared" si="69"/>
        <v>0000</v>
      </c>
    </row>
    <row r="315" spans="1:25" s="81" customFormat="1" ht="14.1" customHeight="1">
      <c r="A315" s="80"/>
      <c r="B315" s="84">
        <v>22</v>
      </c>
      <c r="C315" s="196">
        <v>0</v>
      </c>
      <c r="D315" s="197">
        <v>0</v>
      </c>
      <c r="E315" s="197">
        <v>0</v>
      </c>
      <c r="F315" s="197">
        <v>0</v>
      </c>
      <c r="G315" s="197">
        <v>0</v>
      </c>
      <c r="H315" s="197">
        <v>0</v>
      </c>
      <c r="I315" s="197">
        <v>0</v>
      </c>
      <c r="J315" s="197">
        <v>0</v>
      </c>
      <c r="K315" s="197">
        <v>0</v>
      </c>
      <c r="L315" s="197">
        <v>0</v>
      </c>
      <c r="M315" s="197">
        <v>0</v>
      </c>
      <c r="N315" s="197">
        <v>0</v>
      </c>
      <c r="O315" s="197">
        <v>0</v>
      </c>
      <c r="P315" s="197">
        <v>0</v>
      </c>
      <c r="Q315" s="197">
        <v>0</v>
      </c>
      <c r="R315" s="198">
        <v>0</v>
      </c>
      <c r="U315" s="9">
        <f t="shared" si="65"/>
        <v>22</v>
      </c>
      <c r="V315" s="7" t="str">
        <f t="shared" si="66"/>
        <v>0000</v>
      </c>
      <c r="W315" s="7" t="str">
        <f t="shared" si="67"/>
        <v>0000</v>
      </c>
      <c r="X315" s="7" t="str">
        <f t="shared" si="68"/>
        <v>0000</v>
      </c>
      <c r="Y315" s="7" t="str">
        <f t="shared" si="69"/>
        <v>0000</v>
      </c>
    </row>
    <row r="316" spans="1:25" s="81" customFormat="1" ht="14.1" customHeight="1">
      <c r="A316" s="80"/>
      <c r="B316" s="84">
        <v>23</v>
      </c>
      <c r="C316" s="196">
        <v>0</v>
      </c>
      <c r="D316" s="197">
        <v>0</v>
      </c>
      <c r="E316" s="197">
        <v>0</v>
      </c>
      <c r="F316" s="197">
        <v>0</v>
      </c>
      <c r="G316" s="197">
        <v>0</v>
      </c>
      <c r="H316" s="197">
        <v>0</v>
      </c>
      <c r="I316" s="197">
        <v>1</v>
      </c>
      <c r="J316" s="197">
        <v>0</v>
      </c>
      <c r="K316" s="197">
        <v>0</v>
      </c>
      <c r="L316" s="197">
        <v>1</v>
      </c>
      <c r="M316" s="197">
        <v>0</v>
      </c>
      <c r="N316" s="197">
        <v>0</v>
      </c>
      <c r="O316" s="197">
        <v>0</v>
      </c>
      <c r="P316" s="197">
        <v>0</v>
      </c>
      <c r="Q316" s="197">
        <v>0</v>
      </c>
      <c r="R316" s="198">
        <v>0</v>
      </c>
      <c r="U316" s="9">
        <f t="shared" si="65"/>
        <v>23</v>
      </c>
      <c r="V316" s="7" t="str">
        <f t="shared" si="66"/>
        <v>0000</v>
      </c>
      <c r="W316" s="7" t="str">
        <f t="shared" si="67"/>
        <v>0010</v>
      </c>
      <c r="X316" s="7" t="str">
        <f t="shared" si="68"/>
        <v>0100</v>
      </c>
      <c r="Y316" s="7" t="str">
        <f t="shared" si="69"/>
        <v>0000</v>
      </c>
    </row>
    <row r="317" spans="1:25" s="81" customFormat="1" ht="14.1" customHeight="1">
      <c r="A317" s="80"/>
      <c r="B317" s="84">
        <v>24</v>
      </c>
      <c r="C317" s="196">
        <v>0</v>
      </c>
      <c r="D317" s="197">
        <v>0</v>
      </c>
      <c r="E317" s="197">
        <v>0</v>
      </c>
      <c r="F317" s="197">
        <v>0</v>
      </c>
      <c r="G317" s="197">
        <v>0</v>
      </c>
      <c r="H317" s="197">
        <v>0</v>
      </c>
      <c r="I317" s="197">
        <v>0</v>
      </c>
      <c r="J317" s="197">
        <v>0</v>
      </c>
      <c r="K317" s="197">
        <v>0</v>
      </c>
      <c r="L317" s="197">
        <v>0</v>
      </c>
      <c r="M317" s="197">
        <v>0</v>
      </c>
      <c r="N317" s="197">
        <v>0</v>
      </c>
      <c r="O317" s="197">
        <v>0</v>
      </c>
      <c r="P317" s="197">
        <v>0</v>
      </c>
      <c r="Q317" s="197">
        <v>0</v>
      </c>
      <c r="R317" s="198">
        <v>0</v>
      </c>
      <c r="U317" s="9">
        <f t="shared" si="65"/>
        <v>24</v>
      </c>
      <c r="V317" s="7" t="str">
        <f t="shared" si="66"/>
        <v>0000</v>
      </c>
      <c r="W317" s="7" t="str">
        <f t="shared" si="67"/>
        <v>0000</v>
      </c>
      <c r="X317" s="7" t="str">
        <f t="shared" si="68"/>
        <v>0000</v>
      </c>
      <c r="Y317" s="7" t="str">
        <f t="shared" si="69"/>
        <v>0000</v>
      </c>
    </row>
    <row r="318" spans="1:25" s="81" customFormat="1" ht="14.1" customHeight="1">
      <c r="A318" s="80"/>
      <c r="B318" s="84">
        <v>25</v>
      </c>
      <c r="C318" s="196">
        <v>0</v>
      </c>
      <c r="D318" s="197">
        <v>0</v>
      </c>
      <c r="E318" s="197">
        <v>0</v>
      </c>
      <c r="F318" s="197">
        <v>0</v>
      </c>
      <c r="G318" s="197">
        <v>0</v>
      </c>
      <c r="H318" s="197">
        <v>0</v>
      </c>
      <c r="I318" s="197">
        <v>0</v>
      </c>
      <c r="J318" s="197">
        <v>0</v>
      </c>
      <c r="K318" s="197">
        <v>0</v>
      </c>
      <c r="L318" s="197">
        <v>0</v>
      </c>
      <c r="M318" s="197">
        <v>0</v>
      </c>
      <c r="N318" s="197">
        <v>0</v>
      </c>
      <c r="O318" s="197">
        <v>0</v>
      </c>
      <c r="P318" s="197">
        <v>0</v>
      </c>
      <c r="Q318" s="197">
        <v>0</v>
      </c>
      <c r="R318" s="198">
        <v>0</v>
      </c>
      <c r="U318" s="9">
        <f t="shared" si="65"/>
        <v>25</v>
      </c>
      <c r="V318" s="7" t="str">
        <f t="shared" si="66"/>
        <v>0000</v>
      </c>
      <c r="W318" s="7" t="str">
        <f t="shared" si="67"/>
        <v>0000</v>
      </c>
      <c r="X318" s="7" t="str">
        <f t="shared" si="68"/>
        <v>0000</v>
      </c>
      <c r="Y318" s="7" t="str">
        <f t="shared" si="69"/>
        <v>0000</v>
      </c>
    </row>
    <row r="319" spans="1:25" s="81" customFormat="1" ht="14.1" customHeight="1">
      <c r="A319" s="80"/>
      <c r="B319" s="84">
        <v>26</v>
      </c>
      <c r="C319" s="196">
        <v>0</v>
      </c>
      <c r="D319" s="197">
        <v>0</v>
      </c>
      <c r="E319" s="197">
        <v>0</v>
      </c>
      <c r="F319" s="197">
        <v>0</v>
      </c>
      <c r="G319" s="197">
        <v>0</v>
      </c>
      <c r="H319" s="197">
        <v>0</v>
      </c>
      <c r="I319" s="197">
        <v>0</v>
      </c>
      <c r="J319" s="197">
        <v>0</v>
      </c>
      <c r="K319" s="197">
        <v>0</v>
      </c>
      <c r="L319" s="197">
        <v>0</v>
      </c>
      <c r="M319" s="197">
        <v>0</v>
      </c>
      <c r="N319" s="197">
        <v>0</v>
      </c>
      <c r="O319" s="197">
        <v>0</v>
      </c>
      <c r="P319" s="197">
        <v>0</v>
      </c>
      <c r="Q319" s="197">
        <v>0</v>
      </c>
      <c r="R319" s="198">
        <v>0</v>
      </c>
      <c r="U319" s="9">
        <f t="shared" si="65"/>
        <v>26</v>
      </c>
      <c r="V319" s="7" t="str">
        <f t="shared" si="66"/>
        <v>0000</v>
      </c>
      <c r="W319" s="7" t="str">
        <f t="shared" si="67"/>
        <v>0000</v>
      </c>
      <c r="X319" s="7" t="str">
        <f t="shared" si="68"/>
        <v>0000</v>
      </c>
      <c r="Y319" s="7" t="str">
        <f t="shared" si="69"/>
        <v>0000</v>
      </c>
    </row>
    <row r="320" spans="1:25" s="81" customFormat="1" ht="14.1" customHeight="1">
      <c r="A320" s="80"/>
      <c r="B320" s="84">
        <v>27</v>
      </c>
      <c r="C320" s="196">
        <v>0</v>
      </c>
      <c r="D320" s="197">
        <v>0</v>
      </c>
      <c r="E320" s="197">
        <v>0</v>
      </c>
      <c r="F320" s="197">
        <v>0</v>
      </c>
      <c r="G320" s="197">
        <v>0</v>
      </c>
      <c r="H320" s="197">
        <v>0</v>
      </c>
      <c r="I320" s="197">
        <v>1</v>
      </c>
      <c r="J320" s="197">
        <v>0</v>
      </c>
      <c r="K320" s="197">
        <v>0</v>
      </c>
      <c r="L320" s="197">
        <v>1</v>
      </c>
      <c r="M320" s="197">
        <v>0</v>
      </c>
      <c r="N320" s="197">
        <v>0</v>
      </c>
      <c r="O320" s="197">
        <v>0</v>
      </c>
      <c r="P320" s="197">
        <v>0</v>
      </c>
      <c r="Q320" s="197">
        <v>0</v>
      </c>
      <c r="R320" s="198">
        <v>0</v>
      </c>
      <c r="U320" s="9">
        <f t="shared" si="65"/>
        <v>27</v>
      </c>
      <c r="V320" s="7" t="str">
        <f t="shared" si="66"/>
        <v>0000</v>
      </c>
      <c r="W320" s="7" t="str">
        <f t="shared" si="67"/>
        <v>0010</v>
      </c>
      <c r="X320" s="7" t="str">
        <f t="shared" si="68"/>
        <v>0100</v>
      </c>
      <c r="Y320" s="7" t="str">
        <f t="shared" si="69"/>
        <v>0000</v>
      </c>
    </row>
    <row r="321" spans="1:25" s="81" customFormat="1" ht="14.1" customHeight="1">
      <c r="A321" s="80"/>
      <c r="B321" s="84">
        <v>28</v>
      </c>
      <c r="C321" s="196">
        <v>0</v>
      </c>
      <c r="D321" s="197">
        <v>0</v>
      </c>
      <c r="E321" s="197">
        <v>0</v>
      </c>
      <c r="F321" s="197">
        <v>0</v>
      </c>
      <c r="G321" s="197">
        <v>0</v>
      </c>
      <c r="H321" s="197">
        <v>0</v>
      </c>
      <c r="I321" s="197">
        <v>0</v>
      </c>
      <c r="J321" s="197">
        <v>0</v>
      </c>
      <c r="K321" s="197">
        <v>0</v>
      </c>
      <c r="L321" s="197">
        <v>0</v>
      </c>
      <c r="M321" s="197">
        <v>0</v>
      </c>
      <c r="N321" s="197">
        <v>0</v>
      </c>
      <c r="O321" s="197">
        <v>0</v>
      </c>
      <c r="P321" s="197">
        <v>0</v>
      </c>
      <c r="Q321" s="197">
        <v>0</v>
      </c>
      <c r="R321" s="198">
        <v>0</v>
      </c>
      <c r="U321" s="9">
        <f t="shared" si="65"/>
        <v>28</v>
      </c>
      <c r="V321" s="7" t="str">
        <f t="shared" si="66"/>
        <v>0000</v>
      </c>
      <c r="W321" s="7" t="str">
        <f t="shared" si="67"/>
        <v>0000</v>
      </c>
      <c r="X321" s="7" t="str">
        <f t="shared" si="68"/>
        <v>0000</v>
      </c>
      <c r="Y321" s="7" t="str">
        <f t="shared" si="69"/>
        <v>0000</v>
      </c>
    </row>
    <row r="322" spans="1:25" s="81" customFormat="1" ht="14.1" customHeight="1">
      <c r="A322" s="80"/>
      <c r="B322" s="84">
        <v>29</v>
      </c>
      <c r="C322" s="196">
        <v>0</v>
      </c>
      <c r="D322" s="197">
        <v>0</v>
      </c>
      <c r="E322" s="197">
        <v>0</v>
      </c>
      <c r="F322" s="197">
        <v>0</v>
      </c>
      <c r="G322" s="197">
        <v>0</v>
      </c>
      <c r="H322" s="197">
        <v>0</v>
      </c>
      <c r="I322" s="197">
        <v>0</v>
      </c>
      <c r="J322" s="197">
        <v>0</v>
      </c>
      <c r="K322" s="197">
        <v>0</v>
      </c>
      <c r="L322" s="197">
        <v>0</v>
      </c>
      <c r="M322" s="197">
        <v>0</v>
      </c>
      <c r="N322" s="197">
        <v>0</v>
      </c>
      <c r="O322" s="197">
        <v>0</v>
      </c>
      <c r="P322" s="197">
        <v>0</v>
      </c>
      <c r="Q322" s="197">
        <v>0</v>
      </c>
      <c r="R322" s="198">
        <v>0</v>
      </c>
      <c r="U322" s="9">
        <f t="shared" si="65"/>
        <v>29</v>
      </c>
      <c r="V322" s="7" t="str">
        <f t="shared" si="66"/>
        <v>0000</v>
      </c>
      <c r="W322" s="7" t="str">
        <f t="shared" si="67"/>
        <v>0000</v>
      </c>
      <c r="X322" s="7" t="str">
        <f t="shared" si="68"/>
        <v>0000</v>
      </c>
      <c r="Y322" s="7" t="str">
        <f t="shared" si="69"/>
        <v>0000</v>
      </c>
    </row>
    <row r="323" spans="1:25" s="81" customFormat="1" ht="14.1" customHeight="1">
      <c r="A323" s="80"/>
      <c r="B323" s="84">
        <v>30</v>
      </c>
      <c r="C323" s="196">
        <v>0</v>
      </c>
      <c r="D323" s="197">
        <v>0</v>
      </c>
      <c r="E323" s="197">
        <v>0</v>
      </c>
      <c r="F323" s="197">
        <v>0</v>
      </c>
      <c r="G323" s="197">
        <v>0</v>
      </c>
      <c r="H323" s="197">
        <v>0</v>
      </c>
      <c r="I323" s="197">
        <v>0</v>
      </c>
      <c r="J323" s="197">
        <v>0</v>
      </c>
      <c r="K323" s="197">
        <v>0</v>
      </c>
      <c r="L323" s="197">
        <v>0</v>
      </c>
      <c r="M323" s="197">
        <v>0</v>
      </c>
      <c r="N323" s="197">
        <v>0</v>
      </c>
      <c r="O323" s="197">
        <v>0</v>
      </c>
      <c r="P323" s="197">
        <v>0</v>
      </c>
      <c r="Q323" s="197">
        <v>0</v>
      </c>
      <c r="R323" s="198">
        <v>0</v>
      </c>
      <c r="U323" s="9">
        <f t="shared" si="65"/>
        <v>30</v>
      </c>
      <c r="V323" s="7" t="str">
        <f t="shared" si="66"/>
        <v>0000</v>
      </c>
      <c r="W323" s="7" t="str">
        <f t="shared" si="67"/>
        <v>0000</v>
      </c>
      <c r="X323" s="7" t="str">
        <f t="shared" si="68"/>
        <v>0000</v>
      </c>
      <c r="Y323" s="7" t="str">
        <f t="shared" si="69"/>
        <v>0000</v>
      </c>
    </row>
    <row r="324" spans="1:25" s="81" customFormat="1" ht="14.1" customHeight="1" thickBot="1">
      <c r="A324" s="80"/>
      <c r="B324" s="84">
        <v>31</v>
      </c>
      <c r="C324" s="201">
        <v>0</v>
      </c>
      <c r="D324" s="202">
        <v>0</v>
      </c>
      <c r="E324" s="202">
        <v>0</v>
      </c>
      <c r="F324" s="202">
        <v>0</v>
      </c>
      <c r="G324" s="202">
        <v>0</v>
      </c>
      <c r="H324" s="202">
        <v>0</v>
      </c>
      <c r="I324" s="202">
        <v>0</v>
      </c>
      <c r="J324" s="202">
        <v>0</v>
      </c>
      <c r="K324" s="202">
        <v>0</v>
      </c>
      <c r="L324" s="202">
        <v>0</v>
      </c>
      <c r="M324" s="202">
        <v>0</v>
      </c>
      <c r="N324" s="202">
        <v>0</v>
      </c>
      <c r="O324" s="202">
        <v>0</v>
      </c>
      <c r="P324" s="202">
        <v>0</v>
      </c>
      <c r="Q324" s="202">
        <v>0</v>
      </c>
      <c r="R324" s="203">
        <v>0</v>
      </c>
      <c r="U324" s="9">
        <f t="shared" si="65"/>
        <v>31</v>
      </c>
      <c r="V324" s="7" t="str">
        <f t="shared" si="66"/>
        <v>0000</v>
      </c>
      <c r="W324" s="7" t="str">
        <f t="shared" si="67"/>
        <v>0000</v>
      </c>
      <c r="X324" s="7" t="str">
        <f t="shared" si="68"/>
        <v>0000</v>
      </c>
      <c r="Y324" s="7" t="str">
        <f t="shared" si="69"/>
        <v>0000</v>
      </c>
    </row>
    <row r="325" spans="1:25" s="81" customFormat="1">
      <c r="A325" s="80"/>
      <c r="U325" s="85"/>
    </row>
    <row r="326" spans="1:25" s="81" customFormat="1">
      <c r="A326" s="80"/>
      <c r="U326" s="85"/>
    </row>
    <row r="327" spans="1:25" s="81" customFormat="1">
      <c r="A327" s="80" t="s">
        <v>417</v>
      </c>
      <c r="U327" s="8" t="str">
        <f>A327</f>
        <v>10.Portrait Multi Pattern        ( 0 degree clockwise )</v>
      </c>
    </row>
    <row r="328" spans="1:25" s="81" customFormat="1" ht="15" thickBot="1">
      <c r="A328" s="80"/>
      <c r="C328" s="84">
        <v>0</v>
      </c>
      <c r="D328" s="84">
        <v>1</v>
      </c>
      <c r="E328" s="84">
        <v>2</v>
      </c>
      <c r="F328" s="84">
        <v>3</v>
      </c>
      <c r="G328" s="84">
        <v>4</v>
      </c>
      <c r="H328" s="84">
        <v>5</v>
      </c>
      <c r="I328" s="84">
        <v>6</v>
      </c>
      <c r="J328" s="84">
        <v>7</v>
      </c>
      <c r="K328" s="84">
        <v>8</v>
      </c>
      <c r="L328" s="84">
        <v>9</v>
      </c>
      <c r="M328" s="84">
        <v>10</v>
      </c>
      <c r="N328" s="84">
        <v>11</v>
      </c>
      <c r="O328" s="84">
        <v>12</v>
      </c>
      <c r="P328" s="84">
        <v>13</v>
      </c>
      <c r="Q328" s="84">
        <v>14</v>
      </c>
      <c r="R328" s="84">
        <v>15</v>
      </c>
      <c r="U328" s="85"/>
      <c r="V328" s="7" t="str">
        <f t="shared" ref="V328" si="70">C328&amp;D328&amp;E328&amp;F328</f>
        <v>0123</v>
      </c>
      <c r="W328" s="7" t="str">
        <f t="shared" ref="W328" si="71">G328&amp;H328&amp;I328&amp;J328</f>
        <v>4567</v>
      </c>
      <c r="X328" s="7" t="str">
        <f t="shared" ref="X328" si="72">K328&amp;L328&amp;M328&amp;N328</f>
        <v>891011</v>
      </c>
      <c r="Y328" s="7" t="str">
        <f t="shared" ref="Y328" si="73">O328&amp;P328&amp;Q328&amp;R328</f>
        <v>12131415</v>
      </c>
    </row>
    <row r="329" spans="1:25" s="81" customFormat="1" ht="14.1" customHeight="1">
      <c r="A329" s="80"/>
      <c r="B329" s="84">
        <v>0</v>
      </c>
      <c r="C329" s="150">
        <v>0</v>
      </c>
      <c r="D329" s="151">
        <v>0</v>
      </c>
      <c r="E329" s="151">
        <v>0</v>
      </c>
      <c r="F329" s="151">
        <v>0</v>
      </c>
      <c r="G329" s="151">
        <v>0</v>
      </c>
      <c r="H329" s="151">
        <v>0</v>
      </c>
      <c r="I329" s="151">
        <v>0</v>
      </c>
      <c r="J329" s="151">
        <v>0</v>
      </c>
      <c r="K329" s="151">
        <v>0</v>
      </c>
      <c r="L329" s="151">
        <v>0</v>
      </c>
      <c r="M329" s="151">
        <v>0</v>
      </c>
      <c r="N329" s="151">
        <v>0</v>
      </c>
      <c r="O329" s="151">
        <v>0</v>
      </c>
      <c r="P329" s="151">
        <v>0</v>
      </c>
      <c r="Q329" s="151">
        <v>0</v>
      </c>
      <c r="R329" s="152">
        <v>0</v>
      </c>
      <c r="U329" s="9">
        <f t="shared" ref="U329:U360" si="74">B329</f>
        <v>0</v>
      </c>
      <c r="V329" s="7" t="str">
        <f t="shared" ref="V329:V392" si="75">DEC2HEX(C329)&amp;DEC2HEX(D329)&amp;DEC2HEX(E329)&amp;DEC2HEX(F329)</f>
        <v>0000</v>
      </c>
      <c r="W329" s="7" t="str">
        <f t="shared" ref="W329:W392" si="76">DEC2HEX(G329)&amp;DEC2HEX(H329)&amp;DEC2HEX(I329)&amp;DEC2HEX(J329)</f>
        <v>0000</v>
      </c>
      <c r="X329" s="7" t="str">
        <f t="shared" ref="X329:X392" si="77">DEC2HEX(K329)&amp;DEC2HEX(L329)&amp;DEC2HEX(M329)&amp;DEC2HEX(N329)</f>
        <v>0000</v>
      </c>
      <c r="Y329" s="7" t="str">
        <f t="shared" ref="Y329:Y392" si="78">DEC2HEX(O329)&amp;DEC2HEX(P329)&amp;DEC2HEX(Q329)&amp;DEC2HEX(R329)</f>
        <v>0000</v>
      </c>
    </row>
    <row r="330" spans="1:25" s="81" customFormat="1" ht="14.1" customHeight="1">
      <c r="A330" s="80"/>
      <c r="B330" s="84">
        <v>1</v>
      </c>
      <c r="C330" s="153">
        <v>0</v>
      </c>
      <c r="D330" s="154">
        <v>0</v>
      </c>
      <c r="E330" s="154">
        <v>0</v>
      </c>
      <c r="F330" s="154">
        <v>0</v>
      </c>
      <c r="G330" s="154">
        <v>0</v>
      </c>
      <c r="H330" s="154">
        <v>0</v>
      </c>
      <c r="I330" s="154">
        <v>0</v>
      </c>
      <c r="J330" s="154">
        <v>0</v>
      </c>
      <c r="K330" s="154">
        <v>0</v>
      </c>
      <c r="L330" s="154">
        <v>0</v>
      </c>
      <c r="M330" s="154">
        <v>0</v>
      </c>
      <c r="N330" s="154">
        <v>0</v>
      </c>
      <c r="O330" s="154">
        <v>0</v>
      </c>
      <c r="P330" s="154">
        <v>0</v>
      </c>
      <c r="Q330" s="154">
        <v>0</v>
      </c>
      <c r="R330" s="155">
        <v>0</v>
      </c>
      <c r="U330" s="9">
        <f t="shared" si="74"/>
        <v>1</v>
      </c>
      <c r="V330" s="7" t="str">
        <f t="shared" si="75"/>
        <v>0000</v>
      </c>
      <c r="W330" s="7" t="str">
        <f t="shared" si="76"/>
        <v>0000</v>
      </c>
      <c r="X330" s="7" t="str">
        <f t="shared" si="77"/>
        <v>0000</v>
      </c>
      <c r="Y330" s="7" t="str">
        <f t="shared" si="78"/>
        <v>0000</v>
      </c>
    </row>
    <row r="331" spans="1:25" s="81" customFormat="1" ht="14.1" customHeight="1">
      <c r="A331" s="80"/>
      <c r="B331" s="84">
        <v>2</v>
      </c>
      <c r="C331" s="153">
        <v>0</v>
      </c>
      <c r="D331" s="154">
        <v>0</v>
      </c>
      <c r="E331" s="154">
        <v>0</v>
      </c>
      <c r="F331" s="154">
        <v>0</v>
      </c>
      <c r="G331" s="154">
        <v>0</v>
      </c>
      <c r="H331" s="154">
        <v>0</v>
      </c>
      <c r="I331" s="154">
        <v>0</v>
      </c>
      <c r="J331" s="154">
        <v>0</v>
      </c>
      <c r="K331" s="154">
        <v>0</v>
      </c>
      <c r="L331" s="154">
        <v>0</v>
      </c>
      <c r="M331" s="154">
        <v>0</v>
      </c>
      <c r="N331" s="154">
        <v>0</v>
      </c>
      <c r="O331" s="154">
        <v>0</v>
      </c>
      <c r="P331" s="154">
        <v>0</v>
      </c>
      <c r="Q331" s="154">
        <v>0</v>
      </c>
      <c r="R331" s="155">
        <v>0</v>
      </c>
      <c r="U331" s="9">
        <f t="shared" si="74"/>
        <v>2</v>
      </c>
      <c r="V331" s="7" t="str">
        <f t="shared" si="75"/>
        <v>0000</v>
      </c>
      <c r="W331" s="7" t="str">
        <f t="shared" si="76"/>
        <v>0000</v>
      </c>
      <c r="X331" s="7" t="str">
        <f t="shared" si="77"/>
        <v>0000</v>
      </c>
      <c r="Y331" s="7" t="str">
        <f t="shared" si="78"/>
        <v>0000</v>
      </c>
    </row>
    <row r="332" spans="1:25" s="81" customFormat="1" ht="14.1" customHeight="1">
      <c r="A332" s="80"/>
      <c r="B332" s="84">
        <v>3</v>
      </c>
      <c r="C332" s="153">
        <v>0</v>
      </c>
      <c r="D332" s="154">
        <v>0</v>
      </c>
      <c r="E332" s="154">
        <v>0</v>
      </c>
      <c r="F332" s="154">
        <v>0</v>
      </c>
      <c r="G332" s="154">
        <v>0</v>
      </c>
      <c r="H332" s="154">
        <v>0</v>
      </c>
      <c r="I332" s="154">
        <v>1</v>
      </c>
      <c r="J332" s="154">
        <v>1</v>
      </c>
      <c r="K332" s="154">
        <v>1</v>
      </c>
      <c r="L332" s="154">
        <v>1</v>
      </c>
      <c r="M332" s="154">
        <v>0</v>
      </c>
      <c r="N332" s="154">
        <v>0</v>
      </c>
      <c r="O332" s="154">
        <v>0</v>
      </c>
      <c r="P332" s="154">
        <v>0</v>
      </c>
      <c r="Q332" s="154">
        <v>0</v>
      </c>
      <c r="R332" s="155">
        <v>0</v>
      </c>
      <c r="U332" s="9">
        <f t="shared" si="74"/>
        <v>3</v>
      </c>
      <c r="V332" s="7" t="str">
        <f t="shared" si="75"/>
        <v>0000</v>
      </c>
      <c r="W332" s="7" t="str">
        <f t="shared" si="76"/>
        <v>0011</v>
      </c>
      <c r="X332" s="7" t="str">
        <f t="shared" si="77"/>
        <v>1100</v>
      </c>
      <c r="Y332" s="7" t="str">
        <f t="shared" si="78"/>
        <v>0000</v>
      </c>
    </row>
    <row r="333" spans="1:25" s="81" customFormat="1" ht="14.1" customHeight="1">
      <c r="A333" s="80"/>
      <c r="B333" s="84">
        <v>4</v>
      </c>
      <c r="C333" s="153">
        <v>0</v>
      </c>
      <c r="D333" s="154">
        <v>0</v>
      </c>
      <c r="E333" s="154">
        <v>0</v>
      </c>
      <c r="F333" s="154">
        <v>0</v>
      </c>
      <c r="G333" s="154">
        <v>0</v>
      </c>
      <c r="H333" s="154">
        <v>1</v>
      </c>
      <c r="I333" s="154">
        <v>1</v>
      </c>
      <c r="J333" s="154">
        <v>1</v>
      </c>
      <c r="K333" s="154">
        <v>1</v>
      </c>
      <c r="L333" s="154">
        <v>1</v>
      </c>
      <c r="M333" s="154">
        <v>1</v>
      </c>
      <c r="N333" s="154">
        <v>0</v>
      </c>
      <c r="O333" s="154">
        <v>0</v>
      </c>
      <c r="P333" s="154">
        <v>0</v>
      </c>
      <c r="Q333" s="154">
        <v>0</v>
      </c>
      <c r="R333" s="155">
        <v>0</v>
      </c>
      <c r="U333" s="9">
        <f t="shared" si="74"/>
        <v>4</v>
      </c>
      <c r="V333" s="7" t="str">
        <f t="shared" si="75"/>
        <v>0000</v>
      </c>
      <c r="W333" s="7" t="str">
        <f t="shared" si="76"/>
        <v>0111</v>
      </c>
      <c r="X333" s="7" t="str">
        <f t="shared" si="77"/>
        <v>1110</v>
      </c>
      <c r="Y333" s="7" t="str">
        <f t="shared" si="78"/>
        <v>0000</v>
      </c>
    </row>
    <row r="334" spans="1:25" s="81" customFormat="1" ht="14.1" customHeight="1">
      <c r="A334" s="80"/>
      <c r="B334" s="84">
        <v>5</v>
      </c>
      <c r="C334" s="153">
        <v>0</v>
      </c>
      <c r="D334" s="154">
        <v>0</v>
      </c>
      <c r="E334" s="154">
        <v>0</v>
      </c>
      <c r="F334" s="154">
        <v>0</v>
      </c>
      <c r="G334" s="154">
        <v>1</v>
      </c>
      <c r="H334" s="154">
        <v>1</v>
      </c>
      <c r="I334" s="154">
        <v>2</v>
      </c>
      <c r="J334" s="154">
        <v>2</v>
      </c>
      <c r="K334" s="154">
        <v>2</v>
      </c>
      <c r="L334" s="154">
        <v>2</v>
      </c>
      <c r="M334" s="154">
        <v>1</v>
      </c>
      <c r="N334" s="154">
        <v>1</v>
      </c>
      <c r="O334" s="154">
        <v>0</v>
      </c>
      <c r="P334" s="154">
        <v>0</v>
      </c>
      <c r="Q334" s="154">
        <v>0</v>
      </c>
      <c r="R334" s="155">
        <v>0</v>
      </c>
      <c r="U334" s="9">
        <f t="shared" si="74"/>
        <v>5</v>
      </c>
      <c r="V334" s="7" t="str">
        <f t="shared" si="75"/>
        <v>0000</v>
      </c>
      <c r="W334" s="7" t="str">
        <f t="shared" si="76"/>
        <v>1122</v>
      </c>
      <c r="X334" s="7" t="str">
        <f t="shared" si="77"/>
        <v>2211</v>
      </c>
      <c r="Y334" s="7" t="str">
        <f t="shared" si="78"/>
        <v>0000</v>
      </c>
    </row>
    <row r="335" spans="1:25" s="81" customFormat="1" ht="14.1" customHeight="1">
      <c r="A335" s="80"/>
      <c r="B335" s="84">
        <v>6</v>
      </c>
      <c r="C335" s="153">
        <v>0</v>
      </c>
      <c r="D335" s="154">
        <v>0</v>
      </c>
      <c r="E335" s="154">
        <v>0</v>
      </c>
      <c r="F335" s="154">
        <v>1</v>
      </c>
      <c r="G335" s="154">
        <v>1</v>
      </c>
      <c r="H335" s="154">
        <v>2</v>
      </c>
      <c r="I335" s="154">
        <v>2</v>
      </c>
      <c r="J335" s="154">
        <v>2</v>
      </c>
      <c r="K335" s="154">
        <v>2</v>
      </c>
      <c r="L335" s="154">
        <v>2</v>
      </c>
      <c r="M335" s="154">
        <v>2</v>
      </c>
      <c r="N335" s="154">
        <v>1</v>
      </c>
      <c r="O335" s="154">
        <v>1</v>
      </c>
      <c r="P335" s="154">
        <v>0</v>
      </c>
      <c r="Q335" s="154">
        <v>0</v>
      </c>
      <c r="R335" s="155">
        <v>0</v>
      </c>
      <c r="U335" s="9">
        <f t="shared" si="74"/>
        <v>6</v>
      </c>
      <c r="V335" s="7" t="str">
        <f t="shared" si="75"/>
        <v>0001</v>
      </c>
      <c r="W335" s="7" t="str">
        <f t="shared" si="76"/>
        <v>1222</v>
      </c>
      <c r="X335" s="7" t="str">
        <f t="shared" si="77"/>
        <v>2221</v>
      </c>
      <c r="Y335" s="7" t="str">
        <f t="shared" si="78"/>
        <v>1000</v>
      </c>
    </row>
    <row r="336" spans="1:25" s="81" customFormat="1" ht="14.1" customHeight="1">
      <c r="A336" s="80"/>
      <c r="B336" s="84">
        <v>7</v>
      </c>
      <c r="C336" s="153">
        <v>0</v>
      </c>
      <c r="D336" s="154">
        <v>0</v>
      </c>
      <c r="E336" s="154">
        <v>0</v>
      </c>
      <c r="F336" s="154">
        <v>1</v>
      </c>
      <c r="G336" s="154">
        <v>2</v>
      </c>
      <c r="H336" s="154">
        <v>2</v>
      </c>
      <c r="I336" s="154">
        <v>2</v>
      </c>
      <c r="J336" s="154">
        <v>3</v>
      </c>
      <c r="K336" s="154">
        <v>3</v>
      </c>
      <c r="L336" s="154">
        <v>2</v>
      </c>
      <c r="M336" s="154">
        <v>2</v>
      </c>
      <c r="N336" s="154">
        <v>2</v>
      </c>
      <c r="O336" s="154">
        <v>1</v>
      </c>
      <c r="P336" s="154">
        <v>0</v>
      </c>
      <c r="Q336" s="154">
        <v>0</v>
      </c>
      <c r="R336" s="155">
        <v>0</v>
      </c>
      <c r="U336" s="9">
        <f t="shared" si="74"/>
        <v>7</v>
      </c>
      <c r="V336" s="7" t="str">
        <f t="shared" si="75"/>
        <v>0001</v>
      </c>
      <c r="W336" s="7" t="str">
        <f t="shared" si="76"/>
        <v>2223</v>
      </c>
      <c r="X336" s="7" t="str">
        <f t="shared" si="77"/>
        <v>3222</v>
      </c>
      <c r="Y336" s="7" t="str">
        <f t="shared" si="78"/>
        <v>1000</v>
      </c>
    </row>
    <row r="337" spans="1:25" s="81" customFormat="1" ht="14.1" customHeight="1">
      <c r="A337" s="80"/>
      <c r="B337" s="84">
        <v>8</v>
      </c>
      <c r="C337" s="153">
        <v>0</v>
      </c>
      <c r="D337" s="154">
        <v>0</v>
      </c>
      <c r="E337" s="154">
        <v>1</v>
      </c>
      <c r="F337" s="154">
        <v>1</v>
      </c>
      <c r="G337" s="154">
        <v>2</v>
      </c>
      <c r="H337" s="154">
        <v>2</v>
      </c>
      <c r="I337" s="154">
        <v>3</v>
      </c>
      <c r="J337" s="154">
        <v>3</v>
      </c>
      <c r="K337" s="154">
        <v>3</v>
      </c>
      <c r="L337" s="154">
        <v>3</v>
      </c>
      <c r="M337" s="154">
        <v>2</v>
      </c>
      <c r="N337" s="154">
        <v>2</v>
      </c>
      <c r="O337" s="154">
        <v>1</v>
      </c>
      <c r="P337" s="154">
        <v>1</v>
      </c>
      <c r="Q337" s="154">
        <v>0</v>
      </c>
      <c r="R337" s="155">
        <v>0</v>
      </c>
      <c r="U337" s="9">
        <f t="shared" si="74"/>
        <v>8</v>
      </c>
      <c r="V337" s="7" t="str">
        <f t="shared" si="75"/>
        <v>0011</v>
      </c>
      <c r="W337" s="7" t="str">
        <f t="shared" si="76"/>
        <v>2233</v>
      </c>
      <c r="X337" s="7" t="str">
        <f t="shared" si="77"/>
        <v>3322</v>
      </c>
      <c r="Y337" s="7" t="str">
        <f t="shared" si="78"/>
        <v>1100</v>
      </c>
    </row>
    <row r="338" spans="1:25" s="81" customFormat="1" ht="14.1" customHeight="1">
      <c r="A338" s="80"/>
      <c r="B338" s="84">
        <v>9</v>
      </c>
      <c r="C338" s="153">
        <v>0</v>
      </c>
      <c r="D338" s="154">
        <v>0</v>
      </c>
      <c r="E338" s="154">
        <v>1</v>
      </c>
      <c r="F338" s="154">
        <v>2</v>
      </c>
      <c r="G338" s="154">
        <v>2</v>
      </c>
      <c r="H338" s="154">
        <v>3</v>
      </c>
      <c r="I338" s="154">
        <v>3</v>
      </c>
      <c r="J338" s="154">
        <v>4</v>
      </c>
      <c r="K338" s="154">
        <v>4</v>
      </c>
      <c r="L338" s="154">
        <v>3</v>
      </c>
      <c r="M338" s="154">
        <v>3</v>
      </c>
      <c r="N338" s="154">
        <v>2</v>
      </c>
      <c r="O338" s="154">
        <v>2</v>
      </c>
      <c r="P338" s="154">
        <v>1</v>
      </c>
      <c r="Q338" s="154">
        <v>0</v>
      </c>
      <c r="R338" s="155">
        <v>0</v>
      </c>
      <c r="U338" s="9">
        <f t="shared" si="74"/>
        <v>9</v>
      </c>
      <c r="V338" s="7" t="str">
        <f t="shared" si="75"/>
        <v>0012</v>
      </c>
      <c r="W338" s="7" t="str">
        <f t="shared" si="76"/>
        <v>2334</v>
      </c>
      <c r="X338" s="7" t="str">
        <f t="shared" si="77"/>
        <v>4332</v>
      </c>
      <c r="Y338" s="7" t="str">
        <f t="shared" si="78"/>
        <v>2100</v>
      </c>
    </row>
    <row r="339" spans="1:25" s="81" customFormat="1" ht="14.1" customHeight="1">
      <c r="A339" s="80"/>
      <c r="B339" s="84">
        <v>10</v>
      </c>
      <c r="C339" s="153">
        <v>0</v>
      </c>
      <c r="D339" s="154">
        <v>0</v>
      </c>
      <c r="E339" s="154">
        <v>1</v>
      </c>
      <c r="F339" s="154">
        <v>2</v>
      </c>
      <c r="G339" s="154">
        <v>3</v>
      </c>
      <c r="H339" s="154">
        <v>3</v>
      </c>
      <c r="I339" s="154">
        <v>4</v>
      </c>
      <c r="J339" s="154">
        <v>5</v>
      </c>
      <c r="K339" s="154">
        <v>5</v>
      </c>
      <c r="L339" s="154">
        <v>4</v>
      </c>
      <c r="M339" s="154">
        <v>3</v>
      </c>
      <c r="N339" s="154">
        <v>3</v>
      </c>
      <c r="O339" s="154">
        <v>2</v>
      </c>
      <c r="P339" s="154">
        <v>1</v>
      </c>
      <c r="Q339" s="154">
        <v>0</v>
      </c>
      <c r="R339" s="155">
        <v>0</v>
      </c>
      <c r="U339" s="9">
        <f t="shared" si="74"/>
        <v>10</v>
      </c>
      <c r="V339" s="7" t="str">
        <f t="shared" si="75"/>
        <v>0012</v>
      </c>
      <c r="W339" s="7" t="str">
        <f t="shared" si="76"/>
        <v>3345</v>
      </c>
      <c r="X339" s="7" t="str">
        <f t="shared" si="77"/>
        <v>5433</v>
      </c>
      <c r="Y339" s="7" t="str">
        <f t="shared" si="78"/>
        <v>2100</v>
      </c>
    </row>
    <row r="340" spans="1:25" s="81" customFormat="1" ht="14.1" customHeight="1">
      <c r="A340" s="80"/>
      <c r="B340" s="84">
        <v>11</v>
      </c>
      <c r="C340" s="153">
        <v>0</v>
      </c>
      <c r="D340" s="154">
        <v>1</v>
      </c>
      <c r="E340" s="154">
        <v>2</v>
      </c>
      <c r="F340" s="154">
        <v>2</v>
      </c>
      <c r="G340" s="154">
        <v>3</v>
      </c>
      <c r="H340" s="154">
        <v>4</v>
      </c>
      <c r="I340" s="154">
        <v>5</v>
      </c>
      <c r="J340" s="154">
        <v>5</v>
      </c>
      <c r="K340" s="154">
        <v>5</v>
      </c>
      <c r="L340" s="154">
        <v>5</v>
      </c>
      <c r="M340" s="154">
        <v>4</v>
      </c>
      <c r="N340" s="154">
        <v>3</v>
      </c>
      <c r="O340" s="154">
        <v>2</v>
      </c>
      <c r="P340" s="154">
        <v>2</v>
      </c>
      <c r="Q340" s="154">
        <v>1</v>
      </c>
      <c r="R340" s="155">
        <v>0</v>
      </c>
      <c r="U340" s="9">
        <f t="shared" si="74"/>
        <v>11</v>
      </c>
      <c r="V340" s="7" t="str">
        <f t="shared" si="75"/>
        <v>0122</v>
      </c>
      <c r="W340" s="7" t="str">
        <f t="shared" si="76"/>
        <v>3455</v>
      </c>
      <c r="X340" s="7" t="str">
        <f t="shared" si="77"/>
        <v>5543</v>
      </c>
      <c r="Y340" s="7" t="str">
        <f t="shared" si="78"/>
        <v>2210</v>
      </c>
    </row>
    <row r="341" spans="1:25" s="81" customFormat="1" ht="14.1" customHeight="1">
      <c r="A341" s="80"/>
      <c r="B341" s="84">
        <v>12</v>
      </c>
      <c r="C341" s="153">
        <v>0</v>
      </c>
      <c r="D341" s="154">
        <v>1</v>
      </c>
      <c r="E341" s="154">
        <v>2</v>
      </c>
      <c r="F341" s="154">
        <v>3</v>
      </c>
      <c r="G341" s="154">
        <v>3</v>
      </c>
      <c r="H341" s="154">
        <v>5</v>
      </c>
      <c r="I341" s="154">
        <v>5</v>
      </c>
      <c r="J341" s="154">
        <v>5</v>
      </c>
      <c r="K341" s="154">
        <v>5</v>
      </c>
      <c r="L341" s="154">
        <v>5</v>
      </c>
      <c r="M341" s="154">
        <v>5</v>
      </c>
      <c r="N341" s="154">
        <v>3</v>
      </c>
      <c r="O341" s="154">
        <v>3</v>
      </c>
      <c r="P341" s="154">
        <v>2</v>
      </c>
      <c r="Q341" s="154">
        <v>1</v>
      </c>
      <c r="R341" s="155">
        <v>0</v>
      </c>
      <c r="U341" s="9">
        <f t="shared" si="74"/>
        <v>12</v>
      </c>
      <c r="V341" s="7" t="str">
        <f t="shared" si="75"/>
        <v>0123</v>
      </c>
      <c r="W341" s="7" t="str">
        <f t="shared" si="76"/>
        <v>3555</v>
      </c>
      <c r="X341" s="7" t="str">
        <f t="shared" si="77"/>
        <v>5553</v>
      </c>
      <c r="Y341" s="7" t="str">
        <f t="shared" si="78"/>
        <v>3210</v>
      </c>
    </row>
    <row r="342" spans="1:25" s="81" customFormat="1" ht="14.1" customHeight="1">
      <c r="A342" s="80"/>
      <c r="B342" s="84">
        <v>13</v>
      </c>
      <c r="C342" s="153">
        <v>0</v>
      </c>
      <c r="D342" s="154">
        <v>1</v>
      </c>
      <c r="E342" s="154">
        <v>2</v>
      </c>
      <c r="F342" s="154">
        <v>3</v>
      </c>
      <c r="G342" s="154">
        <v>4</v>
      </c>
      <c r="H342" s="154">
        <v>5</v>
      </c>
      <c r="I342" s="154">
        <v>5</v>
      </c>
      <c r="J342" s="154">
        <v>6</v>
      </c>
      <c r="K342" s="154">
        <v>6</v>
      </c>
      <c r="L342" s="154">
        <v>5</v>
      </c>
      <c r="M342" s="154">
        <v>5</v>
      </c>
      <c r="N342" s="154">
        <v>4</v>
      </c>
      <c r="O342" s="154">
        <v>3</v>
      </c>
      <c r="P342" s="154">
        <v>2</v>
      </c>
      <c r="Q342" s="154">
        <v>1</v>
      </c>
      <c r="R342" s="155">
        <v>0</v>
      </c>
      <c r="U342" s="9">
        <f t="shared" si="74"/>
        <v>13</v>
      </c>
      <c r="V342" s="7" t="str">
        <f t="shared" si="75"/>
        <v>0123</v>
      </c>
      <c r="W342" s="7" t="str">
        <f t="shared" si="76"/>
        <v>4556</v>
      </c>
      <c r="X342" s="7" t="str">
        <f t="shared" si="77"/>
        <v>6554</v>
      </c>
      <c r="Y342" s="7" t="str">
        <f t="shared" si="78"/>
        <v>3210</v>
      </c>
    </row>
    <row r="343" spans="1:25" s="81" customFormat="1" ht="14.1" customHeight="1">
      <c r="A343" s="80"/>
      <c r="B343" s="84">
        <v>14</v>
      </c>
      <c r="C343" s="153">
        <v>0</v>
      </c>
      <c r="D343" s="154">
        <v>1</v>
      </c>
      <c r="E343" s="154">
        <v>2</v>
      </c>
      <c r="F343" s="154">
        <v>3</v>
      </c>
      <c r="G343" s="154">
        <v>4</v>
      </c>
      <c r="H343" s="154">
        <v>5</v>
      </c>
      <c r="I343" s="154">
        <v>6</v>
      </c>
      <c r="J343" s="154">
        <v>6</v>
      </c>
      <c r="K343" s="154">
        <v>6</v>
      </c>
      <c r="L343" s="154">
        <v>6</v>
      </c>
      <c r="M343" s="154">
        <v>5</v>
      </c>
      <c r="N343" s="154">
        <v>4</v>
      </c>
      <c r="O343" s="154">
        <v>3</v>
      </c>
      <c r="P343" s="154">
        <v>2</v>
      </c>
      <c r="Q343" s="154">
        <v>1</v>
      </c>
      <c r="R343" s="155">
        <v>0</v>
      </c>
      <c r="U343" s="9">
        <f t="shared" si="74"/>
        <v>14</v>
      </c>
      <c r="V343" s="7" t="str">
        <f t="shared" si="75"/>
        <v>0123</v>
      </c>
      <c r="W343" s="7" t="str">
        <f t="shared" si="76"/>
        <v>4566</v>
      </c>
      <c r="X343" s="7" t="str">
        <f t="shared" si="77"/>
        <v>6654</v>
      </c>
      <c r="Y343" s="7" t="str">
        <f t="shared" si="78"/>
        <v>3210</v>
      </c>
    </row>
    <row r="344" spans="1:25" s="81" customFormat="1" ht="14.1" customHeight="1">
      <c r="A344" s="80"/>
      <c r="B344" s="84">
        <v>15</v>
      </c>
      <c r="C344" s="153">
        <v>0</v>
      </c>
      <c r="D344" s="154">
        <v>1</v>
      </c>
      <c r="E344" s="154">
        <v>2</v>
      </c>
      <c r="F344" s="154">
        <v>3</v>
      </c>
      <c r="G344" s="154">
        <v>4</v>
      </c>
      <c r="H344" s="154">
        <v>5</v>
      </c>
      <c r="I344" s="154">
        <v>6</v>
      </c>
      <c r="J344" s="154">
        <v>6</v>
      </c>
      <c r="K344" s="154">
        <v>6</v>
      </c>
      <c r="L344" s="154">
        <v>6</v>
      </c>
      <c r="M344" s="154">
        <v>5</v>
      </c>
      <c r="N344" s="154">
        <v>4</v>
      </c>
      <c r="O344" s="154">
        <v>3</v>
      </c>
      <c r="P344" s="154">
        <v>2</v>
      </c>
      <c r="Q344" s="154">
        <v>1</v>
      </c>
      <c r="R344" s="155">
        <v>0</v>
      </c>
      <c r="U344" s="9">
        <f t="shared" si="74"/>
        <v>15</v>
      </c>
      <c r="V344" s="7" t="str">
        <f t="shared" si="75"/>
        <v>0123</v>
      </c>
      <c r="W344" s="7" t="str">
        <f t="shared" si="76"/>
        <v>4566</v>
      </c>
      <c r="X344" s="7" t="str">
        <f t="shared" si="77"/>
        <v>6654</v>
      </c>
      <c r="Y344" s="7" t="str">
        <f t="shared" si="78"/>
        <v>3210</v>
      </c>
    </row>
    <row r="345" spans="1:25" s="81" customFormat="1" ht="14.1" customHeight="1">
      <c r="A345" s="80"/>
      <c r="B345" s="84">
        <v>16</v>
      </c>
      <c r="C345" s="153">
        <v>0</v>
      </c>
      <c r="D345" s="154">
        <v>1</v>
      </c>
      <c r="E345" s="154">
        <v>2</v>
      </c>
      <c r="F345" s="154">
        <v>3</v>
      </c>
      <c r="G345" s="154">
        <v>4</v>
      </c>
      <c r="H345" s="154">
        <v>5</v>
      </c>
      <c r="I345" s="154">
        <v>6</v>
      </c>
      <c r="J345" s="154">
        <v>6</v>
      </c>
      <c r="K345" s="154">
        <v>6</v>
      </c>
      <c r="L345" s="154">
        <v>6</v>
      </c>
      <c r="M345" s="154">
        <v>5</v>
      </c>
      <c r="N345" s="154">
        <v>4</v>
      </c>
      <c r="O345" s="154">
        <v>3</v>
      </c>
      <c r="P345" s="154">
        <v>2</v>
      </c>
      <c r="Q345" s="154">
        <v>1</v>
      </c>
      <c r="R345" s="155">
        <v>0</v>
      </c>
      <c r="U345" s="9">
        <f t="shared" si="74"/>
        <v>16</v>
      </c>
      <c r="V345" s="7" t="str">
        <f t="shared" si="75"/>
        <v>0123</v>
      </c>
      <c r="W345" s="7" t="str">
        <f t="shared" si="76"/>
        <v>4566</v>
      </c>
      <c r="X345" s="7" t="str">
        <f t="shared" si="77"/>
        <v>6654</v>
      </c>
      <c r="Y345" s="7" t="str">
        <f t="shared" si="78"/>
        <v>3210</v>
      </c>
    </row>
    <row r="346" spans="1:25" s="81" customFormat="1" ht="14.1" customHeight="1">
      <c r="A346" s="80"/>
      <c r="B346" s="84">
        <v>17</v>
      </c>
      <c r="C346" s="153">
        <v>0</v>
      </c>
      <c r="D346" s="154">
        <v>1</v>
      </c>
      <c r="E346" s="154">
        <v>2</v>
      </c>
      <c r="F346" s="154">
        <v>3</v>
      </c>
      <c r="G346" s="154">
        <v>4</v>
      </c>
      <c r="H346" s="154">
        <v>5</v>
      </c>
      <c r="I346" s="154">
        <v>6</v>
      </c>
      <c r="J346" s="154">
        <v>6</v>
      </c>
      <c r="K346" s="154">
        <v>6</v>
      </c>
      <c r="L346" s="154">
        <v>6</v>
      </c>
      <c r="M346" s="154">
        <v>5</v>
      </c>
      <c r="N346" s="154">
        <v>4</v>
      </c>
      <c r="O346" s="154">
        <v>3</v>
      </c>
      <c r="P346" s="154">
        <v>2</v>
      </c>
      <c r="Q346" s="154">
        <v>1</v>
      </c>
      <c r="R346" s="155">
        <v>0</v>
      </c>
      <c r="U346" s="9">
        <f t="shared" si="74"/>
        <v>17</v>
      </c>
      <c r="V346" s="7" t="str">
        <f t="shared" si="75"/>
        <v>0123</v>
      </c>
      <c r="W346" s="7" t="str">
        <f t="shared" si="76"/>
        <v>4566</v>
      </c>
      <c r="X346" s="7" t="str">
        <f t="shared" si="77"/>
        <v>6654</v>
      </c>
      <c r="Y346" s="7" t="str">
        <f t="shared" si="78"/>
        <v>3210</v>
      </c>
    </row>
    <row r="347" spans="1:25" s="81" customFormat="1" ht="14.1" customHeight="1">
      <c r="A347" s="80"/>
      <c r="B347" s="84">
        <v>18</v>
      </c>
      <c r="C347" s="153">
        <v>0</v>
      </c>
      <c r="D347" s="154">
        <v>1</v>
      </c>
      <c r="E347" s="154">
        <v>2</v>
      </c>
      <c r="F347" s="154">
        <v>3</v>
      </c>
      <c r="G347" s="154">
        <v>4</v>
      </c>
      <c r="H347" s="154">
        <v>5</v>
      </c>
      <c r="I347" s="154">
        <v>6</v>
      </c>
      <c r="J347" s="154">
        <v>6</v>
      </c>
      <c r="K347" s="154">
        <v>6</v>
      </c>
      <c r="L347" s="154">
        <v>6</v>
      </c>
      <c r="M347" s="154">
        <v>5</v>
      </c>
      <c r="N347" s="154">
        <v>4</v>
      </c>
      <c r="O347" s="154">
        <v>3</v>
      </c>
      <c r="P347" s="154">
        <v>2</v>
      </c>
      <c r="Q347" s="154">
        <v>1</v>
      </c>
      <c r="R347" s="155">
        <v>0</v>
      </c>
      <c r="U347" s="9">
        <f t="shared" si="74"/>
        <v>18</v>
      </c>
      <c r="V347" s="7" t="str">
        <f t="shared" si="75"/>
        <v>0123</v>
      </c>
      <c r="W347" s="7" t="str">
        <f t="shared" si="76"/>
        <v>4566</v>
      </c>
      <c r="X347" s="7" t="str">
        <f t="shared" si="77"/>
        <v>6654</v>
      </c>
      <c r="Y347" s="7" t="str">
        <f t="shared" si="78"/>
        <v>3210</v>
      </c>
    </row>
    <row r="348" spans="1:25" s="81" customFormat="1" ht="14.1" customHeight="1">
      <c r="A348" s="80"/>
      <c r="B348" s="84">
        <v>19</v>
      </c>
      <c r="C348" s="153">
        <v>0</v>
      </c>
      <c r="D348" s="154">
        <v>1</v>
      </c>
      <c r="E348" s="154">
        <v>2</v>
      </c>
      <c r="F348" s="154">
        <v>3</v>
      </c>
      <c r="G348" s="154">
        <v>4</v>
      </c>
      <c r="H348" s="154">
        <v>5</v>
      </c>
      <c r="I348" s="154">
        <v>6</v>
      </c>
      <c r="J348" s="154">
        <v>6</v>
      </c>
      <c r="K348" s="154">
        <v>6</v>
      </c>
      <c r="L348" s="154">
        <v>6</v>
      </c>
      <c r="M348" s="154">
        <v>5</v>
      </c>
      <c r="N348" s="154">
        <v>4</v>
      </c>
      <c r="O348" s="154">
        <v>3</v>
      </c>
      <c r="P348" s="154">
        <v>2</v>
      </c>
      <c r="Q348" s="154">
        <v>1</v>
      </c>
      <c r="R348" s="155">
        <v>0</v>
      </c>
      <c r="U348" s="9">
        <f t="shared" si="74"/>
        <v>19</v>
      </c>
      <c r="V348" s="7" t="str">
        <f t="shared" si="75"/>
        <v>0123</v>
      </c>
      <c r="W348" s="7" t="str">
        <f t="shared" si="76"/>
        <v>4566</v>
      </c>
      <c r="X348" s="7" t="str">
        <f t="shared" si="77"/>
        <v>6654</v>
      </c>
      <c r="Y348" s="7" t="str">
        <f t="shared" si="78"/>
        <v>3210</v>
      </c>
    </row>
    <row r="349" spans="1:25" s="81" customFormat="1" ht="14.1" customHeight="1">
      <c r="A349" s="80"/>
      <c r="B349" s="84">
        <v>20</v>
      </c>
      <c r="C349" s="153">
        <v>0</v>
      </c>
      <c r="D349" s="154">
        <v>1</v>
      </c>
      <c r="E349" s="154">
        <v>2</v>
      </c>
      <c r="F349" s="154">
        <v>3</v>
      </c>
      <c r="G349" s="154">
        <v>4</v>
      </c>
      <c r="H349" s="154">
        <v>5</v>
      </c>
      <c r="I349" s="154">
        <v>6</v>
      </c>
      <c r="J349" s="154">
        <v>6</v>
      </c>
      <c r="K349" s="154">
        <v>6</v>
      </c>
      <c r="L349" s="154">
        <v>6</v>
      </c>
      <c r="M349" s="154">
        <v>5</v>
      </c>
      <c r="N349" s="154">
        <v>4</v>
      </c>
      <c r="O349" s="154">
        <v>3</v>
      </c>
      <c r="P349" s="154">
        <v>2</v>
      </c>
      <c r="Q349" s="154">
        <v>1</v>
      </c>
      <c r="R349" s="155">
        <v>0</v>
      </c>
      <c r="U349" s="9">
        <f t="shared" si="74"/>
        <v>20</v>
      </c>
      <c r="V349" s="7" t="str">
        <f t="shared" si="75"/>
        <v>0123</v>
      </c>
      <c r="W349" s="7" t="str">
        <f t="shared" si="76"/>
        <v>4566</v>
      </c>
      <c r="X349" s="7" t="str">
        <f t="shared" si="77"/>
        <v>6654</v>
      </c>
      <c r="Y349" s="7" t="str">
        <f t="shared" si="78"/>
        <v>3210</v>
      </c>
    </row>
    <row r="350" spans="1:25" s="81" customFormat="1" ht="14.1" customHeight="1">
      <c r="A350" s="80"/>
      <c r="B350" s="84">
        <v>21</v>
      </c>
      <c r="C350" s="153">
        <v>0</v>
      </c>
      <c r="D350" s="154">
        <v>1</v>
      </c>
      <c r="E350" s="154">
        <v>2</v>
      </c>
      <c r="F350" s="154">
        <v>3</v>
      </c>
      <c r="G350" s="154">
        <v>4</v>
      </c>
      <c r="H350" s="154">
        <v>5</v>
      </c>
      <c r="I350" s="154">
        <v>5</v>
      </c>
      <c r="J350" s="154">
        <v>6</v>
      </c>
      <c r="K350" s="154">
        <v>6</v>
      </c>
      <c r="L350" s="154">
        <v>5</v>
      </c>
      <c r="M350" s="154">
        <v>5</v>
      </c>
      <c r="N350" s="154">
        <v>4</v>
      </c>
      <c r="O350" s="154">
        <v>3</v>
      </c>
      <c r="P350" s="154">
        <v>2</v>
      </c>
      <c r="Q350" s="154">
        <v>1</v>
      </c>
      <c r="R350" s="155">
        <v>0</v>
      </c>
      <c r="U350" s="9">
        <f t="shared" si="74"/>
        <v>21</v>
      </c>
      <c r="V350" s="7" t="str">
        <f t="shared" si="75"/>
        <v>0123</v>
      </c>
      <c r="W350" s="7" t="str">
        <f t="shared" si="76"/>
        <v>4556</v>
      </c>
      <c r="X350" s="7" t="str">
        <f t="shared" si="77"/>
        <v>6554</v>
      </c>
      <c r="Y350" s="7" t="str">
        <f t="shared" si="78"/>
        <v>3210</v>
      </c>
    </row>
    <row r="351" spans="1:25" s="81" customFormat="1" ht="14.1" customHeight="1">
      <c r="A351" s="80"/>
      <c r="B351" s="84">
        <v>22</v>
      </c>
      <c r="C351" s="153">
        <v>0</v>
      </c>
      <c r="D351" s="154">
        <v>1</v>
      </c>
      <c r="E351" s="154">
        <v>2</v>
      </c>
      <c r="F351" s="154">
        <v>3</v>
      </c>
      <c r="G351" s="154">
        <v>4</v>
      </c>
      <c r="H351" s="154">
        <v>5</v>
      </c>
      <c r="I351" s="154">
        <v>5</v>
      </c>
      <c r="J351" s="154">
        <v>6</v>
      </c>
      <c r="K351" s="154">
        <v>6</v>
      </c>
      <c r="L351" s="154">
        <v>5</v>
      </c>
      <c r="M351" s="154">
        <v>5</v>
      </c>
      <c r="N351" s="154">
        <v>4</v>
      </c>
      <c r="O351" s="154">
        <v>3</v>
      </c>
      <c r="P351" s="154">
        <v>2</v>
      </c>
      <c r="Q351" s="154">
        <v>1</v>
      </c>
      <c r="R351" s="155">
        <v>0</v>
      </c>
      <c r="U351" s="9">
        <f t="shared" si="74"/>
        <v>22</v>
      </c>
      <c r="V351" s="7" t="str">
        <f t="shared" si="75"/>
        <v>0123</v>
      </c>
      <c r="W351" s="7" t="str">
        <f t="shared" si="76"/>
        <v>4556</v>
      </c>
      <c r="X351" s="7" t="str">
        <f t="shared" si="77"/>
        <v>6554</v>
      </c>
      <c r="Y351" s="7" t="str">
        <f t="shared" si="78"/>
        <v>3210</v>
      </c>
    </row>
    <row r="352" spans="1:25" s="81" customFormat="1" ht="14.1" customHeight="1">
      <c r="A352" s="80"/>
      <c r="B352" s="84">
        <v>23</v>
      </c>
      <c r="C352" s="153">
        <v>0</v>
      </c>
      <c r="D352" s="154">
        <v>1</v>
      </c>
      <c r="E352" s="154">
        <v>2</v>
      </c>
      <c r="F352" s="154">
        <v>3</v>
      </c>
      <c r="G352" s="154">
        <v>3</v>
      </c>
      <c r="H352" s="154">
        <v>5</v>
      </c>
      <c r="I352" s="154">
        <v>5</v>
      </c>
      <c r="J352" s="154">
        <v>6</v>
      </c>
      <c r="K352" s="154">
        <v>6</v>
      </c>
      <c r="L352" s="154">
        <v>5</v>
      </c>
      <c r="M352" s="154">
        <v>5</v>
      </c>
      <c r="N352" s="154">
        <v>3</v>
      </c>
      <c r="O352" s="154">
        <v>3</v>
      </c>
      <c r="P352" s="154">
        <v>2</v>
      </c>
      <c r="Q352" s="154">
        <v>1</v>
      </c>
      <c r="R352" s="155">
        <v>0</v>
      </c>
      <c r="U352" s="9">
        <f t="shared" si="74"/>
        <v>23</v>
      </c>
      <c r="V352" s="7" t="str">
        <f t="shared" si="75"/>
        <v>0123</v>
      </c>
      <c r="W352" s="7" t="str">
        <f t="shared" si="76"/>
        <v>3556</v>
      </c>
      <c r="X352" s="7" t="str">
        <f t="shared" si="77"/>
        <v>6553</v>
      </c>
      <c r="Y352" s="7" t="str">
        <f t="shared" si="78"/>
        <v>3210</v>
      </c>
    </row>
    <row r="353" spans="1:25" s="81" customFormat="1" ht="14.1" customHeight="1">
      <c r="A353" s="80"/>
      <c r="B353" s="84">
        <v>24</v>
      </c>
      <c r="C353" s="153">
        <v>0</v>
      </c>
      <c r="D353" s="154">
        <v>1</v>
      </c>
      <c r="E353" s="154">
        <v>2</v>
      </c>
      <c r="F353" s="154">
        <v>3</v>
      </c>
      <c r="G353" s="154">
        <v>3</v>
      </c>
      <c r="H353" s="154">
        <v>4</v>
      </c>
      <c r="I353" s="154">
        <v>5</v>
      </c>
      <c r="J353" s="154">
        <v>5</v>
      </c>
      <c r="K353" s="154">
        <v>5</v>
      </c>
      <c r="L353" s="154">
        <v>5</v>
      </c>
      <c r="M353" s="154">
        <v>4</v>
      </c>
      <c r="N353" s="154">
        <v>3</v>
      </c>
      <c r="O353" s="154">
        <v>3</v>
      </c>
      <c r="P353" s="154">
        <v>2</v>
      </c>
      <c r="Q353" s="154">
        <v>1</v>
      </c>
      <c r="R353" s="155">
        <v>0</v>
      </c>
      <c r="U353" s="9">
        <f t="shared" si="74"/>
        <v>24</v>
      </c>
      <c r="V353" s="7" t="str">
        <f t="shared" si="75"/>
        <v>0123</v>
      </c>
      <c r="W353" s="7" t="str">
        <f t="shared" si="76"/>
        <v>3455</v>
      </c>
      <c r="X353" s="7" t="str">
        <f t="shared" si="77"/>
        <v>5543</v>
      </c>
      <c r="Y353" s="7" t="str">
        <f t="shared" si="78"/>
        <v>3210</v>
      </c>
    </row>
    <row r="354" spans="1:25" s="81" customFormat="1" ht="14.1" customHeight="1">
      <c r="A354" s="80"/>
      <c r="B354" s="84">
        <v>25</v>
      </c>
      <c r="C354" s="153">
        <v>0</v>
      </c>
      <c r="D354" s="154">
        <v>1</v>
      </c>
      <c r="E354" s="154">
        <v>1</v>
      </c>
      <c r="F354" s="154">
        <v>2</v>
      </c>
      <c r="G354" s="154">
        <v>3</v>
      </c>
      <c r="H354" s="154">
        <v>4</v>
      </c>
      <c r="I354" s="154">
        <v>5</v>
      </c>
      <c r="J354" s="154">
        <v>5</v>
      </c>
      <c r="K354" s="154">
        <v>5</v>
      </c>
      <c r="L354" s="154">
        <v>5</v>
      </c>
      <c r="M354" s="154">
        <v>4</v>
      </c>
      <c r="N354" s="154">
        <v>3</v>
      </c>
      <c r="O354" s="154">
        <v>2</v>
      </c>
      <c r="P354" s="154">
        <v>1</v>
      </c>
      <c r="Q354" s="154">
        <v>1</v>
      </c>
      <c r="R354" s="155">
        <v>0</v>
      </c>
      <c r="U354" s="9">
        <f t="shared" si="74"/>
        <v>25</v>
      </c>
      <c r="V354" s="7" t="str">
        <f t="shared" si="75"/>
        <v>0112</v>
      </c>
      <c r="W354" s="7" t="str">
        <f t="shared" si="76"/>
        <v>3455</v>
      </c>
      <c r="X354" s="7" t="str">
        <f t="shared" si="77"/>
        <v>5543</v>
      </c>
      <c r="Y354" s="7" t="str">
        <f t="shared" si="78"/>
        <v>2110</v>
      </c>
    </row>
    <row r="355" spans="1:25" s="81" customFormat="1" ht="14.1" customHeight="1">
      <c r="A355" s="80"/>
      <c r="B355" s="84">
        <v>26</v>
      </c>
      <c r="C355" s="153">
        <v>0</v>
      </c>
      <c r="D355" s="154">
        <v>1</v>
      </c>
      <c r="E355" s="154">
        <v>1</v>
      </c>
      <c r="F355" s="154">
        <v>2</v>
      </c>
      <c r="G355" s="154">
        <v>3</v>
      </c>
      <c r="H355" s="154">
        <v>4</v>
      </c>
      <c r="I355" s="154">
        <v>5</v>
      </c>
      <c r="J355" s="154">
        <v>5</v>
      </c>
      <c r="K355" s="154">
        <v>5</v>
      </c>
      <c r="L355" s="154">
        <v>5</v>
      </c>
      <c r="M355" s="154">
        <v>4</v>
      </c>
      <c r="N355" s="154">
        <v>3</v>
      </c>
      <c r="O355" s="154">
        <v>2</v>
      </c>
      <c r="P355" s="154">
        <v>1</v>
      </c>
      <c r="Q355" s="154">
        <v>1</v>
      </c>
      <c r="R355" s="155">
        <v>0</v>
      </c>
      <c r="U355" s="9">
        <f t="shared" si="74"/>
        <v>26</v>
      </c>
      <c r="V355" s="7" t="str">
        <f t="shared" si="75"/>
        <v>0112</v>
      </c>
      <c r="W355" s="7" t="str">
        <f t="shared" si="76"/>
        <v>3455</v>
      </c>
      <c r="X355" s="7" t="str">
        <f t="shared" si="77"/>
        <v>5543</v>
      </c>
      <c r="Y355" s="7" t="str">
        <f t="shared" si="78"/>
        <v>2110</v>
      </c>
    </row>
    <row r="356" spans="1:25" s="81" customFormat="1" ht="14.1" customHeight="1">
      <c r="A356" s="80"/>
      <c r="B356" s="84">
        <v>27</v>
      </c>
      <c r="C356" s="153">
        <v>0</v>
      </c>
      <c r="D356" s="154">
        <v>1</v>
      </c>
      <c r="E356" s="154">
        <v>1</v>
      </c>
      <c r="F356" s="154">
        <v>2</v>
      </c>
      <c r="G356" s="154">
        <v>3</v>
      </c>
      <c r="H356" s="154">
        <v>4</v>
      </c>
      <c r="I356" s="154">
        <v>4</v>
      </c>
      <c r="J356" s="154">
        <v>5</v>
      </c>
      <c r="K356" s="154">
        <v>5</v>
      </c>
      <c r="L356" s="154">
        <v>4</v>
      </c>
      <c r="M356" s="154">
        <v>4</v>
      </c>
      <c r="N356" s="154">
        <v>3</v>
      </c>
      <c r="O356" s="154">
        <v>2</v>
      </c>
      <c r="P356" s="154">
        <v>1</v>
      </c>
      <c r="Q356" s="154">
        <v>1</v>
      </c>
      <c r="R356" s="155">
        <v>0</v>
      </c>
      <c r="U356" s="9">
        <f t="shared" si="74"/>
        <v>27</v>
      </c>
      <c r="V356" s="7" t="str">
        <f t="shared" si="75"/>
        <v>0112</v>
      </c>
      <c r="W356" s="7" t="str">
        <f t="shared" si="76"/>
        <v>3445</v>
      </c>
      <c r="X356" s="7" t="str">
        <f t="shared" si="77"/>
        <v>5443</v>
      </c>
      <c r="Y356" s="7" t="str">
        <f t="shared" si="78"/>
        <v>2110</v>
      </c>
    </row>
    <row r="357" spans="1:25" s="81" customFormat="1" ht="14.1" customHeight="1">
      <c r="A357" s="80"/>
      <c r="B357" s="84">
        <v>28</v>
      </c>
      <c r="C357" s="153">
        <v>0</v>
      </c>
      <c r="D357" s="154">
        <v>1</v>
      </c>
      <c r="E357" s="154">
        <v>1</v>
      </c>
      <c r="F357" s="154">
        <v>2</v>
      </c>
      <c r="G357" s="154">
        <v>3</v>
      </c>
      <c r="H357" s="154">
        <v>4</v>
      </c>
      <c r="I357" s="154">
        <v>4</v>
      </c>
      <c r="J357" s="154">
        <v>4</v>
      </c>
      <c r="K357" s="154">
        <v>4</v>
      </c>
      <c r="L357" s="154">
        <v>4</v>
      </c>
      <c r="M357" s="154">
        <v>4</v>
      </c>
      <c r="N357" s="154">
        <v>3</v>
      </c>
      <c r="O357" s="154">
        <v>2</v>
      </c>
      <c r="P357" s="154">
        <v>1</v>
      </c>
      <c r="Q357" s="154">
        <v>1</v>
      </c>
      <c r="R357" s="155">
        <v>0</v>
      </c>
      <c r="U357" s="9">
        <f t="shared" si="74"/>
        <v>28</v>
      </c>
      <c r="V357" s="7" t="str">
        <f t="shared" si="75"/>
        <v>0112</v>
      </c>
      <c r="W357" s="7" t="str">
        <f t="shared" si="76"/>
        <v>3444</v>
      </c>
      <c r="X357" s="7" t="str">
        <f t="shared" si="77"/>
        <v>4443</v>
      </c>
      <c r="Y357" s="7" t="str">
        <f t="shared" si="78"/>
        <v>2110</v>
      </c>
    </row>
    <row r="358" spans="1:25" s="81" customFormat="1" ht="14.1" customHeight="1">
      <c r="A358" s="80"/>
      <c r="B358" s="84">
        <v>29</v>
      </c>
      <c r="C358" s="153">
        <v>0</v>
      </c>
      <c r="D358" s="154">
        <v>1</v>
      </c>
      <c r="E358" s="154">
        <v>1</v>
      </c>
      <c r="F358" s="154">
        <v>2</v>
      </c>
      <c r="G358" s="154">
        <v>3</v>
      </c>
      <c r="H358" s="154">
        <v>3</v>
      </c>
      <c r="I358" s="154">
        <v>4</v>
      </c>
      <c r="J358" s="154">
        <v>4</v>
      </c>
      <c r="K358" s="154">
        <v>4</v>
      </c>
      <c r="L358" s="154">
        <v>4</v>
      </c>
      <c r="M358" s="154">
        <v>3</v>
      </c>
      <c r="N358" s="154">
        <v>3</v>
      </c>
      <c r="O358" s="154">
        <v>2</v>
      </c>
      <c r="P358" s="154">
        <v>1</v>
      </c>
      <c r="Q358" s="154">
        <v>1</v>
      </c>
      <c r="R358" s="155">
        <v>0</v>
      </c>
      <c r="U358" s="9">
        <f t="shared" si="74"/>
        <v>29</v>
      </c>
      <c r="V358" s="7" t="str">
        <f t="shared" si="75"/>
        <v>0112</v>
      </c>
      <c r="W358" s="7" t="str">
        <f t="shared" si="76"/>
        <v>3344</v>
      </c>
      <c r="X358" s="7" t="str">
        <f t="shared" si="77"/>
        <v>4433</v>
      </c>
      <c r="Y358" s="7" t="str">
        <f t="shared" si="78"/>
        <v>2110</v>
      </c>
    </row>
    <row r="359" spans="1:25" s="81" customFormat="1" ht="14.1" customHeight="1">
      <c r="A359" s="80"/>
      <c r="B359" s="84">
        <v>30</v>
      </c>
      <c r="C359" s="153">
        <v>0</v>
      </c>
      <c r="D359" s="154">
        <v>1</v>
      </c>
      <c r="E359" s="154">
        <v>1</v>
      </c>
      <c r="F359" s="154">
        <v>2</v>
      </c>
      <c r="G359" s="154">
        <v>3</v>
      </c>
      <c r="H359" s="154">
        <v>3</v>
      </c>
      <c r="I359" s="154">
        <v>4</v>
      </c>
      <c r="J359" s="154">
        <v>4</v>
      </c>
      <c r="K359" s="154">
        <v>4</v>
      </c>
      <c r="L359" s="154">
        <v>4</v>
      </c>
      <c r="M359" s="154">
        <v>3</v>
      </c>
      <c r="N359" s="154">
        <v>3</v>
      </c>
      <c r="O359" s="154">
        <v>2</v>
      </c>
      <c r="P359" s="154">
        <v>1</v>
      </c>
      <c r="Q359" s="154">
        <v>1</v>
      </c>
      <c r="R359" s="155">
        <v>0</v>
      </c>
      <c r="U359" s="9">
        <f t="shared" si="74"/>
        <v>30</v>
      </c>
      <c r="V359" s="7" t="str">
        <f t="shared" si="75"/>
        <v>0112</v>
      </c>
      <c r="W359" s="7" t="str">
        <f t="shared" si="76"/>
        <v>3344</v>
      </c>
      <c r="X359" s="7" t="str">
        <f t="shared" si="77"/>
        <v>4433</v>
      </c>
      <c r="Y359" s="7" t="str">
        <f t="shared" si="78"/>
        <v>2110</v>
      </c>
    </row>
    <row r="360" spans="1:25" s="81" customFormat="1" ht="14.1" customHeight="1" thickBot="1">
      <c r="A360" s="80"/>
      <c r="B360" s="84">
        <v>31</v>
      </c>
      <c r="C360" s="147">
        <v>0</v>
      </c>
      <c r="D360" s="148">
        <v>1</v>
      </c>
      <c r="E360" s="148">
        <v>1</v>
      </c>
      <c r="F360" s="148">
        <v>2</v>
      </c>
      <c r="G360" s="148">
        <v>3</v>
      </c>
      <c r="H360" s="148">
        <v>3</v>
      </c>
      <c r="I360" s="148">
        <v>3</v>
      </c>
      <c r="J360" s="148">
        <v>4</v>
      </c>
      <c r="K360" s="148">
        <v>4</v>
      </c>
      <c r="L360" s="148">
        <v>3</v>
      </c>
      <c r="M360" s="148">
        <v>3</v>
      </c>
      <c r="N360" s="148">
        <v>3</v>
      </c>
      <c r="O360" s="148">
        <v>2</v>
      </c>
      <c r="P360" s="148">
        <v>1</v>
      </c>
      <c r="Q360" s="148">
        <v>1</v>
      </c>
      <c r="R360" s="149">
        <v>0</v>
      </c>
      <c r="U360" s="9">
        <f t="shared" si="74"/>
        <v>31</v>
      </c>
      <c r="V360" s="7" t="str">
        <f t="shared" si="75"/>
        <v>0112</v>
      </c>
      <c r="W360" s="7" t="str">
        <f t="shared" si="76"/>
        <v>3334</v>
      </c>
      <c r="X360" s="7" t="str">
        <f t="shared" si="77"/>
        <v>4333</v>
      </c>
      <c r="Y360" s="7" t="str">
        <f t="shared" si="78"/>
        <v>2110</v>
      </c>
    </row>
    <row r="361" spans="1:25" s="81" customFormat="1">
      <c r="A361" s="80"/>
      <c r="U361" s="85"/>
    </row>
    <row r="362" spans="1:25" s="81" customFormat="1">
      <c r="A362" s="80"/>
      <c r="U362" s="85"/>
    </row>
    <row r="363" spans="1:25" s="81" customFormat="1">
      <c r="A363" s="80" t="s">
        <v>418</v>
      </c>
      <c r="U363" s="8" t="str">
        <f>A363</f>
        <v>11.Landscape Multi Pattern    ( 90 degree clockwise )</v>
      </c>
    </row>
    <row r="364" spans="1:25" s="81" customFormat="1" ht="15" thickBot="1">
      <c r="A364" s="80"/>
      <c r="C364" s="84">
        <v>0</v>
      </c>
      <c r="D364" s="84">
        <v>1</v>
      </c>
      <c r="E364" s="84">
        <v>2</v>
      </c>
      <c r="F364" s="84">
        <v>3</v>
      </c>
      <c r="G364" s="84">
        <v>4</v>
      </c>
      <c r="H364" s="84">
        <v>5</v>
      </c>
      <c r="I364" s="84">
        <v>6</v>
      </c>
      <c r="J364" s="84">
        <v>7</v>
      </c>
      <c r="K364" s="84">
        <v>8</v>
      </c>
      <c r="L364" s="84">
        <v>9</v>
      </c>
      <c r="M364" s="84">
        <v>10</v>
      </c>
      <c r="N364" s="84">
        <v>11</v>
      </c>
      <c r="O364" s="84">
        <v>12</v>
      </c>
      <c r="P364" s="84">
        <v>13</v>
      </c>
      <c r="Q364" s="84">
        <v>14</v>
      </c>
      <c r="R364" s="84">
        <v>15</v>
      </c>
      <c r="U364" s="85"/>
      <c r="V364" s="7" t="str">
        <f t="shared" ref="V364" si="79">C364&amp;D364&amp;E364&amp;F364</f>
        <v>0123</v>
      </c>
      <c r="W364" s="7" t="str">
        <f t="shared" ref="W364" si="80">G364&amp;H364&amp;I364&amp;J364</f>
        <v>4567</v>
      </c>
      <c r="X364" s="7" t="str">
        <f t="shared" ref="X364" si="81">K364&amp;L364&amp;M364&amp;N364</f>
        <v>891011</v>
      </c>
      <c r="Y364" s="7" t="str">
        <f t="shared" ref="Y364" si="82">O364&amp;P364&amp;Q364&amp;R364</f>
        <v>12131415</v>
      </c>
    </row>
    <row r="365" spans="1:25" s="81" customFormat="1" ht="14.1" customHeight="1">
      <c r="A365" s="80"/>
      <c r="B365" s="84">
        <v>0</v>
      </c>
      <c r="C365" s="150">
        <v>0</v>
      </c>
      <c r="D365" s="151">
        <v>0</v>
      </c>
      <c r="E365" s="151">
        <v>0</v>
      </c>
      <c r="F365" s="151">
        <v>0</v>
      </c>
      <c r="G365" s="151">
        <v>0</v>
      </c>
      <c r="H365" s="151">
        <v>0</v>
      </c>
      <c r="I365" s="151">
        <v>0</v>
      </c>
      <c r="J365" s="151">
        <v>0</v>
      </c>
      <c r="K365" s="151">
        <v>0</v>
      </c>
      <c r="L365" s="151">
        <v>0</v>
      </c>
      <c r="M365" s="151">
        <v>0</v>
      </c>
      <c r="N365" s="151">
        <v>0</v>
      </c>
      <c r="O365" s="151">
        <v>0</v>
      </c>
      <c r="P365" s="151">
        <v>0</v>
      </c>
      <c r="Q365" s="151">
        <v>0</v>
      </c>
      <c r="R365" s="152">
        <v>0</v>
      </c>
      <c r="U365" s="9">
        <f t="shared" ref="U365:U396" si="83">B365</f>
        <v>0</v>
      </c>
      <c r="V365" s="7" t="str">
        <f t="shared" si="75"/>
        <v>0000</v>
      </c>
      <c r="W365" s="7" t="str">
        <f t="shared" si="76"/>
        <v>0000</v>
      </c>
      <c r="X365" s="7" t="str">
        <f t="shared" si="77"/>
        <v>0000</v>
      </c>
      <c r="Y365" s="7" t="str">
        <f t="shared" si="78"/>
        <v>0000</v>
      </c>
    </row>
    <row r="366" spans="1:25" s="81" customFormat="1" ht="14.1" customHeight="1">
      <c r="A366" s="80"/>
      <c r="B366" s="84">
        <v>1</v>
      </c>
      <c r="C366" s="153">
        <v>0</v>
      </c>
      <c r="D366" s="154">
        <v>0</v>
      </c>
      <c r="E366" s="154">
        <v>0</v>
      </c>
      <c r="F366" s="154">
        <v>0</v>
      </c>
      <c r="G366" s="154">
        <v>0</v>
      </c>
      <c r="H366" s="154">
        <v>0</v>
      </c>
      <c r="I366" s="154">
        <v>0</v>
      </c>
      <c r="J366" s="154">
        <v>0</v>
      </c>
      <c r="K366" s="154">
        <v>0</v>
      </c>
      <c r="L366" s="154">
        <v>0</v>
      </c>
      <c r="M366" s="154">
        <v>0</v>
      </c>
      <c r="N366" s="154">
        <v>0</v>
      </c>
      <c r="O366" s="154">
        <v>0</v>
      </c>
      <c r="P366" s="154">
        <v>0</v>
      </c>
      <c r="Q366" s="154">
        <v>0</v>
      </c>
      <c r="R366" s="155">
        <v>0</v>
      </c>
      <c r="U366" s="9">
        <f t="shared" si="83"/>
        <v>1</v>
      </c>
      <c r="V366" s="7" t="str">
        <f t="shared" si="75"/>
        <v>0000</v>
      </c>
      <c r="W366" s="7" t="str">
        <f t="shared" si="76"/>
        <v>0000</v>
      </c>
      <c r="X366" s="7" t="str">
        <f t="shared" si="77"/>
        <v>0000</v>
      </c>
      <c r="Y366" s="7" t="str">
        <f t="shared" si="78"/>
        <v>0000</v>
      </c>
    </row>
    <row r="367" spans="1:25" s="81" customFormat="1" ht="14.1" customHeight="1">
      <c r="A367" s="80"/>
      <c r="B367" s="84">
        <v>2</v>
      </c>
      <c r="C367" s="153">
        <v>0</v>
      </c>
      <c r="D367" s="154">
        <v>0</v>
      </c>
      <c r="E367" s="154">
        <v>0</v>
      </c>
      <c r="F367" s="154">
        <v>0</v>
      </c>
      <c r="G367" s="154">
        <v>0</v>
      </c>
      <c r="H367" s="154">
        <v>0</v>
      </c>
      <c r="I367" s="154">
        <v>1</v>
      </c>
      <c r="J367" s="154">
        <v>1</v>
      </c>
      <c r="K367" s="154">
        <v>1</v>
      </c>
      <c r="L367" s="154">
        <v>1</v>
      </c>
      <c r="M367" s="154">
        <v>1</v>
      </c>
      <c r="N367" s="154">
        <v>1</v>
      </c>
      <c r="O367" s="154">
        <v>1</v>
      </c>
      <c r="P367" s="154">
        <v>1</v>
      </c>
      <c r="Q367" s="154">
        <v>1</v>
      </c>
      <c r="R367" s="155">
        <v>1</v>
      </c>
      <c r="U367" s="9">
        <f t="shared" si="83"/>
        <v>2</v>
      </c>
      <c r="V367" s="7" t="str">
        <f t="shared" si="75"/>
        <v>0000</v>
      </c>
      <c r="W367" s="7" t="str">
        <f t="shared" si="76"/>
        <v>0011</v>
      </c>
      <c r="X367" s="7" t="str">
        <f t="shared" si="77"/>
        <v>1111</v>
      </c>
      <c r="Y367" s="7" t="str">
        <f t="shared" si="78"/>
        <v>1111</v>
      </c>
    </row>
    <row r="368" spans="1:25" s="81" customFormat="1" ht="14.1" customHeight="1">
      <c r="A368" s="80"/>
      <c r="B368" s="84">
        <v>3</v>
      </c>
      <c r="C368" s="153">
        <v>0</v>
      </c>
      <c r="D368" s="154">
        <v>0</v>
      </c>
      <c r="E368" s="154">
        <v>0</v>
      </c>
      <c r="F368" s="154">
        <v>0</v>
      </c>
      <c r="G368" s="154">
        <v>0</v>
      </c>
      <c r="H368" s="154">
        <v>1</v>
      </c>
      <c r="I368" s="154">
        <v>1</v>
      </c>
      <c r="J368" s="154">
        <v>1</v>
      </c>
      <c r="K368" s="154">
        <v>1</v>
      </c>
      <c r="L368" s="154">
        <v>1</v>
      </c>
      <c r="M368" s="154">
        <v>1</v>
      </c>
      <c r="N368" s="154">
        <v>1</v>
      </c>
      <c r="O368" s="154">
        <v>1</v>
      </c>
      <c r="P368" s="154">
        <v>1</v>
      </c>
      <c r="Q368" s="154">
        <v>1</v>
      </c>
      <c r="R368" s="155">
        <v>1</v>
      </c>
      <c r="U368" s="9">
        <f t="shared" si="83"/>
        <v>3</v>
      </c>
      <c r="V368" s="7" t="str">
        <f t="shared" si="75"/>
        <v>0000</v>
      </c>
      <c r="W368" s="7" t="str">
        <f t="shared" si="76"/>
        <v>0111</v>
      </c>
      <c r="X368" s="7" t="str">
        <f t="shared" si="77"/>
        <v>1111</v>
      </c>
      <c r="Y368" s="7" t="str">
        <f t="shared" si="78"/>
        <v>1111</v>
      </c>
    </row>
    <row r="369" spans="1:25" s="81" customFormat="1" ht="14.1" customHeight="1">
      <c r="A369" s="80"/>
      <c r="B369" s="84">
        <v>4</v>
      </c>
      <c r="C369" s="153">
        <v>0</v>
      </c>
      <c r="D369" s="154">
        <v>0</v>
      </c>
      <c r="E369" s="154">
        <v>0</v>
      </c>
      <c r="F369" s="154">
        <v>0</v>
      </c>
      <c r="G369" s="154">
        <v>1</v>
      </c>
      <c r="H369" s="154">
        <v>1</v>
      </c>
      <c r="I369" s="131">
        <v>2</v>
      </c>
      <c r="J369" s="131">
        <v>2</v>
      </c>
      <c r="K369" s="131">
        <v>2</v>
      </c>
      <c r="L369" s="131">
        <v>2</v>
      </c>
      <c r="M369" s="154">
        <v>2</v>
      </c>
      <c r="N369" s="154">
        <v>2</v>
      </c>
      <c r="O369" s="154">
        <v>2</v>
      </c>
      <c r="P369" s="154">
        <v>1</v>
      </c>
      <c r="Q369" s="154">
        <v>1</v>
      </c>
      <c r="R369" s="155">
        <v>1</v>
      </c>
      <c r="U369" s="9">
        <f t="shared" si="83"/>
        <v>4</v>
      </c>
      <c r="V369" s="7" t="str">
        <f t="shared" si="75"/>
        <v>0000</v>
      </c>
      <c r="W369" s="7" t="str">
        <f t="shared" si="76"/>
        <v>1122</v>
      </c>
      <c r="X369" s="7" t="str">
        <f t="shared" si="77"/>
        <v>2222</v>
      </c>
      <c r="Y369" s="7" t="str">
        <f t="shared" si="78"/>
        <v>2111</v>
      </c>
    </row>
    <row r="370" spans="1:25" s="81" customFormat="1" ht="14.1" customHeight="1">
      <c r="A370" s="80"/>
      <c r="B370" s="84">
        <v>5</v>
      </c>
      <c r="C370" s="153">
        <v>0</v>
      </c>
      <c r="D370" s="154">
        <v>0</v>
      </c>
      <c r="E370" s="154">
        <v>0</v>
      </c>
      <c r="F370" s="154">
        <v>0</v>
      </c>
      <c r="G370" s="154">
        <v>1</v>
      </c>
      <c r="H370" s="154">
        <v>2</v>
      </c>
      <c r="I370" s="131">
        <v>2</v>
      </c>
      <c r="J370" s="131">
        <v>2</v>
      </c>
      <c r="K370" s="131">
        <v>2</v>
      </c>
      <c r="L370" s="131">
        <v>2</v>
      </c>
      <c r="M370" s="154">
        <v>2</v>
      </c>
      <c r="N370" s="154">
        <v>2</v>
      </c>
      <c r="O370" s="154">
        <v>2</v>
      </c>
      <c r="P370" s="154">
        <v>2</v>
      </c>
      <c r="Q370" s="154">
        <v>2</v>
      </c>
      <c r="R370" s="155">
        <v>2</v>
      </c>
      <c r="U370" s="9">
        <f t="shared" si="83"/>
        <v>5</v>
      </c>
      <c r="V370" s="7" t="str">
        <f t="shared" si="75"/>
        <v>0000</v>
      </c>
      <c r="W370" s="7" t="str">
        <f t="shared" si="76"/>
        <v>1222</v>
      </c>
      <c r="X370" s="7" t="str">
        <f t="shared" si="77"/>
        <v>2222</v>
      </c>
      <c r="Y370" s="7" t="str">
        <f t="shared" si="78"/>
        <v>2222</v>
      </c>
    </row>
    <row r="371" spans="1:25" s="81" customFormat="1" ht="14.1" customHeight="1">
      <c r="A371" s="80"/>
      <c r="B371" s="84">
        <v>6</v>
      </c>
      <c r="C371" s="153">
        <v>0</v>
      </c>
      <c r="D371" s="154">
        <v>0</v>
      </c>
      <c r="E371" s="154">
        <v>0</v>
      </c>
      <c r="F371" s="154">
        <v>1</v>
      </c>
      <c r="G371" s="131">
        <v>2</v>
      </c>
      <c r="H371" s="131">
        <v>2</v>
      </c>
      <c r="I371" s="131">
        <v>2</v>
      </c>
      <c r="J371" s="154">
        <v>3</v>
      </c>
      <c r="K371" s="154">
        <v>3</v>
      </c>
      <c r="L371" s="131">
        <v>3</v>
      </c>
      <c r="M371" s="131">
        <v>3</v>
      </c>
      <c r="N371" s="131">
        <v>3</v>
      </c>
      <c r="O371" s="154">
        <v>3</v>
      </c>
      <c r="P371" s="154">
        <v>2</v>
      </c>
      <c r="Q371" s="154">
        <v>2</v>
      </c>
      <c r="R371" s="155">
        <v>2</v>
      </c>
      <c r="U371" s="9">
        <f t="shared" si="83"/>
        <v>6</v>
      </c>
      <c r="V371" s="7" t="str">
        <f t="shared" si="75"/>
        <v>0001</v>
      </c>
      <c r="W371" s="7" t="str">
        <f t="shared" si="76"/>
        <v>2223</v>
      </c>
      <c r="X371" s="7" t="str">
        <f t="shared" si="77"/>
        <v>3333</v>
      </c>
      <c r="Y371" s="7" t="str">
        <f t="shared" si="78"/>
        <v>3222</v>
      </c>
    </row>
    <row r="372" spans="1:25" s="81" customFormat="1" ht="14.1" customHeight="1">
      <c r="A372" s="80"/>
      <c r="B372" s="84">
        <v>7</v>
      </c>
      <c r="C372" s="153">
        <v>0</v>
      </c>
      <c r="D372" s="154">
        <v>0</v>
      </c>
      <c r="E372" s="154">
        <v>0</v>
      </c>
      <c r="F372" s="154">
        <v>1</v>
      </c>
      <c r="G372" s="131">
        <v>2</v>
      </c>
      <c r="H372" s="131">
        <v>2</v>
      </c>
      <c r="I372" s="131">
        <v>3</v>
      </c>
      <c r="J372" s="154">
        <v>3</v>
      </c>
      <c r="K372" s="154">
        <v>3</v>
      </c>
      <c r="L372" s="131">
        <v>3</v>
      </c>
      <c r="M372" s="131">
        <v>3</v>
      </c>
      <c r="N372" s="131">
        <v>3</v>
      </c>
      <c r="O372" s="154">
        <v>3</v>
      </c>
      <c r="P372" s="154">
        <v>3</v>
      </c>
      <c r="Q372" s="154">
        <v>3</v>
      </c>
      <c r="R372" s="155">
        <v>3</v>
      </c>
      <c r="U372" s="9">
        <f t="shared" si="83"/>
        <v>7</v>
      </c>
      <c r="V372" s="7" t="str">
        <f t="shared" si="75"/>
        <v>0001</v>
      </c>
      <c r="W372" s="7" t="str">
        <f t="shared" si="76"/>
        <v>2233</v>
      </c>
      <c r="X372" s="7" t="str">
        <f t="shared" si="77"/>
        <v>3333</v>
      </c>
      <c r="Y372" s="7" t="str">
        <f t="shared" si="78"/>
        <v>3333</v>
      </c>
    </row>
    <row r="373" spans="1:25" s="81" customFormat="1" ht="14.1" customHeight="1">
      <c r="A373" s="80"/>
      <c r="B373" s="84">
        <v>8</v>
      </c>
      <c r="C373" s="153">
        <v>0</v>
      </c>
      <c r="D373" s="154">
        <v>0</v>
      </c>
      <c r="E373" s="131">
        <v>1</v>
      </c>
      <c r="F373" s="131">
        <v>2</v>
      </c>
      <c r="G373" s="131">
        <v>2</v>
      </c>
      <c r="H373" s="154">
        <v>3</v>
      </c>
      <c r="I373" s="154">
        <v>3</v>
      </c>
      <c r="J373" s="154">
        <v>4</v>
      </c>
      <c r="K373" s="154">
        <v>4</v>
      </c>
      <c r="L373" s="154">
        <v>4</v>
      </c>
      <c r="M373" s="131">
        <v>4</v>
      </c>
      <c r="N373" s="131">
        <v>4</v>
      </c>
      <c r="O373" s="131">
        <v>3</v>
      </c>
      <c r="P373" s="131">
        <v>3</v>
      </c>
      <c r="Q373" s="154">
        <v>3</v>
      </c>
      <c r="R373" s="155">
        <v>3</v>
      </c>
      <c r="U373" s="9">
        <f t="shared" si="83"/>
        <v>8</v>
      </c>
      <c r="V373" s="7" t="str">
        <f t="shared" si="75"/>
        <v>0012</v>
      </c>
      <c r="W373" s="7" t="str">
        <f t="shared" si="76"/>
        <v>2334</v>
      </c>
      <c r="X373" s="7" t="str">
        <f t="shared" si="77"/>
        <v>4444</v>
      </c>
      <c r="Y373" s="7" t="str">
        <f t="shared" si="78"/>
        <v>3333</v>
      </c>
    </row>
    <row r="374" spans="1:25" s="81" customFormat="1" ht="14.1" customHeight="1">
      <c r="A374" s="80"/>
      <c r="B374" s="84">
        <v>9</v>
      </c>
      <c r="C374" s="153">
        <v>0</v>
      </c>
      <c r="D374" s="154">
        <v>0</v>
      </c>
      <c r="E374" s="131">
        <v>1</v>
      </c>
      <c r="F374" s="131">
        <v>2</v>
      </c>
      <c r="G374" s="131">
        <v>3</v>
      </c>
      <c r="H374" s="154">
        <v>3</v>
      </c>
      <c r="I374" s="154">
        <v>4</v>
      </c>
      <c r="J374" s="154">
        <v>4</v>
      </c>
      <c r="K374" s="154">
        <v>4</v>
      </c>
      <c r="L374" s="154">
        <v>4</v>
      </c>
      <c r="M374" s="131">
        <v>4</v>
      </c>
      <c r="N374" s="131">
        <v>4</v>
      </c>
      <c r="O374" s="131">
        <v>4</v>
      </c>
      <c r="P374" s="131">
        <v>3</v>
      </c>
      <c r="Q374" s="154">
        <v>3</v>
      </c>
      <c r="R374" s="155">
        <v>3</v>
      </c>
      <c r="U374" s="9">
        <f t="shared" si="83"/>
        <v>9</v>
      </c>
      <c r="V374" s="7" t="str">
        <f t="shared" si="75"/>
        <v>0012</v>
      </c>
      <c r="W374" s="7" t="str">
        <f t="shared" si="76"/>
        <v>3344</v>
      </c>
      <c r="X374" s="7" t="str">
        <f t="shared" si="77"/>
        <v>4444</v>
      </c>
      <c r="Y374" s="7" t="str">
        <f t="shared" si="78"/>
        <v>4333</v>
      </c>
    </row>
    <row r="375" spans="1:25" s="81" customFormat="1" ht="14.1" customHeight="1">
      <c r="A375" s="80"/>
      <c r="B375" s="84">
        <v>10</v>
      </c>
      <c r="C375" s="153">
        <v>0</v>
      </c>
      <c r="D375" s="131">
        <v>1</v>
      </c>
      <c r="E375" s="131">
        <v>2</v>
      </c>
      <c r="F375" s="154">
        <v>2</v>
      </c>
      <c r="G375" s="154">
        <v>3</v>
      </c>
      <c r="H375" s="154">
        <v>4</v>
      </c>
      <c r="I375" s="154">
        <v>4</v>
      </c>
      <c r="J375" s="154">
        <v>5</v>
      </c>
      <c r="K375" s="154">
        <v>5</v>
      </c>
      <c r="L375" s="154">
        <v>5</v>
      </c>
      <c r="M375" s="154">
        <v>5</v>
      </c>
      <c r="N375" s="154">
        <v>4</v>
      </c>
      <c r="O375" s="154">
        <v>4</v>
      </c>
      <c r="P375" s="131">
        <v>4</v>
      </c>
      <c r="Q375" s="131">
        <v>3</v>
      </c>
      <c r="R375" s="155">
        <v>3</v>
      </c>
      <c r="U375" s="9">
        <f t="shared" si="83"/>
        <v>10</v>
      </c>
      <c r="V375" s="7" t="str">
        <f t="shared" si="75"/>
        <v>0122</v>
      </c>
      <c r="W375" s="7" t="str">
        <f t="shared" si="76"/>
        <v>3445</v>
      </c>
      <c r="X375" s="7" t="str">
        <f t="shared" si="77"/>
        <v>5554</v>
      </c>
      <c r="Y375" s="7" t="str">
        <f t="shared" si="78"/>
        <v>4433</v>
      </c>
    </row>
    <row r="376" spans="1:25" s="81" customFormat="1" ht="14.1" customHeight="1">
      <c r="A376" s="80"/>
      <c r="B376" s="84">
        <v>11</v>
      </c>
      <c r="C376" s="153">
        <v>0</v>
      </c>
      <c r="D376" s="131">
        <v>1</v>
      </c>
      <c r="E376" s="131">
        <v>2</v>
      </c>
      <c r="F376" s="154">
        <v>3</v>
      </c>
      <c r="G376" s="154">
        <v>3</v>
      </c>
      <c r="H376" s="154">
        <v>4</v>
      </c>
      <c r="I376" s="154">
        <v>5</v>
      </c>
      <c r="J376" s="154">
        <v>5</v>
      </c>
      <c r="K376" s="154">
        <v>5</v>
      </c>
      <c r="L376" s="154">
        <v>5</v>
      </c>
      <c r="M376" s="154">
        <v>5</v>
      </c>
      <c r="N376" s="154">
        <v>5</v>
      </c>
      <c r="O376" s="154">
        <v>4</v>
      </c>
      <c r="P376" s="131">
        <v>4</v>
      </c>
      <c r="Q376" s="131">
        <v>4</v>
      </c>
      <c r="R376" s="155">
        <v>3</v>
      </c>
      <c r="U376" s="9">
        <f t="shared" si="83"/>
        <v>11</v>
      </c>
      <c r="V376" s="7" t="str">
        <f t="shared" si="75"/>
        <v>0123</v>
      </c>
      <c r="W376" s="7" t="str">
        <f t="shared" si="76"/>
        <v>3455</v>
      </c>
      <c r="X376" s="7" t="str">
        <f t="shared" si="77"/>
        <v>5555</v>
      </c>
      <c r="Y376" s="7" t="str">
        <f t="shared" si="78"/>
        <v>4443</v>
      </c>
    </row>
    <row r="377" spans="1:25" s="81" customFormat="1" ht="14.1" customHeight="1">
      <c r="A377" s="80"/>
      <c r="B377" s="84">
        <v>12</v>
      </c>
      <c r="C377" s="153">
        <v>0</v>
      </c>
      <c r="D377" s="154">
        <v>1</v>
      </c>
      <c r="E377" s="154">
        <v>2</v>
      </c>
      <c r="F377" s="154">
        <v>3</v>
      </c>
      <c r="G377" s="154">
        <v>4</v>
      </c>
      <c r="H377" s="154">
        <v>5</v>
      </c>
      <c r="I377" s="154">
        <v>5</v>
      </c>
      <c r="J377" s="154">
        <v>6</v>
      </c>
      <c r="K377" s="154">
        <v>6</v>
      </c>
      <c r="L377" s="154">
        <v>6</v>
      </c>
      <c r="M377" s="154">
        <v>5</v>
      </c>
      <c r="N377" s="154">
        <v>5</v>
      </c>
      <c r="O377" s="154">
        <v>5</v>
      </c>
      <c r="P377" s="154">
        <v>4</v>
      </c>
      <c r="Q377" s="154">
        <v>4</v>
      </c>
      <c r="R377" s="155">
        <v>3</v>
      </c>
      <c r="U377" s="9">
        <f t="shared" si="83"/>
        <v>12</v>
      </c>
      <c r="V377" s="7" t="str">
        <f t="shared" si="75"/>
        <v>0123</v>
      </c>
      <c r="W377" s="7" t="str">
        <f t="shared" si="76"/>
        <v>4556</v>
      </c>
      <c r="X377" s="7" t="str">
        <f t="shared" si="77"/>
        <v>6655</v>
      </c>
      <c r="Y377" s="7" t="str">
        <f t="shared" si="78"/>
        <v>5443</v>
      </c>
    </row>
    <row r="378" spans="1:25" s="81" customFormat="1" ht="14.1" customHeight="1">
      <c r="A378" s="80"/>
      <c r="B378" s="84">
        <v>13</v>
      </c>
      <c r="C378" s="153">
        <v>0</v>
      </c>
      <c r="D378" s="154">
        <v>1</v>
      </c>
      <c r="E378" s="154">
        <v>2</v>
      </c>
      <c r="F378" s="154">
        <v>3</v>
      </c>
      <c r="G378" s="154">
        <v>4</v>
      </c>
      <c r="H378" s="154">
        <v>5</v>
      </c>
      <c r="I378" s="154">
        <v>5</v>
      </c>
      <c r="J378" s="154">
        <v>6</v>
      </c>
      <c r="K378" s="154">
        <v>6</v>
      </c>
      <c r="L378" s="154">
        <v>6</v>
      </c>
      <c r="M378" s="154">
        <v>6</v>
      </c>
      <c r="N378" s="154">
        <v>5</v>
      </c>
      <c r="O378" s="154">
        <v>5</v>
      </c>
      <c r="P378" s="154">
        <v>5</v>
      </c>
      <c r="Q378" s="154">
        <v>4</v>
      </c>
      <c r="R378" s="155">
        <v>4</v>
      </c>
      <c r="U378" s="9">
        <f t="shared" si="83"/>
        <v>13</v>
      </c>
      <c r="V378" s="7" t="str">
        <f t="shared" si="75"/>
        <v>0123</v>
      </c>
      <c r="W378" s="7" t="str">
        <f t="shared" si="76"/>
        <v>4556</v>
      </c>
      <c r="X378" s="7" t="str">
        <f t="shared" si="77"/>
        <v>6665</v>
      </c>
      <c r="Y378" s="7" t="str">
        <f t="shared" si="78"/>
        <v>5544</v>
      </c>
    </row>
    <row r="379" spans="1:25" s="81" customFormat="1" ht="14.1" customHeight="1">
      <c r="A379" s="80"/>
      <c r="B379" s="84">
        <v>14</v>
      </c>
      <c r="C379" s="153">
        <v>0</v>
      </c>
      <c r="D379" s="154">
        <v>1</v>
      </c>
      <c r="E379" s="154">
        <v>2</v>
      </c>
      <c r="F379" s="154">
        <v>3</v>
      </c>
      <c r="G379" s="154">
        <v>4</v>
      </c>
      <c r="H379" s="154">
        <v>5</v>
      </c>
      <c r="I379" s="154">
        <v>6</v>
      </c>
      <c r="J379" s="154">
        <v>6</v>
      </c>
      <c r="K379" s="154">
        <v>6</v>
      </c>
      <c r="L379" s="154">
        <v>6</v>
      </c>
      <c r="M379" s="154">
        <v>6</v>
      </c>
      <c r="N379" s="154">
        <v>6</v>
      </c>
      <c r="O379" s="154">
        <v>5</v>
      </c>
      <c r="P379" s="154">
        <v>5</v>
      </c>
      <c r="Q379" s="154">
        <v>4</v>
      </c>
      <c r="R379" s="155">
        <v>4</v>
      </c>
      <c r="U379" s="9">
        <f t="shared" si="83"/>
        <v>14</v>
      </c>
      <c r="V379" s="7" t="str">
        <f t="shared" si="75"/>
        <v>0123</v>
      </c>
      <c r="W379" s="7" t="str">
        <f t="shared" si="76"/>
        <v>4566</v>
      </c>
      <c r="X379" s="7" t="str">
        <f t="shared" si="77"/>
        <v>6666</v>
      </c>
      <c r="Y379" s="7" t="str">
        <f t="shared" si="78"/>
        <v>5544</v>
      </c>
    </row>
    <row r="380" spans="1:25" s="81" customFormat="1" ht="14.1" customHeight="1">
      <c r="A380" s="80"/>
      <c r="B380" s="84">
        <v>15</v>
      </c>
      <c r="C380" s="153">
        <v>0</v>
      </c>
      <c r="D380" s="154">
        <v>1</v>
      </c>
      <c r="E380" s="154">
        <v>2</v>
      </c>
      <c r="F380" s="154">
        <v>3</v>
      </c>
      <c r="G380" s="154">
        <v>4</v>
      </c>
      <c r="H380" s="154">
        <v>5</v>
      </c>
      <c r="I380" s="154">
        <v>6</v>
      </c>
      <c r="J380" s="154">
        <v>6</v>
      </c>
      <c r="K380" s="154">
        <v>6</v>
      </c>
      <c r="L380" s="154">
        <v>6</v>
      </c>
      <c r="M380" s="154">
        <v>6</v>
      </c>
      <c r="N380" s="154">
        <v>6</v>
      </c>
      <c r="O380" s="154">
        <v>5</v>
      </c>
      <c r="P380" s="154">
        <v>5</v>
      </c>
      <c r="Q380" s="154">
        <v>4</v>
      </c>
      <c r="R380" s="155">
        <v>4</v>
      </c>
      <c r="U380" s="9">
        <f t="shared" si="83"/>
        <v>15</v>
      </c>
      <c r="V380" s="7" t="str">
        <f t="shared" si="75"/>
        <v>0123</v>
      </c>
      <c r="W380" s="7" t="str">
        <f t="shared" si="76"/>
        <v>4566</v>
      </c>
      <c r="X380" s="7" t="str">
        <f t="shared" si="77"/>
        <v>6666</v>
      </c>
      <c r="Y380" s="7" t="str">
        <f t="shared" si="78"/>
        <v>5544</v>
      </c>
    </row>
    <row r="381" spans="1:25" s="81" customFormat="1" ht="14.1" customHeight="1">
      <c r="A381" s="80"/>
      <c r="B381" s="84">
        <v>16</v>
      </c>
      <c r="C381" s="153">
        <v>0</v>
      </c>
      <c r="D381" s="154">
        <v>1</v>
      </c>
      <c r="E381" s="154">
        <v>2</v>
      </c>
      <c r="F381" s="154">
        <v>3</v>
      </c>
      <c r="G381" s="154">
        <v>4</v>
      </c>
      <c r="H381" s="154">
        <v>5</v>
      </c>
      <c r="I381" s="154">
        <v>6</v>
      </c>
      <c r="J381" s="154">
        <v>6</v>
      </c>
      <c r="K381" s="154">
        <v>6</v>
      </c>
      <c r="L381" s="154">
        <v>6</v>
      </c>
      <c r="M381" s="154">
        <v>6</v>
      </c>
      <c r="N381" s="154">
        <v>6</v>
      </c>
      <c r="O381" s="154">
        <v>5</v>
      </c>
      <c r="P381" s="154">
        <v>5</v>
      </c>
      <c r="Q381" s="154">
        <v>4</v>
      </c>
      <c r="R381" s="155">
        <v>4</v>
      </c>
      <c r="U381" s="9">
        <f t="shared" si="83"/>
        <v>16</v>
      </c>
      <c r="V381" s="7" t="str">
        <f t="shared" si="75"/>
        <v>0123</v>
      </c>
      <c r="W381" s="7" t="str">
        <f t="shared" si="76"/>
        <v>4566</v>
      </c>
      <c r="X381" s="7" t="str">
        <f t="shared" si="77"/>
        <v>6666</v>
      </c>
      <c r="Y381" s="7" t="str">
        <f t="shared" si="78"/>
        <v>5544</v>
      </c>
    </row>
    <row r="382" spans="1:25" s="81" customFormat="1" ht="14.1" customHeight="1">
      <c r="A382" s="80"/>
      <c r="B382" s="84">
        <v>17</v>
      </c>
      <c r="C382" s="153">
        <v>0</v>
      </c>
      <c r="D382" s="154">
        <v>1</v>
      </c>
      <c r="E382" s="154">
        <v>2</v>
      </c>
      <c r="F382" s="154">
        <v>3</v>
      </c>
      <c r="G382" s="154">
        <v>4</v>
      </c>
      <c r="H382" s="154">
        <v>5</v>
      </c>
      <c r="I382" s="154">
        <v>6</v>
      </c>
      <c r="J382" s="154">
        <v>6</v>
      </c>
      <c r="K382" s="154">
        <v>6</v>
      </c>
      <c r="L382" s="154">
        <v>6</v>
      </c>
      <c r="M382" s="154">
        <v>6</v>
      </c>
      <c r="N382" s="154">
        <v>6</v>
      </c>
      <c r="O382" s="154">
        <v>5</v>
      </c>
      <c r="P382" s="154">
        <v>5</v>
      </c>
      <c r="Q382" s="154">
        <v>4</v>
      </c>
      <c r="R382" s="155">
        <v>4</v>
      </c>
      <c r="U382" s="9">
        <f t="shared" si="83"/>
        <v>17</v>
      </c>
      <c r="V382" s="7" t="str">
        <f t="shared" si="75"/>
        <v>0123</v>
      </c>
      <c r="W382" s="7" t="str">
        <f t="shared" si="76"/>
        <v>4566</v>
      </c>
      <c r="X382" s="7" t="str">
        <f t="shared" si="77"/>
        <v>6666</v>
      </c>
      <c r="Y382" s="7" t="str">
        <f t="shared" si="78"/>
        <v>5544</v>
      </c>
    </row>
    <row r="383" spans="1:25" s="81" customFormat="1" ht="14.1" customHeight="1">
      <c r="A383" s="80"/>
      <c r="B383" s="84">
        <v>18</v>
      </c>
      <c r="C383" s="153">
        <v>0</v>
      </c>
      <c r="D383" s="154">
        <v>1</v>
      </c>
      <c r="E383" s="154">
        <v>2</v>
      </c>
      <c r="F383" s="154">
        <v>3</v>
      </c>
      <c r="G383" s="154">
        <v>4</v>
      </c>
      <c r="H383" s="154">
        <v>5</v>
      </c>
      <c r="I383" s="154">
        <v>5</v>
      </c>
      <c r="J383" s="154">
        <v>6</v>
      </c>
      <c r="K383" s="154">
        <v>6</v>
      </c>
      <c r="L383" s="154">
        <v>6</v>
      </c>
      <c r="M383" s="154">
        <v>6</v>
      </c>
      <c r="N383" s="154">
        <v>5</v>
      </c>
      <c r="O383" s="154">
        <v>5</v>
      </c>
      <c r="P383" s="154">
        <v>5</v>
      </c>
      <c r="Q383" s="154">
        <v>4</v>
      </c>
      <c r="R383" s="155">
        <v>4</v>
      </c>
      <c r="U383" s="9">
        <f t="shared" si="83"/>
        <v>18</v>
      </c>
      <c r="V383" s="7" t="str">
        <f t="shared" si="75"/>
        <v>0123</v>
      </c>
      <c r="W383" s="7" t="str">
        <f t="shared" si="76"/>
        <v>4556</v>
      </c>
      <c r="X383" s="7" t="str">
        <f t="shared" si="77"/>
        <v>6665</v>
      </c>
      <c r="Y383" s="7" t="str">
        <f t="shared" si="78"/>
        <v>5544</v>
      </c>
    </row>
    <row r="384" spans="1:25" s="81" customFormat="1" ht="14.1" customHeight="1">
      <c r="A384" s="80"/>
      <c r="B384" s="84">
        <v>19</v>
      </c>
      <c r="C384" s="153">
        <v>0</v>
      </c>
      <c r="D384" s="154">
        <v>1</v>
      </c>
      <c r="E384" s="154">
        <v>2</v>
      </c>
      <c r="F384" s="154">
        <v>3</v>
      </c>
      <c r="G384" s="154">
        <v>4</v>
      </c>
      <c r="H384" s="154">
        <v>5</v>
      </c>
      <c r="I384" s="154">
        <v>5</v>
      </c>
      <c r="J384" s="154">
        <v>6</v>
      </c>
      <c r="K384" s="154">
        <v>6</v>
      </c>
      <c r="L384" s="154">
        <v>6</v>
      </c>
      <c r="M384" s="154">
        <v>5</v>
      </c>
      <c r="N384" s="154">
        <v>5</v>
      </c>
      <c r="O384" s="154">
        <v>5</v>
      </c>
      <c r="P384" s="154">
        <v>4</v>
      </c>
      <c r="Q384" s="154">
        <v>4</v>
      </c>
      <c r="R384" s="155">
        <v>3</v>
      </c>
      <c r="U384" s="9">
        <f t="shared" si="83"/>
        <v>19</v>
      </c>
      <c r="V384" s="7" t="str">
        <f t="shared" si="75"/>
        <v>0123</v>
      </c>
      <c r="W384" s="7" t="str">
        <f t="shared" si="76"/>
        <v>4556</v>
      </c>
      <c r="X384" s="7" t="str">
        <f t="shared" si="77"/>
        <v>6655</v>
      </c>
      <c r="Y384" s="7" t="str">
        <f t="shared" si="78"/>
        <v>5443</v>
      </c>
    </row>
    <row r="385" spans="1:25" s="81" customFormat="1" ht="14.1" customHeight="1">
      <c r="A385" s="80"/>
      <c r="B385" s="84">
        <v>20</v>
      </c>
      <c r="C385" s="153">
        <v>0</v>
      </c>
      <c r="D385" s="131">
        <v>1</v>
      </c>
      <c r="E385" s="131">
        <v>2</v>
      </c>
      <c r="F385" s="154">
        <v>3</v>
      </c>
      <c r="G385" s="154">
        <v>3</v>
      </c>
      <c r="H385" s="154">
        <v>4</v>
      </c>
      <c r="I385" s="154">
        <v>5</v>
      </c>
      <c r="J385" s="154">
        <v>5</v>
      </c>
      <c r="K385" s="154">
        <v>5</v>
      </c>
      <c r="L385" s="154">
        <v>5</v>
      </c>
      <c r="M385" s="154">
        <v>5</v>
      </c>
      <c r="N385" s="154">
        <v>5</v>
      </c>
      <c r="O385" s="154">
        <v>4</v>
      </c>
      <c r="P385" s="131">
        <v>4</v>
      </c>
      <c r="Q385" s="131">
        <v>4</v>
      </c>
      <c r="R385" s="155">
        <v>3</v>
      </c>
      <c r="U385" s="9">
        <f t="shared" si="83"/>
        <v>20</v>
      </c>
      <c r="V385" s="7" t="str">
        <f t="shared" si="75"/>
        <v>0123</v>
      </c>
      <c r="W385" s="7" t="str">
        <f t="shared" si="76"/>
        <v>3455</v>
      </c>
      <c r="X385" s="7" t="str">
        <f t="shared" si="77"/>
        <v>5555</v>
      </c>
      <c r="Y385" s="7" t="str">
        <f t="shared" si="78"/>
        <v>4443</v>
      </c>
    </row>
    <row r="386" spans="1:25" s="81" customFormat="1" ht="14.1" customHeight="1">
      <c r="A386" s="80"/>
      <c r="B386" s="84">
        <v>21</v>
      </c>
      <c r="C386" s="153">
        <v>0</v>
      </c>
      <c r="D386" s="131">
        <v>1</v>
      </c>
      <c r="E386" s="131">
        <v>2</v>
      </c>
      <c r="F386" s="154">
        <v>2</v>
      </c>
      <c r="G386" s="154">
        <v>3</v>
      </c>
      <c r="H386" s="154">
        <v>4</v>
      </c>
      <c r="I386" s="154">
        <v>4</v>
      </c>
      <c r="J386" s="154">
        <v>5</v>
      </c>
      <c r="K386" s="154">
        <v>5</v>
      </c>
      <c r="L386" s="154">
        <v>5</v>
      </c>
      <c r="M386" s="154">
        <v>5</v>
      </c>
      <c r="N386" s="154">
        <v>4</v>
      </c>
      <c r="O386" s="154">
        <v>4</v>
      </c>
      <c r="P386" s="131">
        <v>4</v>
      </c>
      <c r="Q386" s="131">
        <v>3</v>
      </c>
      <c r="R386" s="155">
        <v>3</v>
      </c>
      <c r="U386" s="9">
        <f t="shared" si="83"/>
        <v>21</v>
      </c>
      <c r="V386" s="7" t="str">
        <f t="shared" si="75"/>
        <v>0122</v>
      </c>
      <c r="W386" s="7" t="str">
        <f t="shared" si="76"/>
        <v>3445</v>
      </c>
      <c r="X386" s="7" t="str">
        <f t="shared" si="77"/>
        <v>5554</v>
      </c>
      <c r="Y386" s="7" t="str">
        <f t="shared" si="78"/>
        <v>4433</v>
      </c>
    </row>
    <row r="387" spans="1:25" s="81" customFormat="1" ht="14.1" customHeight="1">
      <c r="A387" s="80"/>
      <c r="B387" s="84">
        <v>22</v>
      </c>
      <c r="C387" s="153">
        <v>0</v>
      </c>
      <c r="D387" s="131">
        <v>0</v>
      </c>
      <c r="E387" s="131">
        <v>1</v>
      </c>
      <c r="F387" s="131">
        <v>2</v>
      </c>
      <c r="G387" s="154">
        <v>3</v>
      </c>
      <c r="H387" s="154">
        <v>3</v>
      </c>
      <c r="I387" s="154">
        <v>4</v>
      </c>
      <c r="J387" s="154">
        <v>4</v>
      </c>
      <c r="K387" s="154">
        <v>4</v>
      </c>
      <c r="L387" s="154">
        <v>4</v>
      </c>
      <c r="M387" s="154">
        <v>4</v>
      </c>
      <c r="N387" s="154">
        <v>4</v>
      </c>
      <c r="O387" s="131">
        <v>4</v>
      </c>
      <c r="P387" s="131">
        <v>3</v>
      </c>
      <c r="Q387" s="131">
        <v>3</v>
      </c>
      <c r="R387" s="155">
        <v>3</v>
      </c>
      <c r="U387" s="9">
        <f t="shared" si="83"/>
        <v>22</v>
      </c>
      <c r="V387" s="7" t="str">
        <f t="shared" si="75"/>
        <v>0012</v>
      </c>
      <c r="W387" s="7" t="str">
        <f t="shared" si="76"/>
        <v>3344</v>
      </c>
      <c r="X387" s="7" t="str">
        <f t="shared" si="77"/>
        <v>4444</v>
      </c>
      <c r="Y387" s="7" t="str">
        <f t="shared" si="78"/>
        <v>4333</v>
      </c>
    </row>
    <row r="388" spans="1:25" s="81" customFormat="1" ht="14.1" customHeight="1">
      <c r="A388" s="80"/>
      <c r="B388" s="84">
        <v>23</v>
      </c>
      <c r="C388" s="153">
        <v>0</v>
      </c>
      <c r="D388" s="154">
        <v>0</v>
      </c>
      <c r="E388" s="131">
        <v>1</v>
      </c>
      <c r="F388" s="131">
        <v>2</v>
      </c>
      <c r="G388" s="131">
        <v>2</v>
      </c>
      <c r="H388" s="154">
        <v>3</v>
      </c>
      <c r="I388" s="154">
        <v>3</v>
      </c>
      <c r="J388" s="154">
        <v>4</v>
      </c>
      <c r="K388" s="154">
        <v>4</v>
      </c>
      <c r="L388" s="154">
        <v>4</v>
      </c>
      <c r="M388" s="154">
        <v>4</v>
      </c>
      <c r="N388" s="131">
        <v>4</v>
      </c>
      <c r="O388" s="131">
        <v>3</v>
      </c>
      <c r="P388" s="131">
        <v>3</v>
      </c>
      <c r="Q388" s="154">
        <v>3</v>
      </c>
      <c r="R388" s="155">
        <v>3</v>
      </c>
      <c r="U388" s="9">
        <f t="shared" si="83"/>
        <v>23</v>
      </c>
      <c r="V388" s="7" t="str">
        <f t="shared" si="75"/>
        <v>0012</v>
      </c>
      <c r="W388" s="7" t="str">
        <f t="shared" si="76"/>
        <v>2334</v>
      </c>
      <c r="X388" s="7" t="str">
        <f t="shared" si="77"/>
        <v>4444</v>
      </c>
      <c r="Y388" s="7" t="str">
        <f t="shared" si="78"/>
        <v>3333</v>
      </c>
    </row>
    <row r="389" spans="1:25" s="81" customFormat="1" ht="14.1" customHeight="1">
      <c r="A389" s="80"/>
      <c r="B389" s="84">
        <v>24</v>
      </c>
      <c r="C389" s="153">
        <v>0</v>
      </c>
      <c r="D389" s="154">
        <v>0</v>
      </c>
      <c r="E389" s="154">
        <v>0</v>
      </c>
      <c r="F389" s="154">
        <v>1</v>
      </c>
      <c r="G389" s="131">
        <v>2</v>
      </c>
      <c r="H389" s="131">
        <v>2</v>
      </c>
      <c r="I389" s="131">
        <v>3</v>
      </c>
      <c r="J389" s="154">
        <v>3</v>
      </c>
      <c r="K389" s="154">
        <v>3</v>
      </c>
      <c r="L389" s="131">
        <v>3</v>
      </c>
      <c r="M389" s="131">
        <v>3</v>
      </c>
      <c r="N389" s="131">
        <v>3</v>
      </c>
      <c r="O389" s="154">
        <v>3</v>
      </c>
      <c r="P389" s="154">
        <v>3</v>
      </c>
      <c r="Q389" s="154">
        <v>3</v>
      </c>
      <c r="R389" s="155">
        <v>3</v>
      </c>
      <c r="U389" s="9">
        <f t="shared" si="83"/>
        <v>24</v>
      </c>
      <c r="V389" s="7" t="str">
        <f t="shared" si="75"/>
        <v>0001</v>
      </c>
      <c r="W389" s="7" t="str">
        <f t="shared" si="76"/>
        <v>2233</v>
      </c>
      <c r="X389" s="7" t="str">
        <f t="shared" si="77"/>
        <v>3333</v>
      </c>
      <c r="Y389" s="7" t="str">
        <f t="shared" si="78"/>
        <v>3333</v>
      </c>
    </row>
    <row r="390" spans="1:25" s="81" customFormat="1" ht="14.1" customHeight="1">
      <c r="A390" s="80"/>
      <c r="B390" s="84">
        <v>25</v>
      </c>
      <c r="C390" s="153">
        <v>0</v>
      </c>
      <c r="D390" s="154">
        <v>0</v>
      </c>
      <c r="E390" s="154">
        <v>0</v>
      </c>
      <c r="F390" s="154">
        <v>1</v>
      </c>
      <c r="G390" s="131">
        <v>2</v>
      </c>
      <c r="H390" s="131">
        <v>2</v>
      </c>
      <c r="I390" s="131">
        <v>2</v>
      </c>
      <c r="J390" s="154">
        <v>3</v>
      </c>
      <c r="K390" s="154">
        <v>3</v>
      </c>
      <c r="L390" s="131">
        <v>3</v>
      </c>
      <c r="M390" s="131">
        <v>3</v>
      </c>
      <c r="N390" s="131">
        <v>3</v>
      </c>
      <c r="O390" s="154">
        <v>3</v>
      </c>
      <c r="P390" s="154">
        <v>2</v>
      </c>
      <c r="Q390" s="154">
        <v>2</v>
      </c>
      <c r="R390" s="155">
        <v>2</v>
      </c>
      <c r="U390" s="9">
        <f t="shared" si="83"/>
        <v>25</v>
      </c>
      <c r="V390" s="7" t="str">
        <f t="shared" si="75"/>
        <v>0001</v>
      </c>
      <c r="W390" s="7" t="str">
        <f t="shared" si="76"/>
        <v>2223</v>
      </c>
      <c r="X390" s="7" t="str">
        <f t="shared" si="77"/>
        <v>3333</v>
      </c>
      <c r="Y390" s="7" t="str">
        <f t="shared" si="78"/>
        <v>3222</v>
      </c>
    </row>
    <row r="391" spans="1:25" s="81" customFormat="1" ht="14.1" customHeight="1">
      <c r="A391" s="80"/>
      <c r="B391" s="84">
        <v>26</v>
      </c>
      <c r="C391" s="153">
        <v>0</v>
      </c>
      <c r="D391" s="154">
        <v>0</v>
      </c>
      <c r="E391" s="154">
        <v>0</v>
      </c>
      <c r="F391" s="154">
        <v>0</v>
      </c>
      <c r="G391" s="154">
        <v>1</v>
      </c>
      <c r="H391" s="154">
        <v>2</v>
      </c>
      <c r="I391" s="131">
        <v>2</v>
      </c>
      <c r="J391" s="131">
        <v>2</v>
      </c>
      <c r="K391" s="131">
        <v>2</v>
      </c>
      <c r="L391" s="131">
        <v>2</v>
      </c>
      <c r="M391" s="154">
        <v>2</v>
      </c>
      <c r="N391" s="154">
        <v>2</v>
      </c>
      <c r="O391" s="154">
        <v>2</v>
      </c>
      <c r="P391" s="154">
        <v>2</v>
      </c>
      <c r="Q391" s="154">
        <v>2</v>
      </c>
      <c r="R391" s="155">
        <v>2</v>
      </c>
      <c r="U391" s="9">
        <f t="shared" si="83"/>
        <v>26</v>
      </c>
      <c r="V391" s="7" t="str">
        <f t="shared" si="75"/>
        <v>0000</v>
      </c>
      <c r="W391" s="7" t="str">
        <f t="shared" si="76"/>
        <v>1222</v>
      </c>
      <c r="X391" s="7" t="str">
        <f t="shared" si="77"/>
        <v>2222</v>
      </c>
      <c r="Y391" s="7" t="str">
        <f t="shared" si="78"/>
        <v>2222</v>
      </c>
    </row>
    <row r="392" spans="1:25" s="81" customFormat="1" ht="14.1" customHeight="1">
      <c r="A392" s="80"/>
      <c r="B392" s="84">
        <v>27</v>
      </c>
      <c r="C392" s="153">
        <v>0</v>
      </c>
      <c r="D392" s="154">
        <v>0</v>
      </c>
      <c r="E392" s="154">
        <v>0</v>
      </c>
      <c r="F392" s="154">
        <v>0</v>
      </c>
      <c r="G392" s="154">
        <v>1</v>
      </c>
      <c r="H392" s="154">
        <v>1</v>
      </c>
      <c r="I392" s="131">
        <v>2</v>
      </c>
      <c r="J392" s="131">
        <v>2</v>
      </c>
      <c r="K392" s="131">
        <v>2</v>
      </c>
      <c r="L392" s="131">
        <v>2</v>
      </c>
      <c r="M392" s="154">
        <v>2</v>
      </c>
      <c r="N392" s="154">
        <v>2</v>
      </c>
      <c r="O392" s="154">
        <v>2</v>
      </c>
      <c r="P392" s="154">
        <v>1</v>
      </c>
      <c r="Q392" s="154">
        <v>1</v>
      </c>
      <c r="R392" s="155">
        <v>1</v>
      </c>
      <c r="U392" s="9">
        <f t="shared" si="83"/>
        <v>27</v>
      </c>
      <c r="V392" s="7" t="str">
        <f t="shared" si="75"/>
        <v>0000</v>
      </c>
      <c r="W392" s="7" t="str">
        <f t="shared" si="76"/>
        <v>1122</v>
      </c>
      <c r="X392" s="7" t="str">
        <f t="shared" si="77"/>
        <v>2222</v>
      </c>
      <c r="Y392" s="7" t="str">
        <f t="shared" si="78"/>
        <v>2111</v>
      </c>
    </row>
    <row r="393" spans="1:25" s="81" customFormat="1" ht="14.1" customHeight="1">
      <c r="A393" s="80"/>
      <c r="B393" s="84">
        <v>28</v>
      </c>
      <c r="C393" s="153">
        <v>0</v>
      </c>
      <c r="D393" s="154">
        <v>0</v>
      </c>
      <c r="E393" s="154">
        <v>0</v>
      </c>
      <c r="F393" s="154">
        <v>0</v>
      </c>
      <c r="G393" s="154">
        <v>0</v>
      </c>
      <c r="H393" s="154">
        <v>1</v>
      </c>
      <c r="I393" s="154">
        <v>1</v>
      </c>
      <c r="J393" s="154">
        <v>1</v>
      </c>
      <c r="K393" s="154">
        <v>1</v>
      </c>
      <c r="L393" s="154">
        <v>1</v>
      </c>
      <c r="M393" s="154">
        <v>1</v>
      </c>
      <c r="N393" s="154">
        <v>1</v>
      </c>
      <c r="O393" s="154">
        <v>1</v>
      </c>
      <c r="P393" s="154">
        <v>1</v>
      </c>
      <c r="Q393" s="154">
        <v>1</v>
      </c>
      <c r="R393" s="155">
        <v>1</v>
      </c>
      <c r="U393" s="9">
        <f t="shared" si="83"/>
        <v>28</v>
      </c>
      <c r="V393" s="7" t="str">
        <f t="shared" ref="V393:V456" si="84">DEC2HEX(C393)&amp;DEC2HEX(D393)&amp;DEC2HEX(E393)&amp;DEC2HEX(F393)</f>
        <v>0000</v>
      </c>
      <c r="W393" s="7" t="str">
        <f t="shared" ref="W393:W456" si="85">DEC2HEX(G393)&amp;DEC2HEX(H393)&amp;DEC2HEX(I393)&amp;DEC2HEX(J393)</f>
        <v>0111</v>
      </c>
      <c r="X393" s="7" t="str">
        <f t="shared" ref="X393:X456" si="86">DEC2HEX(K393)&amp;DEC2HEX(L393)&amp;DEC2HEX(M393)&amp;DEC2HEX(N393)</f>
        <v>1111</v>
      </c>
      <c r="Y393" s="7" t="str">
        <f t="shared" ref="Y393:Y456" si="87">DEC2HEX(O393)&amp;DEC2HEX(P393)&amp;DEC2HEX(Q393)&amp;DEC2HEX(R393)</f>
        <v>1111</v>
      </c>
    </row>
    <row r="394" spans="1:25" s="81" customFormat="1" ht="14.1" customHeight="1">
      <c r="A394" s="80"/>
      <c r="B394" s="84">
        <v>29</v>
      </c>
      <c r="C394" s="153">
        <v>0</v>
      </c>
      <c r="D394" s="154">
        <v>0</v>
      </c>
      <c r="E394" s="154">
        <v>0</v>
      </c>
      <c r="F394" s="154">
        <v>0</v>
      </c>
      <c r="G394" s="154">
        <v>0</v>
      </c>
      <c r="H394" s="154">
        <v>0</v>
      </c>
      <c r="I394" s="154">
        <v>1</v>
      </c>
      <c r="J394" s="154">
        <v>1</v>
      </c>
      <c r="K394" s="154">
        <v>1</v>
      </c>
      <c r="L394" s="154">
        <v>1</v>
      </c>
      <c r="M394" s="154">
        <v>1</v>
      </c>
      <c r="N394" s="154">
        <v>1</v>
      </c>
      <c r="O394" s="154">
        <v>1</v>
      </c>
      <c r="P394" s="154">
        <v>1</v>
      </c>
      <c r="Q394" s="154">
        <v>1</v>
      </c>
      <c r="R394" s="155">
        <v>1</v>
      </c>
      <c r="U394" s="9">
        <f t="shared" si="83"/>
        <v>29</v>
      </c>
      <c r="V394" s="7" t="str">
        <f t="shared" si="84"/>
        <v>0000</v>
      </c>
      <c r="W394" s="7" t="str">
        <f t="shared" si="85"/>
        <v>0011</v>
      </c>
      <c r="X394" s="7" t="str">
        <f t="shared" si="86"/>
        <v>1111</v>
      </c>
      <c r="Y394" s="7" t="str">
        <f t="shared" si="87"/>
        <v>1111</v>
      </c>
    </row>
    <row r="395" spans="1:25" s="81" customFormat="1" ht="14.1" customHeight="1">
      <c r="A395" s="80"/>
      <c r="B395" s="84">
        <v>30</v>
      </c>
      <c r="C395" s="153">
        <v>0</v>
      </c>
      <c r="D395" s="154">
        <v>0</v>
      </c>
      <c r="E395" s="154">
        <v>0</v>
      </c>
      <c r="F395" s="154">
        <v>0</v>
      </c>
      <c r="G395" s="154">
        <v>0</v>
      </c>
      <c r="H395" s="154">
        <v>0</v>
      </c>
      <c r="I395" s="154">
        <v>0</v>
      </c>
      <c r="J395" s="154">
        <v>0</v>
      </c>
      <c r="K395" s="154">
        <v>0</v>
      </c>
      <c r="L395" s="154">
        <v>0</v>
      </c>
      <c r="M395" s="154">
        <v>0</v>
      </c>
      <c r="N395" s="154">
        <v>0</v>
      </c>
      <c r="O395" s="154">
        <v>0</v>
      </c>
      <c r="P395" s="154">
        <v>0</v>
      </c>
      <c r="Q395" s="154">
        <v>0</v>
      </c>
      <c r="R395" s="155">
        <v>0</v>
      </c>
      <c r="U395" s="9">
        <f t="shared" si="83"/>
        <v>30</v>
      </c>
      <c r="V395" s="7" t="str">
        <f t="shared" si="84"/>
        <v>0000</v>
      </c>
      <c r="W395" s="7" t="str">
        <f t="shared" si="85"/>
        <v>0000</v>
      </c>
      <c r="X395" s="7" t="str">
        <f t="shared" si="86"/>
        <v>0000</v>
      </c>
      <c r="Y395" s="7" t="str">
        <f t="shared" si="87"/>
        <v>0000</v>
      </c>
    </row>
    <row r="396" spans="1:25" s="81" customFormat="1" ht="14.1" customHeight="1" thickBot="1">
      <c r="A396" s="80"/>
      <c r="B396" s="84">
        <v>31</v>
      </c>
      <c r="C396" s="132">
        <v>0</v>
      </c>
      <c r="D396" s="133">
        <v>0</v>
      </c>
      <c r="E396" s="133">
        <v>0</v>
      </c>
      <c r="F396" s="133">
        <v>0</v>
      </c>
      <c r="G396" s="133">
        <v>0</v>
      </c>
      <c r="H396" s="133">
        <v>0</v>
      </c>
      <c r="I396" s="133">
        <v>0</v>
      </c>
      <c r="J396" s="133">
        <v>0</v>
      </c>
      <c r="K396" s="133">
        <v>0</v>
      </c>
      <c r="L396" s="133">
        <v>0</v>
      </c>
      <c r="M396" s="133">
        <v>0</v>
      </c>
      <c r="N396" s="133">
        <v>0</v>
      </c>
      <c r="O396" s="133">
        <v>0</v>
      </c>
      <c r="P396" s="133">
        <v>0</v>
      </c>
      <c r="Q396" s="133">
        <v>0</v>
      </c>
      <c r="R396" s="134">
        <v>0</v>
      </c>
      <c r="U396" s="9">
        <f t="shared" si="83"/>
        <v>31</v>
      </c>
      <c r="V396" s="7" t="str">
        <f t="shared" si="84"/>
        <v>0000</v>
      </c>
      <c r="W396" s="7" t="str">
        <f t="shared" si="85"/>
        <v>0000</v>
      </c>
      <c r="X396" s="7" t="str">
        <f t="shared" si="86"/>
        <v>0000</v>
      </c>
      <c r="Y396" s="7" t="str">
        <f t="shared" si="87"/>
        <v>0000</v>
      </c>
    </row>
    <row r="397" spans="1:25" s="81" customFormat="1">
      <c r="A397" s="80"/>
      <c r="U397" s="85"/>
    </row>
    <row r="398" spans="1:25" s="81" customFormat="1">
      <c r="A398" s="80"/>
      <c r="U398" s="85"/>
    </row>
    <row r="399" spans="1:25" s="81" customFormat="1">
      <c r="A399" s="80" t="s">
        <v>419</v>
      </c>
      <c r="U399" s="8" t="str">
        <f>A399</f>
        <v>12.Portrait Multi Pattern 2      ( 180 degree clockwise )</v>
      </c>
    </row>
    <row r="400" spans="1:25" s="81" customFormat="1" ht="15" thickBot="1">
      <c r="A400" s="80"/>
      <c r="C400" s="84">
        <v>0</v>
      </c>
      <c r="D400" s="84">
        <v>1</v>
      </c>
      <c r="E400" s="84">
        <v>2</v>
      </c>
      <c r="F400" s="84">
        <v>3</v>
      </c>
      <c r="G400" s="84">
        <v>4</v>
      </c>
      <c r="H400" s="84">
        <v>5</v>
      </c>
      <c r="I400" s="84">
        <v>6</v>
      </c>
      <c r="J400" s="84">
        <v>7</v>
      </c>
      <c r="K400" s="84">
        <v>8</v>
      </c>
      <c r="L400" s="84">
        <v>9</v>
      </c>
      <c r="M400" s="84">
        <v>10</v>
      </c>
      <c r="N400" s="84">
        <v>11</v>
      </c>
      <c r="O400" s="84">
        <v>12</v>
      </c>
      <c r="P400" s="84">
        <v>13</v>
      </c>
      <c r="Q400" s="84">
        <v>14</v>
      </c>
      <c r="R400" s="84">
        <v>15</v>
      </c>
      <c r="U400" s="85"/>
      <c r="V400" s="7" t="str">
        <f t="shared" ref="V400" si="88">C400&amp;D400&amp;E400&amp;F400</f>
        <v>0123</v>
      </c>
      <c r="W400" s="7" t="str">
        <f t="shared" ref="W400" si="89">G400&amp;H400&amp;I400&amp;J400</f>
        <v>4567</v>
      </c>
      <c r="X400" s="7" t="str">
        <f t="shared" ref="X400" si="90">K400&amp;L400&amp;M400&amp;N400</f>
        <v>891011</v>
      </c>
      <c r="Y400" s="7" t="str">
        <f t="shared" ref="Y400" si="91">O400&amp;P400&amp;Q400&amp;R400</f>
        <v>12131415</v>
      </c>
    </row>
    <row r="401" spans="1:25" s="81" customFormat="1" ht="14.1" customHeight="1">
      <c r="A401" s="80"/>
      <c r="B401" s="84">
        <v>0</v>
      </c>
      <c r="C401" s="150">
        <v>0</v>
      </c>
      <c r="D401" s="151">
        <v>1</v>
      </c>
      <c r="E401" s="151">
        <v>1</v>
      </c>
      <c r="F401" s="151">
        <v>2</v>
      </c>
      <c r="G401" s="151">
        <v>3</v>
      </c>
      <c r="H401" s="151">
        <v>3</v>
      </c>
      <c r="I401" s="151">
        <v>3</v>
      </c>
      <c r="J401" s="151">
        <v>4</v>
      </c>
      <c r="K401" s="151">
        <v>4</v>
      </c>
      <c r="L401" s="151">
        <v>3</v>
      </c>
      <c r="M401" s="151">
        <v>3</v>
      </c>
      <c r="N401" s="151">
        <v>3</v>
      </c>
      <c r="O401" s="151">
        <v>2</v>
      </c>
      <c r="P401" s="151">
        <v>1</v>
      </c>
      <c r="Q401" s="151">
        <v>1</v>
      </c>
      <c r="R401" s="152">
        <v>0</v>
      </c>
      <c r="U401" s="9">
        <f t="shared" ref="U401:U432" si="92">B401</f>
        <v>0</v>
      </c>
      <c r="V401" s="7" t="str">
        <f t="shared" si="84"/>
        <v>0112</v>
      </c>
      <c r="W401" s="7" t="str">
        <f t="shared" si="85"/>
        <v>3334</v>
      </c>
      <c r="X401" s="7" t="str">
        <f t="shared" si="86"/>
        <v>4333</v>
      </c>
      <c r="Y401" s="7" t="str">
        <f t="shared" si="87"/>
        <v>2110</v>
      </c>
    </row>
    <row r="402" spans="1:25" s="81" customFormat="1" ht="14.1" customHeight="1">
      <c r="A402" s="80"/>
      <c r="B402" s="84">
        <v>1</v>
      </c>
      <c r="C402" s="153">
        <v>0</v>
      </c>
      <c r="D402" s="154">
        <v>1</v>
      </c>
      <c r="E402" s="154">
        <v>1</v>
      </c>
      <c r="F402" s="154">
        <v>2</v>
      </c>
      <c r="G402" s="154">
        <v>3</v>
      </c>
      <c r="H402" s="154">
        <v>3</v>
      </c>
      <c r="I402" s="154">
        <v>4</v>
      </c>
      <c r="J402" s="154">
        <v>4</v>
      </c>
      <c r="K402" s="154">
        <v>4</v>
      </c>
      <c r="L402" s="154">
        <v>4</v>
      </c>
      <c r="M402" s="154">
        <v>3</v>
      </c>
      <c r="N402" s="154">
        <v>3</v>
      </c>
      <c r="O402" s="154">
        <v>2</v>
      </c>
      <c r="P402" s="154">
        <v>1</v>
      </c>
      <c r="Q402" s="154">
        <v>1</v>
      </c>
      <c r="R402" s="155">
        <v>0</v>
      </c>
      <c r="U402" s="9">
        <f t="shared" si="92"/>
        <v>1</v>
      </c>
      <c r="V402" s="7" t="str">
        <f t="shared" si="84"/>
        <v>0112</v>
      </c>
      <c r="W402" s="7" t="str">
        <f t="shared" si="85"/>
        <v>3344</v>
      </c>
      <c r="X402" s="7" t="str">
        <f t="shared" si="86"/>
        <v>4433</v>
      </c>
      <c r="Y402" s="7" t="str">
        <f t="shared" si="87"/>
        <v>2110</v>
      </c>
    </row>
    <row r="403" spans="1:25" s="81" customFormat="1" ht="14.1" customHeight="1">
      <c r="A403" s="80"/>
      <c r="B403" s="84">
        <v>2</v>
      </c>
      <c r="C403" s="153">
        <v>0</v>
      </c>
      <c r="D403" s="154">
        <v>1</v>
      </c>
      <c r="E403" s="154">
        <v>1</v>
      </c>
      <c r="F403" s="154">
        <v>2</v>
      </c>
      <c r="G403" s="154">
        <v>3</v>
      </c>
      <c r="H403" s="154">
        <v>3</v>
      </c>
      <c r="I403" s="154">
        <v>4</v>
      </c>
      <c r="J403" s="154">
        <v>4</v>
      </c>
      <c r="K403" s="154">
        <v>4</v>
      </c>
      <c r="L403" s="154">
        <v>4</v>
      </c>
      <c r="M403" s="154">
        <v>3</v>
      </c>
      <c r="N403" s="154">
        <v>3</v>
      </c>
      <c r="O403" s="154">
        <v>2</v>
      </c>
      <c r="P403" s="154">
        <v>1</v>
      </c>
      <c r="Q403" s="154">
        <v>1</v>
      </c>
      <c r="R403" s="155">
        <v>0</v>
      </c>
      <c r="U403" s="9">
        <f t="shared" si="92"/>
        <v>2</v>
      </c>
      <c r="V403" s="7" t="str">
        <f t="shared" si="84"/>
        <v>0112</v>
      </c>
      <c r="W403" s="7" t="str">
        <f t="shared" si="85"/>
        <v>3344</v>
      </c>
      <c r="X403" s="7" t="str">
        <f t="shared" si="86"/>
        <v>4433</v>
      </c>
      <c r="Y403" s="7" t="str">
        <f t="shared" si="87"/>
        <v>2110</v>
      </c>
    </row>
    <row r="404" spans="1:25" s="81" customFormat="1" ht="14.1" customHeight="1">
      <c r="A404" s="80"/>
      <c r="B404" s="84">
        <v>3</v>
      </c>
      <c r="C404" s="153">
        <v>0</v>
      </c>
      <c r="D404" s="154">
        <v>1</v>
      </c>
      <c r="E404" s="154">
        <v>1</v>
      </c>
      <c r="F404" s="154">
        <v>2</v>
      </c>
      <c r="G404" s="154">
        <v>3</v>
      </c>
      <c r="H404" s="154">
        <v>4</v>
      </c>
      <c r="I404" s="154">
        <v>4</v>
      </c>
      <c r="J404" s="154">
        <v>4</v>
      </c>
      <c r="K404" s="154">
        <v>4</v>
      </c>
      <c r="L404" s="154">
        <v>4</v>
      </c>
      <c r="M404" s="154">
        <v>4</v>
      </c>
      <c r="N404" s="154">
        <v>3</v>
      </c>
      <c r="O404" s="154">
        <v>2</v>
      </c>
      <c r="P404" s="154">
        <v>1</v>
      </c>
      <c r="Q404" s="154">
        <v>1</v>
      </c>
      <c r="R404" s="155">
        <v>0</v>
      </c>
      <c r="U404" s="9">
        <f t="shared" si="92"/>
        <v>3</v>
      </c>
      <c r="V404" s="7" t="str">
        <f t="shared" si="84"/>
        <v>0112</v>
      </c>
      <c r="W404" s="7" t="str">
        <f t="shared" si="85"/>
        <v>3444</v>
      </c>
      <c r="X404" s="7" t="str">
        <f t="shared" si="86"/>
        <v>4443</v>
      </c>
      <c r="Y404" s="7" t="str">
        <f t="shared" si="87"/>
        <v>2110</v>
      </c>
    </row>
    <row r="405" spans="1:25" s="81" customFormat="1" ht="14.1" customHeight="1">
      <c r="A405" s="80"/>
      <c r="B405" s="84">
        <v>4</v>
      </c>
      <c r="C405" s="153">
        <v>0</v>
      </c>
      <c r="D405" s="154">
        <v>1</v>
      </c>
      <c r="E405" s="154">
        <v>1</v>
      </c>
      <c r="F405" s="154">
        <v>2</v>
      </c>
      <c r="G405" s="154">
        <v>3</v>
      </c>
      <c r="H405" s="154">
        <v>4</v>
      </c>
      <c r="I405" s="154">
        <v>4</v>
      </c>
      <c r="J405" s="154">
        <v>5</v>
      </c>
      <c r="K405" s="154">
        <v>5</v>
      </c>
      <c r="L405" s="154">
        <v>4</v>
      </c>
      <c r="M405" s="154">
        <v>4</v>
      </c>
      <c r="N405" s="154">
        <v>3</v>
      </c>
      <c r="O405" s="154">
        <v>2</v>
      </c>
      <c r="P405" s="154">
        <v>1</v>
      </c>
      <c r="Q405" s="154">
        <v>1</v>
      </c>
      <c r="R405" s="155">
        <v>0</v>
      </c>
      <c r="U405" s="9">
        <f t="shared" si="92"/>
        <v>4</v>
      </c>
      <c r="V405" s="7" t="str">
        <f t="shared" si="84"/>
        <v>0112</v>
      </c>
      <c r="W405" s="7" t="str">
        <f t="shared" si="85"/>
        <v>3445</v>
      </c>
      <c r="X405" s="7" t="str">
        <f t="shared" si="86"/>
        <v>5443</v>
      </c>
      <c r="Y405" s="7" t="str">
        <f t="shared" si="87"/>
        <v>2110</v>
      </c>
    </row>
    <row r="406" spans="1:25" s="81" customFormat="1" ht="14.1" customHeight="1">
      <c r="A406" s="80"/>
      <c r="B406" s="84">
        <v>5</v>
      </c>
      <c r="C406" s="153">
        <v>0</v>
      </c>
      <c r="D406" s="154">
        <v>1</v>
      </c>
      <c r="E406" s="154">
        <v>1</v>
      </c>
      <c r="F406" s="154">
        <v>2</v>
      </c>
      <c r="G406" s="154">
        <v>3</v>
      </c>
      <c r="H406" s="154">
        <v>4</v>
      </c>
      <c r="I406" s="154">
        <v>5</v>
      </c>
      <c r="J406" s="154">
        <v>5</v>
      </c>
      <c r="K406" s="154">
        <v>5</v>
      </c>
      <c r="L406" s="154">
        <v>5</v>
      </c>
      <c r="M406" s="154">
        <v>4</v>
      </c>
      <c r="N406" s="154">
        <v>3</v>
      </c>
      <c r="O406" s="154">
        <v>2</v>
      </c>
      <c r="P406" s="154">
        <v>1</v>
      </c>
      <c r="Q406" s="154">
        <v>1</v>
      </c>
      <c r="R406" s="155">
        <v>0</v>
      </c>
      <c r="U406" s="9">
        <f t="shared" si="92"/>
        <v>5</v>
      </c>
      <c r="V406" s="7" t="str">
        <f t="shared" si="84"/>
        <v>0112</v>
      </c>
      <c r="W406" s="7" t="str">
        <f t="shared" si="85"/>
        <v>3455</v>
      </c>
      <c r="X406" s="7" t="str">
        <f t="shared" si="86"/>
        <v>5543</v>
      </c>
      <c r="Y406" s="7" t="str">
        <f t="shared" si="87"/>
        <v>2110</v>
      </c>
    </row>
    <row r="407" spans="1:25" s="81" customFormat="1" ht="14.1" customHeight="1">
      <c r="A407" s="80"/>
      <c r="B407" s="84">
        <v>6</v>
      </c>
      <c r="C407" s="153">
        <v>0</v>
      </c>
      <c r="D407" s="154">
        <v>1</v>
      </c>
      <c r="E407" s="154">
        <v>1</v>
      </c>
      <c r="F407" s="154">
        <v>2</v>
      </c>
      <c r="G407" s="154">
        <v>3</v>
      </c>
      <c r="H407" s="154">
        <v>4</v>
      </c>
      <c r="I407" s="154">
        <v>5</v>
      </c>
      <c r="J407" s="154">
        <v>5</v>
      </c>
      <c r="K407" s="154">
        <v>5</v>
      </c>
      <c r="L407" s="154">
        <v>5</v>
      </c>
      <c r="M407" s="154">
        <v>4</v>
      </c>
      <c r="N407" s="154">
        <v>3</v>
      </c>
      <c r="O407" s="154">
        <v>2</v>
      </c>
      <c r="P407" s="154">
        <v>1</v>
      </c>
      <c r="Q407" s="154">
        <v>1</v>
      </c>
      <c r="R407" s="155">
        <v>0</v>
      </c>
      <c r="U407" s="9">
        <f t="shared" si="92"/>
        <v>6</v>
      </c>
      <c r="V407" s="7" t="str">
        <f t="shared" si="84"/>
        <v>0112</v>
      </c>
      <c r="W407" s="7" t="str">
        <f t="shared" si="85"/>
        <v>3455</v>
      </c>
      <c r="X407" s="7" t="str">
        <f t="shared" si="86"/>
        <v>5543</v>
      </c>
      <c r="Y407" s="7" t="str">
        <f t="shared" si="87"/>
        <v>2110</v>
      </c>
    </row>
    <row r="408" spans="1:25" s="81" customFormat="1" ht="14.1" customHeight="1">
      <c r="A408" s="80"/>
      <c r="B408" s="84">
        <v>7</v>
      </c>
      <c r="C408" s="153">
        <v>0</v>
      </c>
      <c r="D408" s="154">
        <v>1</v>
      </c>
      <c r="E408" s="154">
        <v>2</v>
      </c>
      <c r="F408" s="154">
        <v>3</v>
      </c>
      <c r="G408" s="154">
        <v>3</v>
      </c>
      <c r="H408" s="154">
        <v>4</v>
      </c>
      <c r="I408" s="154">
        <v>5</v>
      </c>
      <c r="J408" s="154">
        <v>5</v>
      </c>
      <c r="K408" s="154">
        <v>5</v>
      </c>
      <c r="L408" s="154">
        <v>5</v>
      </c>
      <c r="M408" s="154">
        <v>4</v>
      </c>
      <c r="N408" s="154">
        <v>3</v>
      </c>
      <c r="O408" s="154">
        <v>3</v>
      </c>
      <c r="P408" s="154">
        <v>2</v>
      </c>
      <c r="Q408" s="154">
        <v>1</v>
      </c>
      <c r="R408" s="155">
        <v>0</v>
      </c>
      <c r="U408" s="9">
        <f t="shared" si="92"/>
        <v>7</v>
      </c>
      <c r="V408" s="7" t="str">
        <f t="shared" si="84"/>
        <v>0123</v>
      </c>
      <c r="W408" s="7" t="str">
        <f t="shared" si="85"/>
        <v>3455</v>
      </c>
      <c r="X408" s="7" t="str">
        <f t="shared" si="86"/>
        <v>5543</v>
      </c>
      <c r="Y408" s="7" t="str">
        <f t="shared" si="87"/>
        <v>3210</v>
      </c>
    </row>
    <row r="409" spans="1:25" s="81" customFormat="1" ht="14.1" customHeight="1">
      <c r="A409" s="80"/>
      <c r="B409" s="84">
        <v>8</v>
      </c>
      <c r="C409" s="153">
        <v>0</v>
      </c>
      <c r="D409" s="154">
        <v>1</v>
      </c>
      <c r="E409" s="154">
        <v>2</v>
      </c>
      <c r="F409" s="154">
        <v>3</v>
      </c>
      <c r="G409" s="154">
        <v>3</v>
      </c>
      <c r="H409" s="154">
        <v>5</v>
      </c>
      <c r="I409" s="154">
        <v>5</v>
      </c>
      <c r="J409" s="154">
        <v>6</v>
      </c>
      <c r="K409" s="154">
        <v>6</v>
      </c>
      <c r="L409" s="154">
        <v>5</v>
      </c>
      <c r="M409" s="154">
        <v>5</v>
      </c>
      <c r="N409" s="154">
        <v>3</v>
      </c>
      <c r="O409" s="154">
        <v>3</v>
      </c>
      <c r="P409" s="154">
        <v>2</v>
      </c>
      <c r="Q409" s="154">
        <v>1</v>
      </c>
      <c r="R409" s="155">
        <v>0</v>
      </c>
      <c r="U409" s="9">
        <f t="shared" si="92"/>
        <v>8</v>
      </c>
      <c r="V409" s="7" t="str">
        <f t="shared" si="84"/>
        <v>0123</v>
      </c>
      <c r="W409" s="7" t="str">
        <f t="shared" si="85"/>
        <v>3556</v>
      </c>
      <c r="X409" s="7" t="str">
        <f t="shared" si="86"/>
        <v>6553</v>
      </c>
      <c r="Y409" s="7" t="str">
        <f t="shared" si="87"/>
        <v>3210</v>
      </c>
    </row>
    <row r="410" spans="1:25" s="81" customFormat="1" ht="14.1" customHeight="1">
      <c r="A410" s="80"/>
      <c r="B410" s="84">
        <v>9</v>
      </c>
      <c r="C410" s="153">
        <v>0</v>
      </c>
      <c r="D410" s="154">
        <v>1</v>
      </c>
      <c r="E410" s="154">
        <v>2</v>
      </c>
      <c r="F410" s="154">
        <v>3</v>
      </c>
      <c r="G410" s="154">
        <v>4</v>
      </c>
      <c r="H410" s="154">
        <v>5</v>
      </c>
      <c r="I410" s="154">
        <v>5</v>
      </c>
      <c r="J410" s="154">
        <v>6</v>
      </c>
      <c r="K410" s="154">
        <v>6</v>
      </c>
      <c r="L410" s="154">
        <v>5</v>
      </c>
      <c r="M410" s="154">
        <v>5</v>
      </c>
      <c r="N410" s="154">
        <v>4</v>
      </c>
      <c r="O410" s="154">
        <v>3</v>
      </c>
      <c r="P410" s="154">
        <v>2</v>
      </c>
      <c r="Q410" s="154">
        <v>1</v>
      </c>
      <c r="R410" s="155">
        <v>0</v>
      </c>
      <c r="U410" s="9">
        <f t="shared" si="92"/>
        <v>9</v>
      </c>
      <c r="V410" s="7" t="str">
        <f t="shared" si="84"/>
        <v>0123</v>
      </c>
      <c r="W410" s="7" t="str">
        <f t="shared" si="85"/>
        <v>4556</v>
      </c>
      <c r="X410" s="7" t="str">
        <f t="shared" si="86"/>
        <v>6554</v>
      </c>
      <c r="Y410" s="7" t="str">
        <f t="shared" si="87"/>
        <v>3210</v>
      </c>
    </row>
    <row r="411" spans="1:25" s="81" customFormat="1" ht="14.1" customHeight="1">
      <c r="A411" s="80"/>
      <c r="B411" s="84">
        <v>10</v>
      </c>
      <c r="C411" s="153">
        <v>0</v>
      </c>
      <c r="D411" s="154">
        <v>1</v>
      </c>
      <c r="E411" s="154">
        <v>2</v>
      </c>
      <c r="F411" s="154">
        <v>3</v>
      </c>
      <c r="G411" s="154">
        <v>4</v>
      </c>
      <c r="H411" s="154">
        <v>5</v>
      </c>
      <c r="I411" s="154">
        <v>5</v>
      </c>
      <c r="J411" s="154">
        <v>6</v>
      </c>
      <c r="K411" s="154">
        <v>6</v>
      </c>
      <c r="L411" s="154">
        <v>5</v>
      </c>
      <c r="M411" s="154">
        <v>5</v>
      </c>
      <c r="N411" s="154">
        <v>4</v>
      </c>
      <c r="O411" s="154">
        <v>3</v>
      </c>
      <c r="P411" s="154">
        <v>2</v>
      </c>
      <c r="Q411" s="154">
        <v>1</v>
      </c>
      <c r="R411" s="155">
        <v>0</v>
      </c>
      <c r="U411" s="9">
        <f t="shared" si="92"/>
        <v>10</v>
      </c>
      <c r="V411" s="7" t="str">
        <f t="shared" si="84"/>
        <v>0123</v>
      </c>
      <c r="W411" s="7" t="str">
        <f t="shared" si="85"/>
        <v>4556</v>
      </c>
      <c r="X411" s="7" t="str">
        <f t="shared" si="86"/>
        <v>6554</v>
      </c>
      <c r="Y411" s="7" t="str">
        <f t="shared" si="87"/>
        <v>3210</v>
      </c>
    </row>
    <row r="412" spans="1:25" s="81" customFormat="1" ht="14.1" customHeight="1">
      <c r="A412" s="80"/>
      <c r="B412" s="84">
        <v>11</v>
      </c>
      <c r="C412" s="153">
        <v>0</v>
      </c>
      <c r="D412" s="154">
        <v>1</v>
      </c>
      <c r="E412" s="154">
        <v>2</v>
      </c>
      <c r="F412" s="154">
        <v>3</v>
      </c>
      <c r="G412" s="154">
        <v>4</v>
      </c>
      <c r="H412" s="154">
        <v>5</v>
      </c>
      <c r="I412" s="154">
        <v>6</v>
      </c>
      <c r="J412" s="154">
        <v>6</v>
      </c>
      <c r="K412" s="154">
        <v>6</v>
      </c>
      <c r="L412" s="154">
        <v>6</v>
      </c>
      <c r="M412" s="154">
        <v>5</v>
      </c>
      <c r="N412" s="154">
        <v>4</v>
      </c>
      <c r="O412" s="154">
        <v>3</v>
      </c>
      <c r="P412" s="154">
        <v>2</v>
      </c>
      <c r="Q412" s="154">
        <v>1</v>
      </c>
      <c r="R412" s="155">
        <v>0</v>
      </c>
      <c r="U412" s="9">
        <f t="shared" si="92"/>
        <v>11</v>
      </c>
      <c r="V412" s="7" t="str">
        <f t="shared" si="84"/>
        <v>0123</v>
      </c>
      <c r="W412" s="7" t="str">
        <f t="shared" si="85"/>
        <v>4566</v>
      </c>
      <c r="X412" s="7" t="str">
        <f t="shared" si="86"/>
        <v>6654</v>
      </c>
      <c r="Y412" s="7" t="str">
        <f t="shared" si="87"/>
        <v>3210</v>
      </c>
    </row>
    <row r="413" spans="1:25" s="81" customFormat="1" ht="14.1" customHeight="1">
      <c r="A413" s="80"/>
      <c r="B413" s="84">
        <v>12</v>
      </c>
      <c r="C413" s="153">
        <v>0</v>
      </c>
      <c r="D413" s="154">
        <v>1</v>
      </c>
      <c r="E413" s="154">
        <v>2</v>
      </c>
      <c r="F413" s="154">
        <v>3</v>
      </c>
      <c r="G413" s="154">
        <v>4</v>
      </c>
      <c r="H413" s="154">
        <v>5</v>
      </c>
      <c r="I413" s="154">
        <v>6</v>
      </c>
      <c r="J413" s="154">
        <v>6</v>
      </c>
      <c r="K413" s="154">
        <v>6</v>
      </c>
      <c r="L413" s="154">
        <v>6</v>
      </c>
      <c r="M413" s="154">
        <v>5</v>
      </c>
      <c r="N413" s="154">
        <v>4</v>
      </c>
      <c r="O413" s="154">
        <v>3</v>
      </c>
      <c r="P413" s="154">
        <v>2</v>
      </c>
      <c r="Q413" s="154">
        <v>1</v>
      </c>
      <c r="R413" s="155">
        <v>0</v>
      </c>
      <c r="U413" s="9">
        <f t="shared" si="92"/>
        <v>12</v>
      </c>
      <c r="V413" s="7" t="str">
        <f t="shared" si="84"/>
        <v>0123</v>
      </c>
      <c r="W413" s="7" t="str">
        <f t="shared" si="85"/>
        <v>4566</v>
      </c>
      <c r="X413" s="7" t="str">
        <f t="shared" si="86"/>
        <v>6654</v>
      </c>
      <c r="Y413" s="7" t="str">
        <f t="shared" si="87"/>
        <v>3210</v>
      </c>
    </row>
    <row r="414" spans="1:25" s="81" customFormat="1" ht="14.1" customHeight="1">
      <c r="A414" s="80"/>
      <c r="B414" s="84">
        <v>13</v>
      </c>
      <c r="C414" s="153">
        <v>0</v>
      </c>
      <c r="D414" s="154">
        <v>1</v>
      </c>
      <c r="E414" s="154">
        <v>2</v>
      </c>
      <c r="F414" s="154">
        <v>3</v>
      </c>
      <c r="G414" s="154">
        <v>4</v>
      </c>
      <c r="H414" s="154">
        <v>5</v>
      </c>
      <c r="I414" s="154">
        <v>6</v>
      </c>
      <c r="J414" s="154">
        <v>6</v>
      </c>
      <c r="K414" s="154">
        <v>6</v>
      </c>
      <c r="L414" s="154">
        <v>6</v>
      </c>
      <c r="M414" s="154">
        <v>5</v>
      </c>
      <c r="N414" s="154">
        <v>4</v>
      </c>
      <c r="O414" s="154">
        <v>3</v>
      </c>
      <c r="P414" s="154">
        <v>2</v>
      </c>
      <c r="Q414" s="154">
        <v>1</v>
      </c>
      <c r="R414" s="155">
        <v>0</v>
      </c>
      <c r="U414" s="9">
        <f t="shared" si="92"/>
        <v>13</v>
      </c>
      <c r="V414" s="7" t="str">
        <f t="shared" si="84"/>
        <v>0123</v>
      </c>
      <c r="W414" s="7" t="str">
        <f t="shared" si="85"/>
        <v>4566</v>
      </c>
      <c r="X414" s="7" t="str">
        <f t="shared" si="86"/>
        <v>6654</v>
      </c>
      <c r="Y414" s="7" t="str">
        <f t="shared" si="87"/>
        <v>3210</v>
      </c>
    </row>
    <row r="415" spans="1:25" s="81" customFormat="1" ht="14.1" customHeight="1">
      <c r="A415" s="80"/>
      <c r="B415" s="84">
        <v>14</v>
      </c>
      <c r="C415" s="153">
        <v>0</v>
      </c>
      <c r="D415" s="154">
        <v>1</v>
      </c>
      <c r="E415" s="154">
        <v>2</v>
      </c>
      <c r="F415" s="154">
        <v>3</v>
      </c>
      <c r="G415" s="154">
        <v>4</v>
      </c>
      <c r="H415" s="154">
        <v>5</v>
      </c>
      <c r="I415" s="154">
        <v>6</v>
      </c>
      <c r="J415" s="154">
        <v>6</v>
      </c>
      <c r="K415" s="154">
        <v>6</v>
      </c>
      <c r="L415" s="154">
        <v>6</v>
      </c>
      <c r="M415" s="154">
        <v>5</v>
      </c>
      <c r="N415" s="154">
        <v>4</v>
      </c>
      <c r="O415" s="154">
        <v>3</v>
      </c>
      <c r="P415" s="154">
        <v>2</v>
      </c>
      <c r="Q415" s="154">
        <v>1</v>
      </c>
      <c r="R415" s="155">
        <v>0</v>
      </c>
      <c r="U415" s="9">
        <f t="shared" si="92"/>
        <v>14</v>
      </c>
      <c r="V415" s="7" t="str">
        <f t="shared" si="84"/>
        <v>0123</v>
      </c>
      <c r="W415" s="7" t="str">
        <f t="shared" si="85"/>
        <v>4566</v>
      </c>
      <c r="X415" s="7" t="str">
        <f t="shared" si="86"/>
        <v>6654</v>
      </c>
      <c r="Y415" s="7" t="str">
        <f t="shared" si="87"/>
        <v>3210</v>
      </c>
    </row>
    <row r="416" spans="1:25" s="81" customFormat="1" ht="14.1" customHeight="1">
      <c r="A416" s="80"/>
      <c r="B416" s="84">
        <v>15</v>
      </c>
      <c r="C416" s="153">
        <v>0</v>
      </c>
      <c r="D416" s="154">
        <v>1</v>
      </c>
      <c r="E416" s="154">
        <v>2</v>
      </c>
      <c r="F416" s="154">
        <v>3</v>
      </c>
      <c r="G416" s="154">
        <v>4</v>
      </c>
      <c r="H416" s="154">
        <v>5</v>
      </c>
      <c r="I416" s="154">
        <v>6</v>
      </c>
      <c r="J416" s="154">
        <v>6</v>
      </c>
      <c r="K416" s="154">
        <v>6</v>
      </c>
      <c r="L416" s="154">
        <v>6</v>
      </c>
      <c r="M416" s="154">
        <v>5</v>
      </c>
      <c r="N416" s="154">
        <v>4</v>
      </c>
      <c r="O416" s="154">
        <v>3</v>
      </c>
      <c r="P416" s="154">
        <v>2</v>
      </c>
      <c r="Q416" s="154">
        <v>1</v>
      </c>
      <c r="R416" s="155">
        <v>0</v>
      </c>
      <c r="U416" s="9">
        <f t="shared" si="92"/>
        <v>15</v>
      </c>
      <c r="V416" s="7" t="str">
        <f t="shared" si="84"/>
        <v>0123</v>
      </c>
      <c r="W416" s="7" t="str">
        <f t="shared" si="85"/>
        <v>4566</v>
      </c>
      <c r="X416" s="7" t="str">
        <f t="shared" si="86"/>
        <v>6654</v>
      </c>
      <c r="Y416" s="7" t="str">
        <f t="shared" si="87"/>
        <v>3210</v>
      </c>
    </row>
    <row r="417" spans="1:25" s="81" customFormat="1" ht="14.1" customHeight="1">
      <c r="A417" s="80"/>
      <c r="B417" s="84">
        <v>16</v>
      </c>
      <c r="C417" s="138">
        <v>0</v>
      </c>
      <c r="D417" s="154">
        <v>1</v>
      </c>
      <c r="E417" s="154">
        <v>2</v>
      </c>
      <c r="F417" s="146">
        <v>3</v>
      </c>
      <c r="G417" s="146">
        <v>4</v>
      </c>
      <c r="H417" s="146">
        <v>5</v>
      </c>
      <c r="I417" s="154">
        <v>6</v>
      </c>
      <c r="J417" s="154">
        <v>6</v>
      </c>
      <c r="K417" s="154">
        <v>6</v>
      </c>
      <c r="L417" s="154">
        <v>6</v>
      </c>
      <c r="M417" s="146">
        <v>5</v>
      </c>
      <c r="N417" s="146">
        <v>4</v>
      </c>
      <c r="O417" s="146">
        <v>3</v>
      </c>
      <c r="P417" s="154">
        <v>2</v>
      </c>
      <c r="Q417" s="154">
        <v>1</v>
      </c>
      <c r="R417" s="139">
        <v>0</v>
      </c>
      <c r="U417" s="9">
        <f t="shared" si="92"/>
        <v>16</v>
      </c>
      <c r="V417" s="7" t="str">
        <f t="shared" si="84"/>
        <v>0123</v>
      </c>
      <c r="W417" s="7" t="str">
        <f t="shared" si="85"/>
        <v>4566</v>
      </c>
      <c r="X417" s="7" t="str">
        <f t="shared" si="86"/>
        <v>6654</v>
      </c>
      <c r="Y417" s="7" t="str">
        <f t="shared" si="87"/>
        <v>3210</v>
      </c>
    </row>
    <row r="418" spans="1:25" s="81" customFormat="1" ht="14.1" customHeight="1">
      <c r="A418" s="80"/>
      <c r="B418" s="84">
        <v>17</v>
      </c>
      <c r="C418" s="153">
        <v>0</v>
      </c>
      <c r="D418" s="154">
        <v>1</v>
      </c>
      <c r="E418" s="154">
        <v>2</v>
      </c>
      <c r="F418" s="154">
        <v>3</v>
      </c>
      <c r="G418" s="154">
        <v>4</v>
      </c>
      <c r="H418" s="154">
        <v>5</v>
      </c>
      <c r="I418" s="154">
        <v>6</v>
      </c>
      <c r="J418" s="154">
        <v>6</v>
      </c>
      <c r="K418" s="154">
        <v>6</v>
      </c>
      <c r="L418" s="154">
        <v>6</v>
      </c>
      <c r="M418" s="154">
        <v>5</v>
      </c>
      <c r="N418" s="154">
        <v>4</v>
      </c>
      <c r="O418" s="154">
        <v>3</v>
      </c>
      <c r="P418" s="154">
        <v>2</v>
      </c>
      <c r="Q418" s="154">
        <v>1</v>
      </c>
      <c r="R418" s="155">
        <v>0</v>
      </c>
      <c r="U418" s="9">
        <f t="shared" si="92"/>
        <v>17</v>
      </c>
      <c r="V418" s="7" t="str">
        <f t="shared" si="84"/>
        <v>0123</v>
      </c>
      <c r="W418" s="7" t="str">
        <f t="shared" si="85"/>
        <v>4566</v>
      </c>
      <c r="X418" s="7" t="str">
        <f t="shared" si="86"/>
        <v>6654</v>
      </c>
      <c r="Y418" s="7" t="str">
        <f t="shared" si="87"/>
        <v>3210</v>
      </c>
    </row>
    <row r="419" spans="1:25" s="81" customFormat="1" ht="14.1" customHeight="1">
      <c r="A419" s="80"/>
      <c r="B419" s="84">
        <v>18</v>
      </c>
      <c r="C419" s="153">
        <v>0</v>
      </c>
      <c r="D419" s="154">
        <v>1</v>
      </c>
      <c r="E419" s="154">
        <v>2</v>
      </c>
      <c r="F419" s="154">
        <v>3</v>
      </c>
      <c r="G419" s="154">
        <v>4</v>
      </c>
      <c r="H419" s="154">
        <v>5</v>
      </c>
      <c r="I419" s="154">
        <v>5</v>
      </c>
      <c r="J419" s="154">
        <v>6</v>
      </c>
      <c r="K419" s="154">
        <v>6</v>
      </c>
      <c r="L419" s="154">
        <v>5</v>
      </c>
      <c r="M419" s="154">
        <v>5</v>
      </c>
      <c r="N419" s="154">
        <v>4</v>
      </c>
      <c r="O419" s="154">
        <v>3</v>
      </c>
      <c r="P419" s="154">
        <v>2</v>
      </c>
      <c r="Q419" s="154">
        <v>1</v>
      </c>
      <c r="R419" s="155">
        <v>0</v>
      </c>
      <c r="U419" s="9">
        <f t="shared" si="92"/>
        <v>18</v>
      </c>
      <c r="V419" s="7" t="str">
        <f t="shared" si="84"/>
        <v>0123</v>
      </c>
      <c r="W419" s="7" t="str">
        <f t="shared" si="85"/>
        <v>4556</v>
      </c>
      <c r="X419" s="7" t="str">
        <f t="shared" si="86"/>
        <v>6554</v>
      </c>
      <c r="Y419" s="7" t="str">
        <f t="shared" si="87"/>
        <v>3210</v>
      </c>
    </row>
    <row r="420" spans="1:25" s="81" customFormat="1" ht="14.1" customHeight="1">
      <c r="A420" s="80"/>
      <c r="B420" s="84">
        <v>19</v>
      </c>
      <c r="C420" s="153">
        <v>0</v>
      </c>
      <c r="D420" s="154">
        <v>1</v>
      </c>
      <c r="E420" s="154">
        <v>2</v>
      </c>
      <c r="F420" s="154">
        <v>3</v>
      </c>
      <c r="G420" s="154">
        <v>3</v>
      </c>
      <c r="H420" s="154">
        <v>5</v>
      </c>
      <c r="I420" s="154">
        <v>5</v>
      </c>
      <c r="J420" s="154">
        <v>5</v>
      </c>
      <c r="K420" s="154">
        <v>5</v>
      </c>
      <c r="L420" s="154">
        <v>5</v>
      </c>
      <c r="M420" s="154">
        <v>5</v>
      </c>
      <c r="N420" s="154">
        <v>3</v>
      </c>
      <c r="O420" s="154">
        <v>3</v>
      </c>
      <c r="P420" s="154">
        <v>2</v>
      </c>
      <c r="Q420" s="154">
        <v>1</v>
      </c>
      <c r="R420" s="155">
        <v>0</v>
      </c>
      <c r="U420" s="9">
        <f t="shared" si="92"/>
        <v>19</v>
      </c>
      <c r="V420" s="7" t="str">
        <f t="shared" si="84"/>
        <v>0123</v>
      </c>
      <c r="W420" s="7" t="str">
        <f t="shared" si="85"/>
        <v>3555</v>
      </c>
      <c r="X420" s="7" t="str">
        <f t="shared" si="86"/>
        <v>5553</v>
      </c>
      <c r="Y420" s="7" t="str">
        <f t="shared" si="87"/>
        <v>3210</v>
      </c>
    </row>
    <row r="421" spans="1:25" s="81" customFormat="1" ht="14.1" customHeight="1">
      <c r="A421" s="80"/>
      <c r="B421" s="84">
        <v>20</v>
      </c>
      <c r="C421" s="153">
        <v>0</v>
      </c>
      <c r="D421" s="154">
        <v>1</v>
      </c>
      <c r="E421" s="154">
        <v>2</v>
      </c>
      <c r="F421" s="154">
        <v>2</v>
      </c>
      <c r="G421" s="154">
        <v>3</v>
      </c>
      <c r="H421" s="154">
        <v>4</v>
      </c>
      <c r="I421" s="154">
        <v>5</v>
      </c>
      <c r="J421" s="154">
        <v>5</v>
      </c>
      <c r="K421" s="154">
        <v>5</v>
      </c>
      <c r="L421" s="154">
        <v>5</v>
      </c>
      <c r="M421" s="154">
        <v>4</v>
      </c>
      <c r="N421" s="154">
        <v>3</v>
      </c>
      <c r="O421" s="154">
        <v>2</v>
      </c>
      <c r="P421" s="154">
        <v>2</v>
      </c>
      <c r="Q421" s="154">
        <v>1</v>
      </c>
      <c r="R421" s="155">
        <v>0</v>
      </c>
      <c r="U421" s="9">
        <f t="shared" si="92"/>
        <v>20</v>
      </c>
      <c r="V421" s="7" t="str">
        <f t="shared" si="84"/>
        <v>0122</v>
      </c>
      <c r="W421" s="7" t="str">
        <f t="shared" si="85"/>
        <v>3455</v>
      </c>
      <c r="X421" s="7" t="str">
        <f t="shared" si="86"/>
        <v>5543</v>
      </c>
      <c r="Y421" s="7" t="str">
        <f t="shared" si="87"/>
        <v>2210</v>
      </c>
    </row>
    <row r="422" spans="1:25" s="81" customFormat="1" ht="14.1" customHeight="1">
      <c r="A422" s="80"/>
      <c r="B422" s="84">
        <v>21</v>
      </c>
      <c r="C422" s="153">
        <v>0</v>
      </c>
      <c r="D422" s="154">
        <v>0</v>
      </c>
      <c r="E422" s="154">
        <v>1</v>
      </c>
      <c r="F422" s="154">
        <v>2</v>
      </c>
      <c r="G422" s="154">
        <v>3</v>
      </c>
      <c r="H422" s="154">
        <v>3</v>
      </c>
      <c r="I422" s="154">
        <v>4</v>
      </c>
      <c r="J422" s="154">
        <v>5</v>
      </c>
      <c r="K422" s="154">
        <v>5</v>
      </c>
      <c r="L422" s="154">
        <v>4</v>
      </c>
      <c r="M422" s="154">
        <v>3</v>
      </c>
      <c r="N422" s="154">
        <v>3</v>
      </c>
      <c r="O422" s="154">
        <v>2</v>
      </c>
      <c r="P422" s="154">
        <v>1</v>
      </c>
      <c r="Q422" s="154">
        <v>0</v>
      </c>
      <c r="R422" s="155">
        <v>0</v>
      </c>
      <c r="U422" s="9">
        <f t="shared" si="92"/>
        <v>21</v>
      </c>
      <c r="V422" s="7" t="str">
        <f t="shared" si="84"/>
        <v>0012</v>
      </c>
      <c r="W422" s="7" t="str">
        <f t="shared" si="85"/>
        <v>3345</v>
      </c>
      <c r="X422" s="7" t="str">
        <f t="shared" si="86"/>
        <v>5433</v>
      </c>
      <c r="Y422" s="7" t="str">
        <f t="shared" si="87"/>
        <v>2100</v>
      </c>
    </row>
    <row r="423" spans="1:25" s="81" customFormat="1" ht="14.1" customHeight="1">
      <c r="A423" s="80"/>
      <c r="B423" s="84">
        <v>22</v>
      </c>
      <c r="C423" s="153">
        <v>0</v>
      </c>
      <c r="D423" s="154">
        <v>0</v>
      </c>
      <c r="E423" s="154">
        <v>1</v>
      </c>
      <c r="F423" s="154">
        <v>2</v>
      </c>
      <c r="G423" s="154">
        <v>2</v>
      </c>
      <c r="H423" s="154">
        <v>3</v>
      </c>
      <c r="I423" s="154">
        <v>3</v>
      </c>
      <c r="J423" s="154">
        <v>4</v>
      </c>
      <c r="K423" s="154">
        <v>4</v>
      </c>
      <c r="L423" s="154">
        <v>3</v>
      </c>
      <c r="M423" s="154">
        <v>3</v>
      </c>
      <c r="N423" s="154">
        <v>2</v>
      </c>
      <c r="O423" s="154">
        <v>2</v>
      </c>
      <c r="P423" s="154">
        <v>1</v>
      </c>
      <c r="Q423" s="154">
        <v>0</v>
      </c>
      <c r="R423" s="155">
        <v>0</v>
      </c>
      <c r="U423" s="9">
        <f t="shared" si="92"/>
        <v>22</v>
      </c>
      <c r="V423" s="7" t="str">
        <f t="shared" si="84"/>
        <v>0012</v>
      </c>
      <c r="W423" s="7" t="str">
        <f t="shared" si="85"/>
        <v>2334</v>
      </c>
      <c r="X423" s="7" t="str">
        <f t="shared" si="86"/>
        <v>4332</v>
      </c>
      <c r="Y423" s="7" t="str">
        <f t="shared" si="87"/>
        <v>2100</v>
      </c>
    </row>
    <row r="424" spans="1:25" s="81" customFormat="1" ht="14.1" customHeight="1">
      <c r="A424" s="80"/>
      <c r="B424" s="84">
        <v>23</v>
      </c>
      <c r="C424" s="153">
        <v>0</v>
      </c>
      <c r="D424" s="154">
        <v>0</v>
      </c>
      <c r="E424" s="154">
        <v>1</v>
      </c>
      <c r="F424" s="154">
        <v>1</v>
      </c>
      <c r="G424" s="154">
        <v>2</v>
      </c>
      <c r="H424" s="154">
        <v>2</v>
      </c>
      <c r="I424" s="154">
        <v>3</v>
      </c>
      <c r="J424" s="154">
        <v>3</v>
      </c>
      <c r="K424" s="154">
        <v>3</v>
      </c>
      <c r="L424" s="154">
        <v>3</v>
      </c>
      <c r="M424" s="154">
        <v>2</v>
      </c>
      <c r="N424" s="154">
        <v>2</v>
      </c>
      <c r="O424" s="154">
        <v>1</v>
      </c>
      <c r="P424" s="154">
        <v>1</v>
      </c>
      <c r="Q424" s="154">
        <v>0</v>
      </c>
      <c r="R424" s="155">
        <v>0</v>
      </c>
      <c r="U424" s="9">
        <f t="shared" si="92"/>
        <v>23</v>
      </c>
      <c r="V424" s="7" t="str">
        <f t="shared" si="84"/>
        <v>0011</v>
      </c>
      <c r="W424" s="7" t="str">
        <f t="shared" si="85"/>
        <v>2233</v>
      </c>
      <c r="X424" s="7" t="str">
        <f t="shared" si="86"/>
        <v>3322</v>
      </c>
      <c r="Y424" s="7" t="str">
        <f t="shared" si="87"/>
        <v>1100</v>
      </c>
    </row>
    <row r="425" spans="1:25" s="81" customFormat="1" ht="14.1" customHeight="1">
      <c r="A425" s="80"/>
      <c r="B425" s="84">
        <v>24</v>
      </c>
      <c r="C425" s="153">
        <v>0</v>
      </c>
      <c r="D425" s="154">
        <v>0</v>
      </c>
      <c r="E425" s="154">
        <v>0</v>
      </c>
      <c r="F425" s="154">
        <v>1</v>
      </c>
      <c r="G425" s="154">
        <v>2</v>
      </c>
      <c r="H425" s="154">
        <v>2</v>
      </c>
      <c r="I425" s="154">
        <v>2</v>
      </c>
      <c r="J425" s="154">
        <v>3</v>
      </c>
      <c r="K425" s="154">
        <v>3</v>
      </c>
      <c r="L425" s="154">
        <v>2</v>
      </c>
      <c r="M425" s="154">
        <v>2</v>
      </c>
      <c r="N425" s="154">
        <v>2</v>
      </c>
      <c r="O425" s="154">
        <v>1</v>
      </c>
      <c r="P425" s="154">
        <v>0</v>
      </c>
      <c r="Q425" s="154">
        <v>0</v>
      </c>
      <c r="R425" s="155">
        <v>0</v>
      </c>
      <c r="U425" s="9">
        <f t="shared" si="92"/>
        <v>24</v>
      </c>
      <c r="V425" s="7" t="str">
        <f t="shared" si="84"/>
        <v>0001</v>
      </c>
      <c r="W425" s="7" t="str">
        <f t="shared" si="85"/>
        <v>2223</v>
      </c>
      <c r="X425" s="7" t="str">
        <f t="shared" si="86"/>
        <v>3222</v>
      </c>
      <c r="Y425" s="7" t="str">
        <f t="shared" si="87"/>
        <v>1000</v>
      </c>
    </row>
    <row r="426" spans="1:25" s="81" customFormat="1" ht="14.1" customHeight="1">
      <c r="A426" s="80"/>
      <c r="B426" s="84">
        <v>25</v>
      </c>
      <c r="C426" s="153">
        <v>0</v>
      </c>
      <c r="D426" s="154">
        <v>0</v>
      </c>
      <c r="E426" s="154">
        <v>0</v>
      </c>
      <c r="F426" s="154">
        <v>1</v>
      </c>
      <c r="G426" s="154">
        <v>1</v>
      </c>
      <c r="H426" s="154">
        <v>2</v>
      </c>
      <c r="I426" s="154">
        <v>2</v>
      </c>
      <c r="J426" s="154">
        <v>2</v>
      </c>
      <c r="K426" s="154">
        <v>2</v>
      </c>
      <c r="L426" s="154">
        <v>2</v>
      </c>
      <c r="M426" s="154">
        <v>2</v>
      </c>
      <c r="N426" s="154">
        <v>1</v>
      </c>
      <c r="O426" s="154">
        <v>1</v>
      </c>
      <c r="P426" s="154">
        <v>0</v>
      </c>
      <c r="Q426" s="154">
        <v>0</v>
      </c>
      <c r="R426" s="155">
        <v>0</v>
      </c>
      <c r="U426" s="9">
        <f t="shared" si="92"/>
        <v>25</v>
      </c>
      <c r="V426" s="7" t="str">
        <f t="shared" si="84"/>
        <v>0001</v>
      </c>
      <c r="W426" s="7" t="str">
        <f t="shared" si="85"/>
        <v>1222</v>
      </c>
      <c r="X426" s="7" t="str">
        <f t="shared" si="86"/>
        <v>2221</v>
      </c>
      <c r="Y426" s="7" t="str">
        <f t="shared" si="87"/>
        <v>1000</v>
      </c>
    </row>
    <row r="427" spans="1:25" s="81" customFormat="1" ht="14.1" customHeight="1">
      <c r="A427" s="80"/>
      <c r="B427" s="84">
        <v>26</v>
      </c>
      <c r="C427" s="153">
        <v>0</v>
      </c>
      <c r="D427" s="154">
        <v>0</v>
      </c>
      <c r="E427" s="154">
        <v>0</v>
      </c>
      <c r="F427" s="154">
        <v>0</v>
      </c>
      <c r="G427" s="154">
        <v>1</v>
      </c>
      <c r="H427" s="154">
        <v>1</v>
      </c>
      <c r="I427" s="154">
        <v>2</v>
      </c>
      <c r="J427" s="154">
        <v>2</v>
      </c>
      <c r="K427" s="154">
        <v>2</v>
      </c>
      <c r="L427" s="154">
        <v>2</v>
      </c>
      <c r="M427" s="154">
        <v>1</v>
      </c>
      <c r="N427" s="154">
        <v>1</v>
      </c>
      <c r="O427" s="154">
        <v>0</v>
      </c>
      <c r="P427" s="154">
        <v>0</v>
      </c>
      <c r="Q427" s="154">
        <v>0</v>
      </c>
      <c r="R427" s="155">
        <v>0</v>
      </c>
      <c r="U427" s="9">
        <f t="shared" si="92"/>
        <v>26</v>
      </c>
      <c r="V427" s="7" t="str">
        <f t="shared" si="84"/>
        <v>0000</v>
      </c>
      <c r="W427" s="7" t="str">
        <f t="shared" si="85"/>
        <v>1122</v>
      </c>
      <c r="X427" s="7" t="str">
        <f t="shared" si="86"/>
        <v>2211</v>
      </c>
      <c r="Y427" s="7" t="str">
        <f t="shared" si="87"/>
        <v>0000</v>
      </c>
    </row>
    <row r="428" spans="1:25" s="81" customFormat="1" ht="14.1" customHeight="1">
      <c r="A428" s="80"/>
      <c r="B428" s="84">
        <v>27</v>
      </c>
      <c r="C428" s="153">
        <v>0</v>
      </c>
      <c r="D428" s="154">
        <v>0</v>
      </c>
      <c r="E428" s="154">
        <v>0</v>
      </c>
      <c r="F428" s="154">
        <v>0</v>
      </c>
      <c r="G428" s="154">
        <v>0</v>
      </c>
      <c r="H428" s="154">
        <v>1</v>
      </c>
      <c r="I428" s="154">
        <v>1</v>
      </c>
      <c r="J428" s="154">
        <v>1</v>
      </c>
      <c r="K428" s="154">
        <v>1</v>
      </c>
      <c r="L428" s="154">
        <v>1</v>
      </c>
      <c r="M428" s="154">
        <v>1</v>
      </c>
      <c r="N428" s="154">
        <v>0</v>
      </c>
      <c r="O428" s="154">
        <v>0</v>
      </c>
      <c r="P428" s="154">
        <v>0</v>
      </c>
      <c r="Q428" s="154">
        <v>0</v>
      </c>
      <c r="R428" s="155">
        <v>0</v>
      </c>
      <c r="U428" s="9">
        <f t="shared" si="92"/>
        <v>27</v>
      </c>
      <c r="V428" s="7" t="str">
        <f t="shared" si="84"/>
        <v>0000</v>
      </c>
      <c r="W428" s="7" t="str">
        <f t="shared" si="85"/>
        <v>0111</v>
      </c>
      <c r="X428" s="7" t="str">
        <f t="shared" si="86"/>
        <v>1110</v>
      </c>
      <c r="Y428" s="7" t="str">
        <f t="shared" si="87"/>
        <v>0000</v>
      </c>
    </row>
    <row r="429" spans="1:25" s="81" customFormat="1" ht="14.1" customHeight="1">
      <c r="A429" s="80"/>
      <c r="B429" s="84">
        <v>28</v>
      </c>
      <c r="C429" s="153">
        <v>0</v>
      </c>
      <c r="D429" s="154">
        <v>0</v>
      </c>
      <c r="E429" s="154">
        <v>0</v>
      </c>
      <c r="F429" s="154">
        <v>0</v>
      </c>
      <c r="G429" s="154">
        <v>0</v>
      </c>
      <c r="H429" s="154">
        <v>0</v>
      </c>
      <c r="I429" s="154">
        <v>1</v>
      </c>
      <c r="J429" s="154">
        <v>1</v>
      </c>
      <c r="K429" s="154">
        <v>1</v>
      </c>
      <c r="L429" s="154">
        <v>1</v>
      </c>
      <c r="M429" s="154">
        <v>0</v>
      </c>
      <c r="N429" s="154">
        <v>0</v>
      </c>
      <c r="O429" s="154">
        <v>0</v>
      </c>
      <c r="P429" s="154">
        <v>0</v>
      </c>
      <c r="Q429" s="154">
        <v>0</v>
      </c>
      <c r="R429" s="155">
        <v>0</v>
      </c>
      <c r="U429" s="9">
        <f t="shared" si="92"/>
        <v>28</v>
      </c>
      <c r="V429" s="7" t="str">
        <f t="shared" si="84"/>
        <v>0000</v>
      </c>
      <c r="W429" s="7" t="str">
        <f t="shared" si="85"/>
        <v>0011</v>
      </c>
      <c r="X429" s="7" t="str">
        <f t="shared" si="86"/>
        <v>1100</v>
      </c>
      <c r="Y429" s="7" t="str">
        <f t="shared" si="87"/>
        <v>0000</v>
      </c>
    </row>
    <row r="430" spans="1:25" s="81" customFormat="1" ht="14.1" customHeight="1">
      <c r="A430" s="80"/>
      <c r="B430" s="84">
        <v>29</v>
      </c>
      <c r="C430" s="153">
        <v>0</v>
      </c>
      <c r="D430" s="154">
        <v>0</v>
      </c>
      <c r="E430" s="154">
        <v>0</v>
      </c>
      <c r="F430" s="154">
        <v>0</v>
      </c>
      <c r="G430" s="154">
        <v>0</v>
      </c>
      <c r="H430" s="154">
        <v>0</v>
      </c>
      <c r="I430" s="154">
        <v>0</v>
      </c>
      <c r="J430" s="154">
        <v>0</v>
      </c>
      <c r="K430" s="154">
        <v>0</v>
      </c>
      <c r="L430" s="154">
        <v>0</v>
      </c>
      <c r="M430" s="154">
        <v>0</v>
      </c>
      <c r="N430" s="154">
        <v>0</v>
      </c>
      <c r="O430" s="154">
        <v>0</v>
      </c>
      <c r="P430" s="154">
        <v>0</v>
      </c>
      <c r="Q430" s="154">
        <v>0</v>
      </c>
      <c r="R430" s="155">
        <v>0</v>
      </c>
      <c r="U430" s="9">
        <f t="shared" si="92"/>
        <v>29</v>
      </c>
      <c r="V430" s="7" t="str">
        <f t="shared" si="84"/>
        <v>0000</v>
      </c>
      <c r="W430" s="7" t="str">
        <f t="shared" si="85"/>
        <v>0000</v>
      </c>
      <c r="X430" s="7" t="str">
        <f t="shared" si="86"/>
        <v>0000</v>
      </c>
      <c r="Y430" s="7" t="str">
        <f t="shared" si="87"/>
        <v>0000</v>
      </c>
    </row>
    <row r="431" spans="1:25" s="81" customFormat="1" ht="14.1" customHeight="1">
      <c r="A431" s="80"/>
      <c r="B431" s="84">
        <v>30</v>
      </c>
      <c r="C431" s="153">
        <v>0</v>
      </c>
      <c r="D431" s="154">
        <v>0</v>
      </c>
      <c r="E431" s="154">
        <v>0</v>
      </c>
      <c r="F431" s="154">
        <v>0</v>
      </c>
      <c r="G431" s="154">
        <v>0</v>
      </c>
      <c r="H431" s="154">
        <v>0</v>
      </c>
      <c r="I431" s="154">
        <v>0</v>
      </c>
      <c r="J431" s="154">
        <v>0</v>
      </c>
      <c r="K431" s="154">
        <v>0</v>
      </c>
      <c r="L431" s="154">
        <v>0</v>
      </c>
      <c r="M431" s="154">
        <v>0</v>
      </c>
      <c r="N431" s="154">
        <v>0</v>
      </c>
      <c r="O431" s="154">
        <v>0</v>
      </c>
      <c r="P431" s="154">
        <v>0</v>
      </c>
      <c r="Q431" s="154">
        <v>0</v>
      </c>
      <c r="R431" s="155">
        <v>0</v>
      </c>
      <c r="U431" s="9">
        <f t="shared" si="92"/>
        <v>30</v>
      </c>
      <c r="V431" s="7" t="str">
        <f t="shared" si="84"/>
        <v>0000</v>
      </c>
      <c r="W431" s="7" t="str">
        <f t="shared" si="85"/>
        <v>0000</v>
      </c>
      <c r="X431" s="7" t="str">
        <f t="shared" si="86"/>
        <v>0000</v>
      </c>
      <c r="Y431" s="7" t="str">
        <f t="shared" si="87"/>
        <v>0000</v>
      </c>
    </row>
    <row r="432" spans="1:25" s="81" customFormat="1" ht="14.1" customHeight="1" thickBot="1">
      <c r="A432" s="80"/>
      <c r="B432" s="84">
        <v>31</v>
      </c>
      <c r="C432" s="147">
        <v>0</v>
      </c>
      <c r="D432" s="148">
        <v>0</v>
      </c>
      <c r="E432" s="148">
        <v>0</v>
      </c>
      <c r="F432" s="148">
        <v>0</v>
      </c>
      <c r="G432" s="148">
        <v>0</v>
      </c>
      <c r="H432" s="148">
        <v>0</v>
      </c>
      <c r="I432" s="148">
        <v>0</v>
      </c>
      <c r="J432" s="148">
        <v>0</v>
      </c>
      <c r="K432" s="148">
        <v>0</v>
      </c>
      <c r="L432" s="148">
        <v>0</v>
      </c>
      <c r="M432" s="148">
        <v>0</v>
      </c>
      <c r="N432" s="148">
        <v>0</v>
      </c>
      <c r="O432" s="148">
        <v>0</v>
      </c>
      <c r="P432" s="148">
        <v>0</v>
      </c>
      <c r="Q432" s="148">
        <v>0</v>
      </c>
      <c r="R432" s="149">
        <v>0</v>
      </c>
      <c r="U432" s="9">
        <f t="shared" si="92"/>
        <v>31</v>
      </c>
      <c r="V432" s="7" t="str">
        <f t="shared" si="84"/>
        <v>0000</v>
      </c>
      <c r="W432" s="7" t="str">
        <f t="shared" si="85"/>
        <v>0000</v>
      </c>
      <c r="X432" s="7" t="str">
        <f t="shared" si="86"/>
        <v>0000</v>
      </c>
      <c r="Y432" s="7" t="str">
        <f t="shared" si="87"/>
        <v>0000</v>
      </c>
    </row>
    <row r="433" spans="1:25" s="81" customFormat="1">
      <c r="A433" s="80"/>
      <c r="U433" s="88"/>
    </row>
    <row r="434" spans="1:25" s="81" customFormat="1">
      <c r="A434" s="80"/>
      <c r="U434" s="85"/>
    </row>
    <row r="435" spans="1:25" s="81" customFormat="1">
      <c r="A435" s="80" t="s">
        <v>420</v>
      </c>
      <c r="U435" s="8" t="str">
        <f>A435</f>
        <v>13.Landscape Multi Pattern 2  ( 270 degree clockwise )</v>
      </c>
    </row>
    <row r="436" spans="1:25" s="81" customFormat="1" ht="15" thickBot="1">
      <c r="A436" s="80"/>
      <c r="B436" s="84"/>
      <c r="C436" s="84">
        <v>0</v>
      </c>
      <c r="D436" s="84">
        <v>1</v>
      </c>
      <c r="E436" s="84">
        <v>2</v>
      </c>
      <c r="F436" s="84">
        <v>3</v>
      </c>
      <c r="G436" s="84">
        <v>4</v>
      </c>
      <c r="H436" s="84">
        <v>5</v>
      </c>
      <c r="I436" s="84">
        <v>6</v>
      </c>
      <c r="J436" s="84">
        <v>7</v>
      </c>
      <c r="K436" s="84">
        <v>8</v>
      </c>
      <c r="L436" s="84">
        <v>9</v>
      </c>
      <c r="M436" s="84">
        <v>10</v>
      </c>
      <c r="N436" s="84">
        <v>11</v>
      </c>
      <c r="O436" s="84">
        <v>12</v>
      </c>
      <c r="P436" s="84">
        <v>13</v>
      </c>
      <c r="Q436" s="84">
        <v>14</v>
      </c>
      <c r="R436" s="84">
        <v>15</v>
      </c>
      <c r="U436" s="85"/>
      <c r="V436" s="7" t="str">
        <f t="shared" ref="V436" si="93">C436&amp;D436&amp;E436&amp;F436</f>
        <v>0123</v>
      </c>
      <c r="W436" s="7" t="str">
        <f t="shared" ref="W436" si="94">G436&amp;H436&amp;I436&amp;J436</f>
        <v>4567</v>
      </c>
      <c r="X436" s="7" t="str">
        <f t="shared" ref="X436" si="95">K436&amp;L436&amp;M436&amp;N436</f>
        <v>891011</v>
      </c>
      <c r="Y436" s="7" t="str">
        <f t="shared" ref="Y436" si="96">O436&amp;P436&amp;Q436&amp;R436</f>
        <v>12131415</v>
      </c>
    </row>
    <row r="437" spans="1:25" s="81" customFormat="1" ht="14.1" customHeight="1">
      <c r="A437" s="80"/>
      <c r="B437" s="84">
        <v>0</v>
      </c>
      <c r="C437" s="193">
        <v>0</v>
      </c>
      <c r="D437" s="194">
        <v>0</v>
      </c>
      <c r="E437" s="194">
        <v>0</v>
      </c>
      <c r="F437" s="194">
        <v>0</v>
      </c>
      <c r="G437" s="194">
        <v>0</v>
      </c>
      <c r="H437" s="194">
        <v>0</v>
      </c>
      <c r="I437" s="194">
        <v>0</v>
      </c>
      <c r="J437" s="194">
        <v>0</v>
      </c>
      <c r="K437" s="194">
        <v>0</v>
      </c>
      <c r="L437" s="194">
        <v>0</v>
      </c>
      <c r="M437" s="194">
        <v>0</v>
      </c>
      <c r="N437" s="194">
        <v>0</v>
      </c>
      <c r="O437" s="194">
        <v>0</v>
      </c>
      <c r="P437" s="194">
        <v>0</v>
      </c>
      <c r="Q437" s="194">
        <v>0</v>
      </c>
      <c r="R437" s="195">
        <v>0</v>
      </c>
      <c r="U437" s="9">
        <f t="shared" ref="U437:U452" si="97">B437</f>
        <v>0</v>
      </c>
      <c r="V437" s="7" t="str">
        <f t="shared" si="84"/>
        <v>0000</v>
      </c>
      <c r="W437" s="7" t="str">
        <f t="shared" si="85"/>
        <v>0000</v>
      </c>
      <c r="X437" s="7" t="str">
        <f t="shared" si="86"/>
        <v>0000</v>
      </c>
      <c r="Y437" s="7" t="str">
        <f t="shared" si="87"/>
        <v>0000</v>
      </c>
    </row>
    <row r="438" spans="1:25" s="81" customFormat="1" ht="14.1" customHeight="1">
      <c r="A438" s="80"/>
      <c r="B438" s="84">
        <v>1</v>
      </c>
      <c r="C438" s="196">
        <v>0</v>
      </c>
      <c r="D438" s="197">
        <v>0</v>
      </c>
      <c r="E438" s="197">
        <v>0</v>
      </c>
      <c r="F438" s="197">
        <v>0</v>
      </c>
      <c r="G438" s="197">
        <v>0</v>
      </c>
      <c r="H438" s="197">
        <v>0</v>
      </c>
      <c r="I438" s="197">
        <v>0</v>
      </c>
      <c r="J438" s="197">
        <v>0</v>
      </c>
      <c r="K438" s="197">
        <v>0</v>
      </c>
      <c r="L438" s="197">
        <v>0</v>
      </c>
      <c r="M438" s="197">
        <v>0</v>
      </c>
      <c r="N438" s="197">
        <v>0</v>
      </c>
      <c r="O438" s="197">
        <v>0</v>
      </c>
      <c r="P438" s="197">
        <v>0</v>
      </c>
      <c r="Q438" s="197">
        <v>0</v>
      </c>
      <c r="R438" s="198">
        <v>0</v>
      </c>
      <c r="U438" s="9">
        <f t="shared" si="97"/>
        <v>1</v>
      </c>
      <c r="V438" s="7" t="str">
        <f t="shared" si="84"/>
        <v>0000</v>
      </c>
      <c r="W438" s="7" t="str">
        <f t="shared" si="85"/>
        <v>0000</v>
      </c>
      <c r="X438" s="7" t="str">
        <f t="shared" si="86"/>
        <v>0000</v>
      </c>
      <c r="Y438" s="7" t="str">
        <f t="shared" si="87"/>
        <v>0000</v>
      </c>
    </row>
    <row r="439" spans="1:25" s="81" customFormat="1" ht="14.1" customHeight="1">
      <c r="A439" s="80"/>
      <c r="B439" s="84">
        <v>2</v>
      </c>
      <c r="C439" s="196">
        <v>1</v>
      </c>
      <c r="D439" s="197">
        <v>1</v>
      </c>
      <c r="E439" s="197">
        <v>1</v>
      </c>
      <c r="F439" s="197">
        <v>1</v>
      </c>
      <c r="G439" s="197">
        <v>1</v>
      </c>
      <c r="H439" s="197">
        <v>1</v>
      </c>
      <c r="I439" s="197">
        <v>1</v>
      </c>
      <c r="J439" s="197">
        <v>1</v>
      </c>
      <c r="K439" s="197">
        <v>1</v>
      </c>
      <c r="L439" s="197">
        <v>1</v>
      </c>
      <c r="M439" s="197">
        <v>0</v>
      </c>
      <c r="N439" s="197">
        <v>0</v>
      </c>
      <c r="O439" s="197">
        <v>0</v>
      </c>
      <c r="P439" s="197">
        <v>0</v>
      </c>
      <c r="Q439" s="197">
        <v>0</v>
      </c>
      <c r="R439" s="198">
        <v>0</v>
      </c>
      <c r="U439" s="9">
        <f t="shared" si="97"/>
        <v>2</v>
      </c>
      <c r="V439" s="7" t="str">
        <f t="shared" si="84"/>
        <v>1111</v>
      </c>
      <c r="W439" s="7" t="str">
        <f t="shared" si="85"/>
        <v>1111</v>
      </c>
      <c r="X439" s="7" t="str">
        <f t="shared" si="86"/>
        <v>1100</v>
      </c>
      <c r="Y439" s="7" t="str">
        <f t="shared" si="87"/>
        <v>0000</v>
      </c>
    </row>
    <row r="440" spans="1:25" s="81" customFormat="1" ht="14.1" customHeight="1">
      <c r="A440" s="80"/>
      <c r="B440" s="84">
        <v>3</v>
      </c>
      <c r="C440" s="196">
        <v>1</v>
      </c>
      <c r="D440" s="197">
        <v>1</v>
      </c>
      <c r="E440" s="197">
        <v>1</v>
      </c>
      <c r="F440" s="197">
        <v>1</v>
      </c>
      <c r="G440" s="197">
        <v>1</v>
      </c>
      <c r="H440" s="197">
        <v>1</v>
      </c>
      <c r="I440" s="197">
        <v>1</v>
      </c>
      <c r="J440" s="197">
        <v>1</v>
      </c>
      <c r="K440" s="197">
        <v>1</v>
      </c>
      <c r="L440" s="197">
        <v>1</v>
      </c>
      <c r="M440" s="197">
        <v>1</v>
      </c>
      <c r="N440" s="197">
        <v>0</v>
      </c>
      <c r="O440" s="197">
        <v>0</v>
      </c>
      <c r="P440" s="197">
        <v>0</v>
      </c>
      <c r="Q440" s="197">
        <v>0</v>
      </c>
      <c r="R440" s="198">
        <v>0</v>
      </c>
      <c r="U440" s="9">
        <f t="shared" si="97"/>
        <v>3</v>
      </c>
      <c r="V440" s="7" t="str">
        <f t="shared" si="84"/>
        <v>1111</v>
      </c>
      <c r="W440" s="7" t="str">
        <f t="shared" si="85"/>
        <v>1111</v>
      </c>
      <c r="X440" s="7" t="str">
        <f t="shared" si="86"/>
        <v>1110</v>
      </c>
      <c r="Y440" s="7" t="str">
        <f t="shared" si="87"/>
        <v>0000</v>
      </c>
    </row>
    <row r="441" spans="1:25" s="81" customFormat="1" ht="14.1" customHeight="1">
      <c r="A441" s="80"/>
      <c r="B441" s="84">
        <v>4</v>
      </c>
      <c r="C441" s="196">
        <v>1</v>
      </c>
      <c r="D441" s="197">
        <v>1</v>
      </c>
      <c r="E441" s="197">
        <v>1</v>
      </c>
      <c r="F441" s="197">
        <v>2</v>
      </c>
      <c r="G441" s="197">
        <v>2</v>
      </c>
      <c r="H441" s="197">
        <v>2</v>
      </c>
      <c r="I441" s="197">
        <v>2</v>
      </c>
      <c r="J441" s="197">
        <v>2</v>
      </c>
      <c r="K441" s="197">
        <v>2</v>
      </c>
      <c r="L441" s="197">
        <v>2</v>
      </c>
      <c r="M441" s="197">
        <v>1</v>
      </c>
      <c r="N441" s="197">
        <v>1</v>
      </c>
      <c r="O441" s="197">
        <v>0</v>
      </c>
      <c r="P441" s="197">
        <v>0</v>
      </c>
      <c r="Q441" s="197">
        <v>0</v>
      </c>
      <c r="R441" s="198">
        <v>0</v>
      </c>
      <c r="U441" s="9">
        <f t="shared" si="97"/>
        <v>4</v>
      </c>
      <c r="V441" s="7" t="str">
        <f t="shared" si="84"/>
        <v>1112</v>
      </c>
      <c r="W441" s="7" t="str">
        <f t="shared" si="85"/>
        <v>2222</v>
      </c>
      <c r="X441" s="7" t="str">
        <f t="shared" si="86"/>
        <v>2211</v>
      </c>
      <c r="Y441" s="7" t="str">
        <f t="shared" si="87"/>
        <v>0000</v>
      </c>
    </row>
    <row r="442" spans="1:25" s="81" customFormat="1" ht="14.1" customHeight="1">
      <c r="A442" s="80"/>
      <c r="B442" s="84">
        <v>5</v>
      </c>
      <c r="C442" s="196">
        <v>2</v>
      </c>
      <c r="D442" s="197">
        <v>2</v>
      </c>
      <c r="E442" s="197">
        <v>2</v>
      </c>
      <c r="F442" s="197">
        <v>2</v>
      </c>
      <c r="G442" s="197">
        <v>2</v>
      </c>
      <c r="H442" s="197">
        <v>2</v>
      </c>
      <c r="I442" s="197">
        <v>2</v>
      </c>
      <c r="J442" s="197">
        <v>2</v>
      </c>
      <c r="K442" s="197">
        <v>2</v>
      </c>
      <c r="L442" s="197">
        <v>2</v>
      </c>
      <c r="M442" s="197">
        <v>2</v>
      </c>
      <c r="N442" s="197">
        <v>1</v>
      </c>
      <c r="O442" s="197">
        <v>0</v>
      </c>
      <c r="P442" s="197">
        <v>0</v>
      </c>
      <c r="Q442" s="197">
        <v>0</v>
      </c>
      <c r="R442" s="198">
        <v>0</v>
      </c>
      <c r="U442" s="9">
        <f t="shared" si="97"/>
        <v>5</v>
      </c>
      <c r="V442" s="7" t="str">
        <f t="shared" si="84"/>
        <v>2222</v>
      </c>
      <c r="W442" s="7" t="str">
        <f t="shared" si="85"/>
        <v>2222</v>
      </c>
      <c r="X442" s="7" t="str">
        <f t="shared" si="86"/>
        <v>2221</v>
      </c>
      <c r="Y442" s="7" t="str">
        <f t="shared" si="87"/>
        <v>0000</v>
      </c>
    </row>
    <row r="443" spans="1:25" s="81" customFormat="1" ht="14.1" customHeight="1">
      <c r="A443" s="80"/>
      <c r="B443" s="84">
        <v>6</v>
      </c>
      <c r="C443" s="196">
        <v>2</v>
      </c>
      <c r="D443" s="197">
        <v>2</v>
      </c>
      <c r="E443" s="197">
        <v>2</v>
      </c>
      <c r="F443" s="197">
        <v>3</v>
      </c>
      <c r="G443" s="197">
        <v>3</v>
      </c>
      <c r="H443" s="197">
        <v>3</v>
      </c>
      <c r="I443" s="197">
        <v>3</v>
      </c>
      <c r="J443" s="197">
        <v>3</v>
      </c>
      <c r="K443" s="197">
        <v>3</v>
      </c>
      <c r="L443" s="197">
        <v>2</v>
      </c>
      <c r="M443" s="197">
        <v>2</v>
      </c>
      <c r="N443" s="197">
        <v>2</v>
      </c>
      <c r="O443" s="197">
        <v>1</v>
      </c>
      <c r="P443" s="197">
        <v>0</v>
      </c>
      <c r="Q443" s="197">
        <v>0</v>
      </c>
      <c r="R443" s="198">
        <v>0</v>
      </c>
      <c r="U443" s="9">
        <f t="shared" si="97"/>
        <v>6</v>
      </c>
      <c r="V443" s="7" t="str">
        <f t="shared" si="84"/>
        <v>2223</v>
      </c>
      <c r="W443" s="7" t="str">
        <f t="shared" si="85"/>
        <v>3333</v>
      </c>
      <c r="X443" s="7" t="str">
        <f t="shared" si="86"/>
        <v>3222</v>
      </c>
      <c r="Y443" s="7" t="str">
        <f t="shared" si="87"/>
        <v>1000</v>
      </c>
    </row>
    <row r="444" spans="1:25" s="81" customFormat="1" ht="14.1" customHeight="1">
      <c r="A444" s="80"/>
      <c r="B444" s="84">
        <v>7</v>
      </c>
      <c r="C444" s="196">
        <v>3</v>
      </c>
      <c r="D444" s="197">
        <v>3</v>
      </c>
      <c r="E444" s="197">
        <v>3</v>
      </c>
      <c r="F444" s="197">
        <v>3</v>
      </c>
      <c r="G444" s="197">
        <v>3</v>
      </c>
      <c r="H444" s="197">
        <v>3</v>
      </c>
      <c r="I444" s="197">
        <v>3</v>
      </c>
      <c r="J444" s="197">
        <v>3</v>
      </c>
      <c r="K444" s="197">
        <v>3</v>
      </c>
      <c r="L444" s="197">
        <v>3</v>
      </c>
      <c r="M444" s="197">
        <v>2</v>
      </c>
      <c r="N444" s="197">
        <v>2</v>
      </c>
      <c r="O444" s="197">
        <v>1</v>
      </c>
      <c r="P444" s="197">
        <v>0</v>
      </c>
      <c r="Q444" s="197">
        <v>0</v>
      </c>
      <c r="R444" s="198">
        <v>0</v>
      </c>
      <c r="U444" s="9">
        <f t="shared" si="97"/>
        <v>7</v>
      </c>
      <c r="V444" s="7" t="str">
        <f t="shared" si="84"/>
        <v>3333</v>
      </c>
      <c r="W444" s="7" t="str">
        <f t="shared" si="85"/>
        <v>3333</v>
      </c>
      <c r="X444" s="7" t="str">
        <f t="shared" si="86"/>
        <v>3322</v>
      </c>
      <c r="Y444" s="7" t="str">
        <f t="shared" si="87"/>
        <v>1000</v>
      </c>
    </row>
    <row r="445" spans="1:25" s="81" customFormat="1" ht="14.1" customHeight="1">
      <c r="A445" s="80"/>
      <c r="B445" s="84">
        <v>8</v>
      </c>
      <c r="C445" s="196">
        <v>3</v>
      </c>
      <c r="D445" s="197">
        <v>3</v>
      </c>
      <c r="E445" s="197">
        <v>3</v>
      </c>
      <c r="F445" s="197">
        <v>3</v>
      </c>
      <c r="G445" s="197">
        <v>4</v>
      </c>
      <c r="H445" s="197">
        <v>4</v>
      </c>
      <c r="I445" s="197">
        <v>4</v>
      </c>
      <c r="J445" s="197">
        <v>4</v>
      </c>
      <c r="K445" s="197">
        <v>4</v>
      </c>
      <c r="L445" s="197">
        <v>3</v>
      </c>
      <c r="M445" s="197">
        <v>3</v>
      </c>
      <c r="N445" s="197">
        <v>2</v>
      </c>
      <c r="O445" s="197">
        <v>2</v>
      </c>
      <c r="P445" s="197">
        <v>1</v>
      </c>
      <c r="Q445" s="197">
        <v>0</v>
      </c>
      <c r="R445" s="198">
        <v>0</v>
      </c>
      <c r="U445" s="9">
        <f t="shared" si="97"/>
        <v>8</v>
      </c>
      <c r="V445" s="7" t="str">
        <f t="shared" si="84"/>
        <v>3333</v>
      </c>
      <c r="W445" s="7" t="str">
        <f t="shared" si="85"/>
        <v>4444</v>
      </c>
      <c r="X445" s="7" t="str">
        <f t="shared" si="86"/>
        <v>4332</v>
      </c>
      <c r="Y445" s="7" t="str">
        <f t="shared" si="87"/>
        <v>2100</v>
      </c>
    </row>
    <row r="446" spans="1:25" s="81" customFormat="1" ht="14.1" customHeight="1">
      <c r="A446" s="80"/>
      <c r="B446" s="84">
        <v>9</v>
      </c>
      <c r="C446" s="196">
        <v>3</v>
      </c>
      <c r="D446" s="197">
        <v>3</v>
      </c>
      <c r="E446" s="197">
        <v>3</v>
      </c>
      <c r="F446" s="197">
        <v>4</v>
      </c>
      <c r="G446" s="197">
        <v>4</v>
      </c>
      <c r="H446" s="197">
        <v>4</v>
      </c>
      <c r="I446" s="197">
        <v>4</v>
      </c>
      <c r="J446" s="197">
        <v>4</v>
      </c>
      <c r="K446" s="197">
        <v>4</v>
      </c>
      <c r="L446" s="197">
        <v>4</v>
      </c>
      <c r="M446" s="197">
        <v>3</v>
      </c>
      <c r="N446" s="197">
        <v>3</v>
      </c>
      <c r="O446" s="197">
        <v>2</v>
      </c>
      <c r="P446" s="197">
        <v>1</v>
      </c>
      <c r="Q446" s="197">
        <v>0</v>
      </c>
      <c r="R446" s="198">
        <v>0</v>
      </c>
      <c r="U446" s="9">
        <f t="shared" si="97"/>
        <v>9</v>
      </c>
      <c r="V446" s="7" t="str">
        <f t="shared" si="84"/>
        <v>3334</v>
      </c>
      <c r="W446" s="7" t="str">
        <f t="shared" si="85"/>
        <v>4444</v>
      </c>
      <c r="X446" s="7" t="str">
        <f t="shared" si="86"/>
        <v>4433</v>
      </c>
      <c r="Y446" s="7" t="str">
        <f t="shared" si="87"/>
        <v>2100</v>
      </c>
    </row>
    <row r="447" spans="1:25" s="81" customFormat="1" ht="14.1" customHeight="1">
      <c r="A447" s="80"/>
      <c r="B447" s="84">
        <v>10</v>
      </c>
      <c r="C447" s="196">
        <v>3</v>
      </c>
      <c r="D447" s="197">
        <v>3</v>
      </c>
      <c r="E447" s="197">
        <v>4</v>
      </c>
      <c r="F447" s="197">
        <v>4</v>
      </c>
      <c r="G447" s="197">
        <v>4</v>
      </c>
      <c r="H447" s="197">
        <v>5</v>
      </c>
      <c r="I447" s="197">
        <v>5</v>
      </c>
      <c r="J447" s="197">
        <v>5</v>
      </c>
      <c r="K447" s="197">
        <v>5</v>
      </c>
      <c r="L447" s="197">
        <v>4</v>
      </c>
      <c r="M447" s="197">
        <v>4</v>
      </c>
      <c r="N447" s="197">
        <v>3</v>
      </c>
      <c r="O447" s="197">
        <v>2</v>
      </c>
      <c r="P447" s="197">
        <v>2</v>
      </c>
      <c r="Q447" s="197">
        <v>1</v>
      </c>
      <c r="R447" s="198">
        <v>0</v>
      </c>
      <c r="U447" s="9">
        <f t="shared" si="97"/>
        <v>10</v>
      </c>
      <c r="V447" s="7" t="str">
        <f t="shared" si="84"/>
        <v>3344</v>
      </c>
      <c r="W447" s="7" t="str">
        <f t="shared" si="85"/>
        <v>4555</v>
      </c>
      <c r="X447" s="7" t="str">
        <f t="shared" si="86"/>
        <v>5443</v>
      </c>
      <c r="Y447" s="7" t="str">
        <f t="shared" si="87"/>
        <v>2210</v>
      </c>
    </row>
    <row r="448" spans="1:25" s="81" customFormat="1" ht="14.1" customHeight="1">
      <c r="A448" s="80"/>
      <c r="B448" s="84">
        <v>11</v>
      </c>
      <c r="C448" s="196">
        <v>3</v>
      </c>
      <c r="D448" s="197">
        <v>4</v>
      </c>
      <c r="E448" s="197">
        <v>4</v>
      </c>
      <c r="F448" s="197">
        <v>4</v>
      </c>
      <c r="G448" s="197">
        <v>5</v>
      </c>
      <c r="H448" s="197">
        <v>5</v>
      </c>
      <c r="I448" s="197">
        <v>5</v>
      </c>
      <c r="J448" s="197">
        <v>5</v>
      </c>
      <c r="K448" s="197">
        <v>5</v>
      </c>
      <c r="L448" s="197">
        <v>5</v>
      </c>
      <c r="M448" s="197">
        <v>4</v>
      </c>
      <c r="N448" s="197">
        <v>3</v>
      </c>
      <c r="O448" s="197">
        <v>3</v>
      </c>
      <c r="P448" s="197">
        <v>2</v>
      </c>
      <c r="Q448" s="197">
        <v>1</v>
      </c>
      <c r="R448" s="198">
        <v>0</v>
      </c>
      <c r="U448" s="9">
        <f t="shared" si="97"/>
        <v>11</v>
      </c>
      <c r="V448" s="7" t="str">
        <f t="shared" si="84"/>
        <v>3444</v>
      </c>
      <c r="W448" s="7" t="str">
        <f t="shared" si="85"/>
        <v>5555</v>
      </c>
      <c r="X448" s="7" t="str">
        <f t="shared" si="86"/>
        <v>5543</v>
      </c>
      <c r="Y448" s="7" t="str">
        <f t="shared" si="87"/>
        <v>3210</v>
      </c>
    </row>
    <row r="449" spans="1:25" s="81" customFormat="1" ht="14.1" customHeight="1">
      <c r="A449" s="80"/>
      <c r="B449" s="84">
        <v>12</v>
      </c>
      <c r="C449" s="196">
        <v>3</v>
      </c>
      <c r="D449" s="197">
        <v>4</v>
      </c>
      <c r="E449" s="197">
        <v>4</v>
      </c>
      <c r="F449" s="197">
        <v>5</v>
      </c>
      <c r="G449" s="197">
        <v>5</v>
      </c>
      <c r="H449" s="197">
        <v>5</v>
      </c>
      <c r="I449" s="197">
        <v>6</v>
      </c>
      <c r="J449" s="197">
        <v>6</v>
      </c>
      <c r="K449" s="197">
        <v>6</v>
      </c>
      <c r="L449" s="197">
        <v>5</v>
      </c>
      <c r="M449" s="197">
        <v>5</v>
      </c>
      <c r="N449" s="197">
        <v>4</v>
      </c>
      <c r="O449" s="197">
        <v>3</v>
      </c>
      <c r="P449" s="197">
        <v>2</v>
      </c>
      <c r="Q449" s="197">
        <v>1</v>
      </c>
      <c r="R449" s="198">
        <v>0</v>
      </c>
      <c r="U449" s="9">
        <f t="shared" si="97"/>
        <v>12</v>
      </c>
      <c r="V449" s="7" t="str">
        <f t="shared" si="84"/>
        <v>3445</v>
      </c>
      <c r="W449" s="7" t="str">
        <f t="shared" si="85"/>
        <v>5566</v>
      </c>
      <c r="X449" s="7" t="str">
        <f t="shared" si="86"/>
        <v>6554</v>
      </c>
      <c r="Y449" s="7" t="str">
        <f t="shared" si="87"/>
        <v>3210</v>
      </c>
    </row>
    <row r="450" spans="1:25" s="81" customFormat="1" ht="14.1" customHeight="1">
      <c r="A450" s="80"/>
      <c r="B450" s="84">
        <v>13</v>
      </c>
      <c r="C450" s="196">
        <v>4</v>
      </c>
      <c r="D450" s="197">
        <v>4</v>
      </c>
      <c r="E450" s="197">
        <v>5</v>
      </c>
      <c r="F450" s="197">
        <v>5</v>
      </c>
      <c r="G450" s="197">
        <v>5</v>
      </c>
      <c r="H450" s="197">
        <v>6</v>
      </c>
      <c r="I450" s="197">
        <v>6</v>
      </c>
      <c r="J450" s="197">
        <v>6</v>
      </c>
      <c r="K450" s="197">
        <v>6</v>
      </c>
      <c r="L450" s="197">
        <v>5</v>
      </c>
      <c r="M450" s="197">
        <v>5</v>
      </c>
      <c r="N450" s="197">
        <v>4</v>
      </c>
      <c r="O450" s="197">
        <v>3</v>
      </c>
      <c r="P450" s="197">
        <v>2</v>
      </c>
      <c r="Q450" s="197">
        <v>1</v>
      </c>
      <c r="R450" s="198">
        <v>0</v>
      </c>
      <c r="U450" s="9">
        <f t="shared" si="97"/>
        <v>13</v>
      </c>
      <c r="V450" s="7" t="str">
        <f t="shared" si="84"/>
        <v>4455</v>
      </c>
      <c r="W450" s="7" t="str">
        <f t="shared" si="85"/>
        <v>5666</v>
      </c>
      <c r="X450" s="7" t="str">
        <f t="shared" si="86"/>
        <v>6554</v>
      </c>
      <c r="Y450" s="7" t="str">
        <f t="shared" si="87"/>
        <v>3210</v>
      </c>
    </row>
    <row r="451" spans="1:25" s="81" customFormat="1" ht="14.1" customHeight="1">
      <c r="A451" s="80"/>
      <c r="B451" s="84">
        <v>14</v>
      </c>
      <c r="C451" s="196">
        <v>4</v>
      </c>
      <c r="D451" s="197">
        <v>4</v>
      </c>
      <c r="E451" s="197">
        <v>5</v>
      </c>
      <c r="F451" s="197">
        <v>5</v>
      </c>
      <c r="G451" s="197">
        <v>6</v>
      </c>
      <c r="H451" s="197">
        <v>6</v>
      </c>
      <c r="I451" s="197">
        <v>6</v>
      </c>
      <c r="J451" s="197">
        <v>6</v>
      </c>
      <c r="K451" s="197">
        <v>6</v>
      </c>
      <c r="L451" s="197">
        <v>6</v>
      </c>
      <c r="M451" s="197">
        <v>5</v>
      </c>
      <c r="N451" s="197">
        <v>4</v>
      </c>
      <c r="O451" s="197">
        <v>3</v>
      </c>
      <c r="P451" s="197">
        <v>2</v>
      </c>
      <c r="Q451" s="197">
        <v>1</v>
      </c>
      <c r="R451" s="198">
        <v>0</v>
      </c>
      <c r="U451" s="9">
        <f t="shared" si="97"/>
        <v>14</v>
      </c>
      <c r="V451" s="7" t="str">
        <f t="shared" si="84"/>
        <v>4455</v>
      </c>
      <c r="W451" s="7" t="str">
        <f t="shared" si="85"/>
        <v>6666</v>
      </c>
      <c r="X451" s="7" t="str">
        <f t="shared" si="86"/>
        <v>6654</v>
      </c>
      <c r="Y451" s="7" t="str">
        <f t="shared" si="87"/>
        <v>3210</v>
      </c>
    </row>
    <row r="452" spans="1:25" s="81" customFormat="1" ht="14.1" customHeight="1">
      <c r="A452" s="80"/>
      <c r="B452" s="84">
        <v>15</v>
      </c>
      <c r="C452" s="196">
        <v>4</v>
      </c>
      <c r="D452" s="197">
        <v>4</v>
      </c>
      <c r="E452" s="197">
        <v>5</v>
      </c>
      <c r="F452" s="197">
        <v>5</v>
      </c>
      <c r="G452" s="197">
        <v>6</v>
      </c>
      <c r="H452" s="197">
        <v>6</v>
      </c>
      <c r="I452" s="197">
        <v>6</v>
      </c>
      <c r="J452" s="197">
        <v>6</v>
      </c>
      <c r="K452" s="197">
        <v>6</v>
      </c>
      <c r="L452" s="197">
        <v>6</v>
      </c>
      <c r="M452" s="197">
        <v>5</v>
      </c>
      <c r="N452" s="197">
        <v>4</v>
      </c>
      <c r="O452" s="197">
        <v>3</v>
      </c>
      <c r="P452" s="197">
        <v>2</v>
      </c>
      <c r="Q452" s="197">
        <v>1</v>
      </c>
      <c r="R452" s="198">
        <v>0</v>
      </c>
      <c r="U452" s="9">
        <f t="shared" si="97"/>
        <v>15</v>
      </c>
      <c r="V452" s="7" t="str">
        <f t="shared" si="84"/>
        <v>4455</v>
      </c>
      <c r="W452" s="7" t="str">
        <f t="shared" si="85"/>
        <v>6666</v>
      </c>
      <c r="X452" s="7" t="str">
        <f t="shared" si="86"/>
        <v>6654</v>
      </c>
      <c r="Y452" s="7" t="str">
        <f t="shared" si="87"/>
        <v>3210</v>
      </c>
    </row>
    <row r="453" spans="1:25" s="81" customFormat="1">
      <c r="A453" s="80"/>
      <c r="B453" s="84">
        <v>16</v>
      </c>
      <c r="C453" s="199">
        <v>4</v>
      </c>
      <c r="D453" s="197">
        <v>4</v>
      </c>
      <c r="E453" s="197">
        <v>5</v>
      </c>
      <c r="F453" s="197">
        <v>5</v>
      </c>
      <c r="G453" s="197">
        <v>6</v>
      </c>
      <c r="H453" s="197">
        <v>6</v>
      </c>
      <c r="I453" s="197">
        <v>6</v>
      </c>
      <c r="J453" s="197">
        <v>6</v>
      </c>
      <c r="K453" s="197">
        <v>6</v>
      </c>
      <c r="L453" s="197">
        <v>6</v>
      </c>
      <c r="M453" s="197">
        <v>5</v>
      </c>
      <c r="N453" s="197">
        <v>4</v>
      </c>
      <c r="O453" s="197">
        <v>3</v>
      </c>
      <c r="P453" s="197">
        <v>2</v>
      </c>
      <c r="Q453" s="197">
        <v>1</v>
      </c>
      <c r="R453" s="200">
        <v>0</v>
      </c>
      <c r="U453" s="9">
        <f>B453</f>
        <v>16</v>
      </c>
      <c r="V453" s="7" t="str">
        <f t="shared" si="84"/>
        <v>4455</v>
      </c>
      <c r="W453" s="7" t="str">
        <f t="shared" si="85"/>
        <v>6666</v>
      </c>
      <c r="X453" s="7" t="str">
        <f t="shared" si="86"/>
        <v>6654</v>
      </c>
      <c r="Y453" s="7" t="str">
        <f t="shared" si="87"/>
        <v>3210</v>
      </c>
    </row>
    <row r="454" spans="1:25" s="81" customFormat="1">
      <c r="A454" s="80"/>
      <c r="B454" s="84">
        <v>17</v>
      </c>
      <c r="C454" s="196">
        <v>4</v>
      </c>
      <c r="D454" s="197">
        <v>4</v>
      </c>
      <c r="E454" s="197">
        <v>5</v>
      </c>
      <c r="F454" s="197">
        <v>5</v>
      </c>
      <c r="G454" s="197">
        <v>6</v>
      </c>
      <c r="H454" s="197">
        <v>6</v>
      </c>
      <c r="I454" s="197">
        <v>6</v>
      </c>
      <c r="J454" s="197">
        <v>6</v>
      </c>
      <c r="K454" s="197">
        <v>6</v>
      </c>
      <c r="L454" s="197">
        <v>6</v>
      </c>
      <c r="M454" s="197">
        <v>5</v>
      </c>
      <c r="N454" s="197">
        <v>4</v>
      </c>
      <c r="O454" s="197">
        <v>3</v>
      </c>
      <c r="P454" s="197">
        <v>2</v>
      </c>
      <c r="Q454" s="197">
        <v>1</v>
      </c>
      <c r="R454" s="198">
        <v>0</v>
      </c>
      <c r="U454" s="9">
        <f>B454</f>
        <v>17</v>
      </c>
      <c r="V454" s="7" t="str">
        <f t="shared" si="84"/>
        <v>4455</v>
      </c>
      <c r="W454" s="7" t="str">
        <f t="shared" si="85"/>
        <v>6666</v>
      </c>
      <c r="X454" s="7" t="str">
        <f t="shared" si="86"/>
        <v>6654</v>
      </c>
      <c r="Y454" s="7" t="str">
        <f t="shared" si="87"/>
        <v>3210</v>
      </c>
    </row>
    <row r="455" spans="1:25" s="81" customFormat="1">
      <c r="A455" s="80"/>
      <c r="B455" s="84">
        <v>18</v>
      </c>
      <c r="C455" s="196">
        <v>4</v>
      </c>
      <c r="D455" s="197">
        <v>4</v>
      </c>
      <c r="E455" s="197">
        <v>5</v>
      </c>
      <c r="F455" s="197">
        <v>5</v>
      </c>
      <c r="G455" s="197">
        <v>5</v>
      </c>
      <c r="H455" s="197">
        <v>6</v>
      </c>
      <c r="I455" s="197">
        <v>6</v>
      </c>
      <c r="J455" s="197">
        <v>6</v>
      </c>
      <c r="K455" s="197">
        <v>6</v>
      </c>
      <c r="L455" s="197">
        <v>5</v>
      </c>
      <c r="M455" s="197">
        <v>5</v>
      </c>
      <c r="N455" s="197">
        <v>4</v>
      </c>
      <c r="O455" s="197">
        <v>3</v>
      </c>
      <c r="P455" s="197">
        <v>2</v>
      </c>
      <c r="Q455" s="197">
        <v>1</v>
      </c>
      <c r="R455" s="198">
        <v>0</v>
      </c>
      <c r="U455" s="9">
        <f>B455</f>
        <v>18</v>
      </c>
      <c r="V455" s="7" t="str">
        <f t="shared" si="84"/>
        <v>4455</v>
      </c>
      <c r="W455" s="7" t="str">
        <f t="shared" si="85"/>
        <v>5666</v>
      </c>
      <c r="X455" s="7" t="str">
        <f t="shared" si="86"/>
        <v>6554</v>
      </c>
      <c r="Y455" s="7" t="str">
        <f t="shared" si="87"/>
        <v>3210</v>
      </c>
    </row>
    <row r="456" spans="1:25" s="81" customFormat="1">
      <c r="A456" s="80"/>
      <c r="B456" s="84">
        <v>19</v>
      </c>
      <c r="C456" s="196">
        <v>3</v>
      </c>
      <c r="D456" s="197">
        <v>4</v>
      </c>
      <c r="E456" s="197">
        <v>4</v>
      </c>
      <c r="F456" s="197">
        <v>5</v>
      </c>
      <c r="G456" s="197">
        <v>5</v>
      </c>
      <c r="H456" s="197">
        <v>5</v>
      </c>
      <c r="I456" s="197">
        <v>6</v>
      </c>
      <c r="J456" s="197">
        <v>6</v>
      </c>
      <c r="K456" s="197">
        <v>6</v>
      </c>
      <c r="L456" s="197">
        <v>5</v>
      </c>
      <c r="M456" s="197">
        <v>5</v>
      </c>
      <c r="N456" s="197">
        <v>4</v>
      </c>
      <c r="O456" s="197">
        <v>3</v>
      </c>
      <c r="P456" s="197">
        <v>2</v>
      </c>
      <c r="Q456" s="197">
        <v>1</v>
      </c>
      <c r="R456" s="198">
        <v>0</v>
      </c>
      <c r="U456" s="9">
        <f t="shared" ref="U456:U468" si="98">B456</f>
        <v>19</v>
      </c>
      <c r="V456" s="7" t="str">
        <f t="shared" si="84"/>
        <v>3445</v>
      </c>
      <c r="W456" s="7" t="str">
        <f t="shared" si="85"/>
        <v>5566</v>
      </c>
      <c r="X456" s="7" t="str">
        <f t="shared" si="86"/>
        <v>6554</v>
      </c>
      <c r="Y456" s="7" t="str">
        <f t="shared" si="87"/>
        <v>3210</v>
      </c>
    </row>
    <row r="457" spans="1:25" s="81" customFormat="1">
      <c r="A457" s="80"/>
      <c r="B457" s="84">
        <v>20</v>
      </c>
      <c r="C457" s="196">
        <v>3</v>
      </c>
      <c r="D457" s="197">
        <v>4</v>
      </c>
      <c r="E457" s="197">
        <v>4</v>
      </c>
      <c r="F457" s="197">
        <v>4</v>
      </c>
      <c r="G457" s="197">
        <v>5</v>
      </c>
      <c r="H457" s="197">
        <v>5</v>
      </c>
      <c r="I457" s="197">
        <v>5</v>
      </c>
      <c r="J457" s="197">
        <v>5</v>
      </c>
      <c r="K457" s="197">
        <v>5</v>
      </c>
      <c r="L457" s="197">
        <v>5</v>
      </c>
      <c r="M457" s="197">
        <v>4</v>
      </c>
      <c r="N457" s="197">
        <v>3</v>
      </c>
      <c r="O457" s="197">
        <v>3</v>
      </c>
      <c r="P457" s="197">
        <v>2</v>
      </c>
      <c r="Q457" s="197">
        <v>1</v>
      </c>
      <c r="R457" s="198">
        <v>0</v>
      </c>
      <c r="U457" s="9">
        <f t="shared" si="98"/>
        <v>20</v>
      </c>
      <c r="V457" s="7" t="str">
        <f t="shared" ref="V457:V468" si="99">DEC2HEX(C457)&amp;DEC2HEX(D457)&amp;DEC2HEX(E457)&amp;DEC2HEX(F457)</f>
        <v>3444</v>
      </c>
      <c r="W457" s="7" t="str">
        <f t="shared" ref="W457:W468" si="100">DEC2HEX(G457)&amp;DEC2HEX(H457)&amp;DEC2HEX(I457)&amp;DEC2HEX(J457)</f>
        <v>5555</v>
      </c>
      <c r="X457" s="7" t="str">
        <f t="shared" ref="X457:X468" si="101">DEC2HEX(K457)&amp;DEC2HEX(L457)&amp;DEC2HEX(M457)&amp;DEC2HEX(N457)</f>
        <v>5543</v>
      </c>
      <c r="Y457" s="7" t="str">
        <f t="shared" ref="Y457:Y468" si="102">DEC2HEX(O457)&amp;DEC2HEX(P457)&amp;DEC2HEX(Q457)&amp;DEC2HEX(R457)</f>
        <v>3210</v>
      </c>
    </row>
    <row r="458" spans="1:25" s="81" customFormat="1">
      <c r="A458" s="80"/>
      <c r="B458" s="84">
        <v>21</v>
      </c>
      <c r="C458" s="196">
        <v>3</v>
      </c>
      <c r="D458" s="197">
        <v>3</v>
      </c>
      <c r="E458" s="197">
        <v>4</v>
      </c>
      <c r="F458" s="197">
        <v>4</v>
      </c>
      <c r="G458" s="197">
        <v>4</v>
      </c>
      <c r="H458" s="197">
        <v>5</v>
      </c>
      <c r="I458" s="197">
        <v>5</v>
      </c>
      <c r="J458" s="197">
        <v>5</v>
      </c>
      <c r="K458" s="197">
        <v>5</v>
      </c>
      <c r="L458" s="197">
        <v>4</v>
      </c>
      <c r="M458" s="197">
        <v>4</v>
      </c>
      <c r="N458" s="197">
        <v>3</v>
      </c>
      <c r="O458" s="197">
        <v>2</v>
      </c>
      <c r="P458" s="197">
        <v>2</v>
      </c>
      <c r="Q458" s="197">
        <v>1</v>
      </c>
      <c r="R458" s="198">
        <v>0</v>
      </c>
      <c r="U458" s="9">
        <f t="shared" si="98"/>
        <v>21</v>
      </c>
      <c r="V458" s="7" t="str">
        <f t="shared" si="99"/>
        <v>3344</v>
      </c>
      <c r="W458" s="7" t="str">
        <f t="shared" si="100"/>
        <v>4555</v>
      </c>
      <c r="X458" s="7" t="str">
        <f t="shared" si="101"/>
        <v>5443</v>
      </c>
      <c r="Y458" s="7" t="str">
        <f t="shared" si="102"/>
        <v>2210</v>
      </c>
    </row>
    <row r="459" spans="1:25" s="81" customFormat="1">
      <c r="A459" s="80"/>
      <c r="B459" s="84">
        <v>22</v>
      </c>
      <c r="C459" s="196">
        <v>3</v>
      </c>
      <c r="D459" s="197">
        <v>3</v>
      </c>
      <c r="E459" s="197">
        <v>3</v>
      </c>
      <c r="F459" s="197">
        <v>4</v>
      </c>
      <c r="G459" s="197">
        <v>4</v>
      </c>
      <c r="H459" s="197">
        <v>4</v>
      </c>
      <c r="I459" s="197">
        <v>4</v>
      </c>
      <c r="J459" s="197">
        <v>4</v>
      </c>
      <c r="K459" s="197">
        <v>4</v>
      </c>
      <c r="L459" s="197">
        <v>4</v>
      </c>
      <c r="M459" s="197">
        <v>3</v>
      </c>
      <c r="N459" s="197">
        <v>3</v>
      </c>
      <c r="O459" s="197">
        <v>2</v>
      </c>
      <c r="P459" s="197">
        <v>1</v>
      </c>
      <c r="Q459" s="197">
        <v>0</v>
      </c>
      <c r="R459" s="198">
        <v>0</v>
      </c>
      <c r="U459" s="9">
        <f t="shared" si="98"/>
        <v>22</v>
      </c>
      <c r="V459" s="7" t="str">
        <f t="shared" si="99"/>
        <v>3334</v>
      </c>
      <c r="W459" s="7" t="str">
        <f t="shared" si="100"/>
        <v>4444</v>
      </c>
      <c r="X459" s="7" t="str">
        <f t="shared" si="101"/>
        <v>4433</v>
      </c>
      <c r="Y459" s="7" t="str">
        <f t="shared" si="102"/>
        <v>2100</v>
      </c>
    </row>
    <row r="460" spans="1:25" s="81" customFormat="1">
      <c r="A460" s="80"/>
      <c r="B460" s="84">
        <v>23</v>
      </c>
      <c r="C460" s="196">
        <v>3</v>
      </c>
      <c r="D460" s="197">
        <v>3</v>
      </c>
      <c r="E460" s="197">
        <v>3</v>
      </c>
      <c r="F460" s="197">
        <v>3</v>
      </c>
      <c r="G460" s="197">
        <v>4</v>
      </c>
      <c r="H460" s="197">
        <v>4</v>
      </c>
      <c r="I460" s="197">
        <v>4</v>
      </c>
      <c r="J460" s="197">
        <v>4</v>
      </c>
      <c r="K460" s="197">
        <v>4</v>
      </c>
      <c r="L460" s="197">
        <v>3</v>
      </c>
      <c r="M460" s="197">
        <v>3</v>
      </c>
      <c r="N460" s="197">
        <v>2</v>
      </c>
      <c r="O460" s="197">
        <v>2</v>
      </c>
      <c r="P460" s="197">
        <v>1</v>
      </c>
      <c r="Q460" s="197">
        <v>0</v>
      </c>
      <c r="R460" s="198">
        <v>0</v>
      </c>
      <c r="U460" s="9">
        <f t="shared" si="98"/>
        <v>23</v>
      </c>
      <c r="V460" s="7" t="str">
        <f t="shared" si="99"/>
        <v>3333</v>
      </c>
      <c r="W460" s="7" t="str">
        <f t="shared" si="100"/>
        <v>4444</v>
      </c>
      <c r="X460" s="7" t="str">
        <f t="shared" si="101"/>
        <v>4332</v>
      </c>
      <c r="Y460" s="7" t="str">
        <f t="shared" si="102"/>
        <v>2100</v>
      </c>
    </row>
    <row r="461" spans="1:25" s="81" customFormat="1">
      <c r="A461" s="80"/>
      <c r="B461" s="84">
        <v>24</v>
      </c>
      <c r="C461" s="196">
        <v>3</v>
      </c>
      <c r="D461" s="197">
        <v>3</v>
      </c>
      <c r="E461" s="197">
        <v>3</v>
      </c>
      <c r="F461" s="197">
        <v>3</v>
      </c>
      <c r="G461" s="197">
        <v>3</v>
      </c>
      <c r="H461" s="197">
        <v>3</v>
      </c>
      <c r="I461" s="197">
        <v>3</v>
      </c>
      <c r="J461" s="197">
        <v>3</v>
      </c>
      <c r="K461" s="197">
        <v>3</v>
      </c>
      <c r="L461" s="197">
        <v>3</v>
      </c>
      <c r="M461" s="197">
        <v>2</v>
      </c>
      <c r="N461" s="197">
        <v>2</v>
      </c>
      <c r="O461" s="197">
        <v>1</v>
      </c>
      <c r="P461" s="197">
        <v>0</v>
      </c>
      <c r="Q461" s="197">
        <v>0</v>
      </c>
      <c r="R461" s="198">
        <v>0</v>
      </c>
      <c r="U461" s="9">
        <f t="shared" si="98"/>
        <v>24</v>
      </c>
      <c r="V461" s="7" t="str">
        <f t="shared" si="99"/>
        <v>3333</v>
      </c>
      <c r="W461" s="7" t="str">
        <f t="shared" si="100"/>
        <v>3333</v>
      </c>
      <c r="X461" s="7" t="str">
        <f t="shared" si="101"/>
        <v>3322</v>
      </c>
      <c r="Y461" s="7" t="str">
        <f t="shared" si="102"/>
        <v>1000</v>
      </c>
    </row>
    <row r="462" spans="1:25" s="81" customFormat="1">
      <c r="A462" s="80"/>
      <c r="B462" s="84">
        <v>25</v>
      </c>
      <c r="C462" s="196">
        <v>2</v>
      </c>
      <c r="D462" s="197">
        <v>2</v>
      </c>
      <c r="E462" s="197">
        <v>2</v>
      </c>
      <c r="F462" s="197">
        <v>3</v>
      </c>
      <c r="G462" s="197">
        <v>3</v>
      </c>
      <c r="H462" s="197">
        <v>3</v>
      </c>
      <c r="I462" s="197">
        <v>3</v>
      </c>
      <c r="J462" s="197">
        <v>3</v>
      </c>
      <c r="K462" s="197">
        <v>3</v>
      </c>
      <c r="L462" s="197">
        <v>2</v>
      </c>
      <c r="M462" s="197">
        <v>2</v>
      </c>
      <c r="N462" s="197">
        <v>2</v>
      </c>
      <c r="O462" s="197">
        <v>1</v>
      </c>
      <c r="P462" s="197">
        <v>0</v>
      </c>
      <c r="Q462" s="197">
        <v>0</v>
      </c>
      <c r="R462" s="198">
        <v>0</v>
      </c>
      <c r="U462" s="9">
        <f t="shared" si="98"/>
        <v>25</v>
      </c>
      <c r="V462" s="7" t="str">
        <f t="shared" si="99"/>
        <v>2223</v>
      </c>
      <c r="W462" s="7" t="str">
        <f t="shared" si="100"/>
        <v>3333</v>
      </c>
      <c r="X462" s="7" t="str">
        <f t="shared" si="101"/>
        <v>3222</v>
      </c>
      <c r="Y462" s="7" t="str">
        <f t="shared" si="102"/>
        <v>1000</v>
      </c>
    </row>
    <row r="463" spans="1:25" s="81" customFormat="1">
      <c r="A463" s="80"/>
      <c r="B463" s="84">
        <v>26</v>
      </c>
      <c r="C463" s="196">
        <v>2</v>
      </c>
      <c r="D463" s="197">
        <v>2</v>
      </c>
      <c r="E463" s="197">
        <v>2</v>
      </c>
      <c r="F463" s="197">
        <v>2</v>
      </c>
      <c r="G463" s="197">
        <v>2</v>
      </c>
      <c r="H463" s="197">
        <v>2</v>
      </c>
      <c r="I463" s="197">
        <v>2</v>
      </c>
      <c r="J463" s="197">
        <v>2</v>
      </c>
      <c r="K463" s="197">
        <v>2</v>
      </c>
      <c r="L463" s="197">
        <v>2</v>
      </c>
      <c r="M463" s="197">
        <v>2</v>
      </c>
      <c r="N463" s="197">
        <v>1</v>
      </c>
      <c r="O463" s="197">
        <v>0</v>
      </c>
      <c r="P463" s="197">
        <v>0</v>
      </c>
      <c r="Q463" s="197">
        <v>0</v>
      </c>
      <c r="R463" s="198">
        <v>0</v>
      </c>
      <c r="U463" s="9">
        <f t="shared" si="98"/>
        <v>26</v>
      </c>
      <c r="V463" s="7" t="str">
        <f t="shared" si="99"/>
        <v>2222</v>
      </c>
      <c r="W463" s="7" t="str">
        <f t="shared" si="100"/>
        <v>2222</v>
      </c>
      <c r="X463" s="7" t="str">
        <f t="shared" si="101"/>
        <v>2221</v>
      </c>
      <c r="Y463" s="7" t="str">
        <f t="shared" si="102"/>
        <v>0000</v>
      </c>
    </row>
    <row r="464" spans="1:25" s="81" customFormat="1">
      <c r="A464" s="80"/>
      <c r="B464" s="84">
        <v>27</v>
      </c>
      <c r="C464" s="196">
        <v>1</v>
      </c>
      <c r="D464" s="197">
        <v>1</v>
      </c>
      <c r="E464" s="197">
        <v>1</v>
      </c>
      <c r="F464" s="197">
        <v>2</v>
      </c>
      <c r="G464" s="197">
        <v>2</v>
      </c>
      <c r="H464" s="197">
        <v>2</v>
      </c>
      <c r="I464" s="197">
        <v>2</v>
      </c>
      <c r="J464" s="197">
        <v>2</v>
      </c>
      <c r="K464" s="197">
        <v>2</v>
      </c>
      <c r="L464" s="197">
        <v>2</v>
      </c>
      <c r="M464" s="197">
        <v>1</v>
      </c>
      <c r="N464" s="197">
        <v>1</v>
      </c>
      <c r="O464" s="197">
        <v>0</v>
      </c>
      <c r="P464" s="197">
        <v>0</v>
      </c>
      <c r="Q464" s="197">
        <v>0</v>
      </c>
      <c r="R464" s="198">
        <v>0</v>
      </c>
      <c r="U464" s="9">
        <f t="shared" si="98"/>
        <v>27</v>
      </c>
      <c r="V464" s="7" t="str">
        <f t="shared" si="99"/>
        <v>1112</v>
      </c>
      <c r="W464" s="7" t="str">
        <f t="shared" si="100"/>
        <v>2222</v>
      </c>
      <c r="X464" s="7" t="str">
        <f t="shared" si="101"/>
        <v>2211</v>
      </c>
      <c r="Y464" s="7" t="str">
        <f t="shared" si="102"/>
        <v>0000</v>
      </c>
    </row>
    <row r="465" spans="1:25" s="81" customFormat="1">
      <c r="A465" s="80"/>
      <c r="B465" s="84">
        <v>28</v>
      </c>
      <c r="C465" s="196">
        <v>1</v>
      </c>
      <c r="D465" s="197">
        <v>1</v>
      </c>
      <c r="E465" s="197">
        <v>1</v>
      </c>
      <c r="F465" s="197">
        <v>1</v>
      </c>
      <c r="G465" s="197">
        <v>1</v>
      </c>
      <c r="H465" s="197">
        <v>1</v>
      </c>
      <c r="I465" s="197">
        <v>1</v>
      </c>
      <c r="J465" s="197">
        <v>1</v>
      </c>
      <c r="K465" s="197">
        <v>1</v>
      </c>
      <c r="L465" s="197">
        <v>1</v>
      </c>
      <c r="M465" s="197">
        <v>1</v>
      </c>
      <c r="N465" s="197">
        <v>0</v>
      </c>
      <c r="O465" s="197">
        <v>0</v>
      </c>
      <c r="P465" s="197">
        <v>0</v>
      </c>
      <c r="Q465" s="197">
        <v>0</v>
      </c>
      <c r="R465" s="198">
        <v>0</v>
      </c>
      <c r="U465" s="9">
        <f t="shared" si="98"/>
        <v>28</v>
      </c>
      <c r="V465" s="7" t="str">
        <f t="shared" si="99"/>
        <v>1111</v>
      </c>
      <c r="W465" s="7" t="str">
        <f t="shared" si="100"/>
        <v>1111</v>
      </c>
      <c r="X465" s="7" t="str">
        <f t="shared" si="101"/>
        <v>1110</v>
      </c>
      <c r="Y465" s="7" t="str">
        <f t="shared" si="102"/>
        <v>0000</v>
      </c>
    </row>
    <row r="466" spans="1:25" s="81" customFormat="1">
      <c r="A466" s="80"/>
      <c r="B466" s="84">
        <v>29</v>
      </c>
      <c r="C466" s="196">
        <v>1</v>
      </c>
      <c r="D466" s="197">
        <v>1</v>
      </c>
      <c r="E466" s="197">
        <v>1</v>
      </c>
      <c r="F466" s="197">
        <v>1</v>
      </c>
      <c r="G466" s="197">
        <v>1</v>
      </c>
      <c r="H466" s="197">
        <v>1</v>
      </c>
      <c r="I466" s="197">
        <v>1</v>
      </c>
      <c r="J466" s="197">
        <v>1</v>
      </c>
      <c r="K466" s="197">
        <v>1</v>
      </c>
      <c r="L466" s="197">
        <v>1</v>
      </c>
      <c r="M466" s="197">
        <v>0</v>
      </c>
      <c r="N466" s="197">
        <v>0</v>
      </c>
      <c r="O466" s="197">
        <v>0</v>
      </c>
      <c r="P466" s="197">
        <v>0</v>
      </c>
      <c r="Q466" s="197">
        <v>0</v>
      </c>
      <c r="R466" s="198">
        <v>0</v>
      </c>
      <c r="U466" s="9">
        <f t="shared" si="98"/>
        <v>29</v>
      </c>
      <c r="V466" s="7" t="str">
        <f t="shared" si="99"/>
        <v>1111</v>
      </c>
      <c r="W466" s="7" t="str">
        <f t="shared" si="100"/>
        <v>1111</v>
      </c>
      <c r="X466" s="7" t="str">
        <f t="shared" si="101"/>
        <v>1100</v>
      </c>
      <c r="Y466" s="7" t="str">
        <f t="shared" si="102"/>
        <v>0000</v>
      </c>
    </row>
    <row r="467" spans="1:25" s="81" customFormat="1">
      <c r="A467" s="80"/>
      <c r="B467" s="84">
        <v>30</v>
      </c>
      <c r="C467" s="196">
        <v>0</v>
      </c>
      <c r="D467" s="197">
        <v>0</v>
      </c>
      <c r="E467" s="197">
        <v>0</v>
      </c>
      <c r="F467" s="197">
        <v>0</v>
      </c>
      <c r="G467" s="197">
        <v>0</v>
      </c>
      <c r="H467" s="197">
        <v>0</v>
      </c>
      <c r="I467" s="197">
        <v>0</v>
      </c>
      <c r="J467" s="197">
        <v>0</v>
      </c>
      <c r="K467" s="197">
        <v>0</v>
      </c>
      <c r="L467" s="197">
        <v>0</v>
      </c>
      <c r="M467" s="197">
        <v>0</v>
      </c>
      <c r="N467" s="197">
        <v>0</v>
      </c>
      <c r="O467" s="197">
        <v>0</v>
      </c>
      <c r="P467" s="197">
        <v>0</v>
      </c>
      <c r="Q467" s="197">
        <v>0</v>
      </c>
      <c r="R467" s="198">
        <v>0</v>
      </c>
      <c r="U467" s="9">
        <f t="shared" si="98"/>
        <v>30</v>
      </c>
      <c r="V467" s="7" t="str">
        <f t="shared" si="99"/>
        <v>0000</v>
      </c>
      <c r="W467" s="7" t="str">
        <f t="shared" si="100"/>
        <v>0000</v>
      </c>
      <c r="X467" s="7" t="str">
        <f t="shared" si="101"/>
        <v>0000</v>
      </c>
      <c r="Y467" s="7" t="str">
        <f t="shared" si="102"/>
        <v>0000</v>
      </c>
    </row>
    <row r="468" spans="1:25" s="81" customFormat="1" ht="15" thickBot="1">
      <c r="A468" s="80"/>
      <c r="B468" s="84">
        <v>31</v>
      </c>
      <c r="C468" s="201">
        <v>0</v>
      </c>
      <c r="D468" s="202">
        <v>0</v>
      </c>
      <c r="E468" s="202">
        <v>0</v>
      </c>
      <c r="F468" s="202">
        <v>0</v>
      </c>
      <c r="G468" s="202">
        <v>0</v>
      </c>
      <c r="H468" s="202">
        <v>0</v>
      </c>
      <c r="I468" s="202">
        <v>0</v>
      </c>
      <c r="J468" s="202">
        <v>0</v>
      </c>
      <c r="K468" s="202">
        <v>0</v>
      </c>
      <c r="L468" s="202">
        <v>0</v>
      </c>
      <c r="M468" s="202">
        <v>0</v>
      </c>
      <c r="N468" s="202">
        <v>0</v>
      </c>
      <c r="O468" s="202">
        <v>0</v>
      </c>
      <c r="P468" s="202">
        <v>0</v>
      </c>
      <c r="Q468" s="202">
        <v>0</v>
      </c>
      <c r="R468" s="203">
        <v>0</v>
      </c>
      <c r="U468" s="9">
        <f t="shared" si="98"/>
        <v>31</v>
      </c>
      <c r="V468" s="7" t="str">
        <f t="shared" si="99"/>
        <v>0000</v>
      </c>
      <c r="W468" s="7" t="str">
        <f t="shared" si="100"/>
        <v>0000</v>
      </c>
      <c r="X468" s="7" t="str">
        <f t="shared" si="101"/>
        <v>0000</v>
      </c>
      <c r="Y468" s="7" t="str">
        <f t="shared" si="102"/>
        <v>0000</v>
      </c>
    </row>
  </sheetData>
  <sheetProtection formatCells="0"/>
  <mergeCells count="17">
    <mergeCell ref="AB29:AC29"/>
    <mergeCell ref="AB30:AC30"/>
    <mergeCell ref="AB24:AC24"/>
    <mergeCell ref="AB25:AC25"/>
    <mergeCell ref="AB26:AC26"/>
    <mergeCell ref="AB27:AC27"/>
    <mergeCell ref="AB28:AC28"/>
    <mergeCell ref="AB19:AC19"/>
    <mergeCell ref="AB20:AC20"/>
    <mergeCell ref="AB21:AC21"/>
    <mergeCell ref="AB22:AC22"/>
    <mergeCell ref="AB23:AC23"/>
    <mergeCell ref="AB14:AC14"/>
    <mergeCell ref="AB15:AC15"/>
    <mergeCell ref="AB16:AC16"/>
    <mergeCell ref="AB17:AC17"/>
    <mergeCell ref="AB18:AC18"/>
  </mergeCells>
  <phoneticPr fontId="10"/>
  <conditionalFormatting sqref="L216:P217 C221:R252 C185:R216 C149:R180 C5:R36 C113:R144 C77:R108 C257:R288">
    <cfRule type="cellIs" dxfId="221" priority="209" operator="between">
      <formula>$AA$4</formula>
      <formula>$AB$4</formula>
    </cfRule>
  </conditionalFormatting>
  <conditionalFormatting sqref="C185:R216">
    <cfRule type="cellIs" dxfId="220" priority="201" operator="between">
      <formula>$AA$4</formula>
      <formula>$AB$4</formula>
    </cfRule>
    <cfRule type="cellIs" dxfId="219" priority="202" operator="between">
      <formula>$AA$5</formula>
      <formula>$AB$5</formula>
    </cfRule>
    <cfRule type="cellIs" dxfId="218" priority="203" operator="between">
      <formula>$AA$6</formula>
      <formula>$AB$6</formula>
    </cfRule>
    <cfRule type="cellIs" dxfId="217" priority="204" operator="between">
      <formula>$AA$11</formula>
      <formula>$AB$11</formula>
    </cfRule>
    <cfRule type="cellIs" dxfId="216" priority="205" operator="between">
      <formula>$AA$10</formula>
      <formula>$AB$10</formula>
    </cfRule>
    <cfRule type="cellIs" dxfId="215" priority="206" operator="between">
      <formula>$AA$9</formula>
      <formula>$AB$9</formula>
    </cfRule>
    <cfRule type="cellIs" dxfId="214" priority="207" operator="between">
      <formula>$AA$8</formula>
      <formula>$AB$8</formula>
    </cfRule>
    <cfRule type="cellIs" dxfId="213" priority="208" operator="between">
      <formula>$AA$7</formula>
      <formula>$AB$7</formula>
    </cfRule>
  </conditionalFormatting>
  <conditionalFormatting sqref="C149:R180">
    <cfRule type="cellIs" dxfId="212" priority="193" operator="between">
      <formula>$AA$4</formula>
      <formula>$AB$4</formula>
    </cfRule>
    <cfRule type="cellIs" dxfId="211" priority="194" operator="between">
      <formula>$AA$5</formula>
      <formula>$AB$5</formula>
    </cfRule>
    <cfRule type="cellIs" dxfId="210" priority="195" operator="between">
      <formula>$AA$6</formula>
      <formula>$AB$6</formula>
    </cfRule>
    <cfRule type="cellIs" dxfId="209" priority="196" operator="between">
      <formula>$AA$11</formula>
      <formula>$AB$11</formula>
    </cfRule>
    <cfRule type="cellIs" dxfId="208" priority="197" operator="between">
      <formula>$AA$10</formula>
      <formula>$AB$10</formula>
    </cfRule>
    <cfRule type="cellIs" dxfId="207" priority="198" operator="between">
      <formula>$AA$9</formula>
      <formula>$AB$9</formula>
    </cfRule>
    <cfRule type="cellIs" dxfId="206" priority="199" operator="between">
      <formula>$AA$8</formula>
      <formula>$AB$8</formula>
    </cfRule>
    <cfRule type="cellIs" dxfId="205" priority="200" operator="between">
      <formula>$AA$7</formula>
      <formula>$AB$7</formula>
    </cfRule>
  </conditionalFormatting>
  <conditionalFormatting sqref="C185:R216">
    <cfRule type="cellIs" dxfId="204" priority="185" operator="between">
      <formula>$AA$4</formula>
      <formula>$AB$4</formula>
    </cfRule>
    <cfRule type="cellIs" dxfId="203" priority="186" operator="between">
      <formula>$AA$5</formula>
      <formula>$AB$5</formula>
    </cfRule>
    <cfRule type="cellIs" dxfId="202" priority="187" operator="between">
      <formula>$AA$6</formula>
      <formula>$AB$6</formula>
    </cfRule>
    <cfRule type="cellIs" dxfId="201" priority="188" operator="between">
      <formula>$AA$11</formula>
      <formula>$AB$11</formula>
    </cfRule>
    <cfRule type="cellIs" dxfId="200" priority="189" operator="between">
      <formula>$AA$10</formula>
      <formula>$AB$10</formula>
    </cfRule>
    <cfRule type="cellIs" dxfId="199" priority="190" operator="between">
      <formula>$AA$9</formula>
      <formula>$AB$9</formula>
    </cfRule>
    <cfRule type="cellIs" dxfId="198" priority="191" operator="between">
      <formula>$AA$8</formula>
      <formula>$AB$8</formula>
    </cfRule>
    <cfRule type="cellIs" dxfId="197" priority="192" operator="between">
      <formula>$AA$7</formula>
      <formula>$AB$7</formula>
    </cfRule>
  </conditionalFormatting>
  <conditionalFormatting sqref="C221:R252 L185:P217 C185:K216 Q185:R216 C149:R180 C5:R36 C113:R144 C77:R108 C257:R288">
    <cfRule type="cellIs" dxfId="196" priority="216" operator="between">
      <formula>$AA$7</formula>
      <formula>$AB$7</formula>
    </cfRule>
  </conditionalFormatting>
  <conditionalFormatting sqref="C221:R252 L185:P217 C185:K216 Q185:R216 C149:R180 C5:R36 C113:R144 C77:R108 C257:R288">
    <cfRule type="cellIs" dxfId="195" priority="215" operator="between">
      <formula>$AA$8</formula>
      <formula>$AB$8</formula>
    </cfRule>
  </conditionalFormatting>
  <conditionalFormatting sqref="C221:R252 L185:P217 C185:K216 Q185:R216 C149:R180 C5:R36 C113:R144 C77:R108 C257:R288">
    <cfRule type="cellIs" dxfId="194" priority="214" operator="between">
      <formula>$AA$9</formula>
      <formula>$AB$9</formula>
    </cfRule>
  </conditionalFormatting>
  <conditionalFormatting sqref="C221:R252 L185:P217 C185:K216 Q185:R216 C149:R180 C5:R36 C113:R144 C77:R108 C257:R288">
    <cfRule type="cellIs" dxfId="193" priority="213" operator="between">
      <formula>$AA$10</formula>
      <formula>$AB$10</formula>
    </cfRule>
  </conditionalFormatting>
  <conditionalFormatting sqref="C221:R252 L185:P217 C185:K216 Q185:R216 C149:R180 C5:R36 C113:R144 C77:R108 C257:R288">
    <cfRule type="cellIs" dxfId="192" priority="212" operator="between">
      <formula>$AA$11</formula>
      <formula>$AB$11</formula>
    </cfRule>
  </conditionalFormatting>
  <conditionalFormatting sqref="C221:R252 L185:P217 C185:K216 Q185:R216 C149:R180 C5:R36 C113:R144 C77:R108 C257:R288">
    <cfRule type="cellIs" dxfId="191" priority="211" operator="between">
      <formula>$AA$6</formula>
      <formula>$AB$6</formula>
    </cfRule>
  </conditionalFormatting>
  <conditionalFormatting sqref="C221:R252 L185:P217 C185:K216 Q185:R216 C149:R180 C5:R36 C113:R144 C77:R108 C257:R288">
    <cfRule type="cellIs" dxfId="190" priority="210" operator="between">
      <formula>$AA$5</formula>
      <formula>$AB$5</formula>
    </cfRule>
  </conditionalFormatting>
  <conditionalFormatting sqref="C41:R45 C68:R72 C46:D66 Q46:R66 C67:I67 L67:R67">
    <cfRule type="cellIs" dxfId="189" priority="177" operator="between">
      <formula>$AA$4</formula>
      <formula>$AB$4</formula>
    </cfRule>
  </conditionalFormatting>
  <conditionalFormatting sqref="C41:R45 C68:R72 C46:D66 Q46:R66 C67:I67 L67:R67">
    <cfRule type="cellIs" dxfId="188" priority="184" operator="between">
      <formula>$AA$7</formula>
      <formula>$AB$7</formula>
    </cfRule>
  </conditionalFormatting>
  <conditionalFormatting sqref="C41:R45 C68:R72 C46:D66 Q46:R66 C67:I67 L67:R67">
    <cfRule type="cellIs" dxfId="187" priority="183" operator="between">
      <formula>$AA$8</formula>
      <formula>$AB$8</formula>
    </cfRule>
  </conditionalFormatting>
  <conditionalFormatting sqref="C41:R45 C68:R72 C46:D66 Q46:R66 C67:I67 L67:R67">
    <cfRule type="cellIs" dxfId="186" priority="182" operator="between">
      <formula>$AA$9</formula>
      <formula>$AB$9</formula>
    </cfRule>
  </conditionalFormatting>
  <conditionalFormatting sqref="C41:R45 C68:R72 C46:D66 Q46:R66 C67:I67 L67:R67">
    <cfRule type="cellIs" dxfId="185" priority="181" operator="between">
      <formula>$AA$10</formula>
      <formula>$AB$10</formula>
    </cfRule>
  </conditionalFormatting>
  <conditionalFormatting sqref="C41:R45 C68:R72 C46:D66 Q46:R66 C67:I67 L67:R67">
    <cfRule type="cellIs" dxfId="184" priority="180" operator="between">
      <formula>$AA$11</formula>
      <formula>$AB$11</formula>
    </cfRule>
  </conditionalFormatting>
  <conditionalFormatting sqref="C41:R45 C68:R72 C46:D66 Q46:R66 C67:I67 L67:R67">
    <cfRule type="cellIs" dxfId="183" priority="179" operator="between">
      <formula>$AA$6</formula>
      <formula>$AB$6</formula>
    </cfRule>
  </conditionalFormatting>
  <conditionalFormatting sqref="C41:R45 C68:R72 C46:D66 Q46:R66 C67:I67 L67:R67">
    <cfRule type="cellIs" dxfId="182" priority="178" operator="between">
      <formula>$AA$5</formula>
      <formula>$AB$5</formula>
    </cfRule>
  </conditionalFormatting>
  <conditionalFormatting sqref="E66 P66 E46:P48 F54:M59 O49:P53 O60:P65 O54:O59 E49:M53 E60:M65">
    <cfRule type="cellIs" dxfId="181" priority="169" operator="between">
      <formula>$AA$4</formula>
      <formula>$AB$4</formula>
    </cfRule>
  </conditionalFormatting>
  <conditionalFormatting sqref="E66 P66 E46:P48 F54:M59 O49:P53 O60:P65 O54:O59 E49:M53 E60:M65">
    <cfRule type="cellIs" dxfId="180" priority="176" operator="between">
      <formula>$AA$7</formula>
      <formula>$AB$7</formula>
    </cfRule>
  </conditionalFormatting>
  <conditionalFormatting sqref="E66 P66 E46:P48 F54:M59 O49:P53 O60:P65 O54:O59 E49:M53 E60:M65">
    <cfRule type="cellIs" dxfId="179" priority="175" operator="between">
      <formula>$AA$8</formula>
      <formula>$AB$8</formula>
    </cfRule>
  </conditionalFormatting>
  <conditionalFormatting sqref="E66 P66 E46:P48 F54:M59 O49:P53 O60:P65 O54:O59 E49:M53 E60:M65">
    <cfRule type="cellIs" dxfId="178" priority="174" operator="between">
      <formula>$AA$9</formula>
      <formula>$AB$9</formula>
    </cfRule>
  </conditionalFormatting>
  <conditionalFormatting sqref="E66 P66 E46:P48 F54:M59 O49:P53 O60:P65 O54:O59 E49:M53 E60:M65">
    <cfRule type="cellIs" dxfId="177" priority="173" operator="between">
      <formula>$AA$10</formula>
      <formula>$AB$10</formula>
    </cfRule>
  </conditionalFormatting>
  <conditionalFormatting sqref="E66 P66 E46:P48 F54:M59 O49:P53 O60:P65 O54:O59 E49:M53 E60:M65">
    <cfRule type="cellIs" dxfId="176" priority="172" operator="between">
      <formula>$AA$11</formula>
      <formula>$AB$11</formula>
    </cfRule>
  </conditionalFormatting>
  <conditionalFormatting sqref="E66 P66 E46:P48 F54:M59 O49:P53 O60:P65 O54:O59 E49:M53 E60:M65">
    <cfRule type="cellIs" dxfId="175" priority="171" operator="between">
      <formula>$AA$6</formula>
      <formula>$AB$6</formula>
    </cfRule>
  </conditionalFormatting>
  <conditionalFormatting sqref="E66 P66 E46:P48 F54:M59 O49:P53 O60:P65 O54:O59 E49:M53 E60:M65">
    <cfRule type="cellIs" dxfId="174" priority="170" operator="between">
      <formula>$AA$5</formula>
      <formula>$AB$5</formula>
    </cfRule>
  </conditionalFormatting>
  <conditionalFormatting sqref="K66">
    <cfRule type="cellIs" dxfId="173" priority="161" operator="between">
      <formula>$AA$4</formula>
      <formula>$AB$4</formula>
    </cfRule>
  </conditionalFormatting>
  <conditionalFormatting sqref="K66">
    <cfRule type="cellIs" dxfId="172" priority="168" operator="between">
      <formula>$AA$7</formula>
      <formula>$AB$7</formula>
    </cfRule>
  </conditionalFormatting>
  <conditionalFormatting sqref="K66">
    <cfRule type="cellIs" dxfId="171" priority="167" operator="between">
      <formula>$AA$8</formula>
      <formula>$AB$8</formula>
    </cfRule>
  </conditionalFormatting>
  <conditionalFormatting sqref="K66">
    <cfRule type="cellIs" dxfId="170" priority="166" operator="between">
      <formula>$AA$9</formula>
      <formula>$AB$9</formula>
    </cfRule>
  </conditionalFormatting>
  <conditionalFormatting sqref="K66">
    <cfRule type="cellIs" dxfId="169" priority="165" operator="between">
      <formula>$AA$10</formula>
      <formula>$AB$10</formula>
    </cfRule>
  </conditionalFormatting>
  <conditionalFormatting sqref="K66">
    <cfRule type="cellIs" dxfId="168" priority="164" operator="between">
      <formula>$AA$11</formula>
      <formula>$AB$11</formula>
    </cfRule>
  </conditionalFormatting>
  <conditionalFormatting sqref="K66">
    <cfRule type="cellIs" dxfId="167" priority="163" operator="between">
      <formula>$AA$6</formula>
      <formula>$AB$6</formula>
    </cfRule>
  </conditionalFormatting>
  <conditionalFormatting sqref="K66">
    <cfRule type="cellIs" dxfId="166" priority="162" operator="between">
      <formula>$AA$5</formula>
      <formula>$AB$5</formula>
    </cfRule>
  </conditionalFormatting>
  <conditionalFormatting sqref="J66">
    <cfRule type="cellIs" dxfId="165" priority="153" operator="between">
      <formula>$AA$4</formula>
      <formula>$AB$4</formula>
    </cfRule>
  </conditionalFormatting>
  <conditionalFormatting sqref="J66">
    <cfRule type="cellIs" dxfId="164" priority="160" operator="between">
      <formula>$AA$7</formula>
      <formula>$AB$7</formula>
    </cfRule>
  </conditionalFormatting>
  <conditionalFormatting sqref="J66">
    <cfRule type="cellIs" dxfId="163" priority="159" operator="between">
      <formula>$AA$8</formula>
      <formula>$AB$8</formula>
    </cfRule>
  </conditionalFormatting>
  <conditionalFormatting sqref="J66">
    <cfRule type="cellIs" dxfId="162" priority="158" operator="between">
      <formula>$AA$9</formula>
      <formula>$AB$9</formula>
    </cfRule>
  </conditionalFormatting>
  <conditionalFormatting sqref="J66">
    <cfRule type="cellIs" dxfId="161" priority="157" operator="between">
      <formula>$AA$10</formula>
      <formula>$AB$10</formula>
    </cfRule>
  </conditionalFormatting>
  <conditionalFormatting sqref="J66">
    <cfRule type="cellIs" dxfId="160" priority="156" operator="between">
      <formula>$AA$11</formula>
      <formula>$AB$11</formula>
    </cfRule>
  </conditionalFormatting>
  <conditionalFormatting sqref="J66">
    <cfRule type="cellIs" dxfId="159" priority="155" operator="between">
      <formula>$AA$6</formula>
      <formula>$AB$6</formula>
    </cfRule>
  </conditionalFormatting>
  <conditionalFormatting sqref="J66">
    <cfRule type="cellIs" dxfId="158" priority="154" operator="between">
      <formula>$AA$5</formula>
      <formula>$AB$5</formula>
    </cfRule>
  </conditionalFormatting>
  <conditionalFormatting sqref="F66">
    <cfRule type="cellIs" dxfId="157" priority="145" operator="between">
      <formula>$AA$4</formula>
      <formula>$AB$4</formula>
    </cfRule>
  </conditionalFormatting>
  <conditionalFormatting sqref="F66">
    <cfRule type="cellIs" dxfId="156" priority="152" operator="between">
      <formula>$AA$7</formula>
      <formula>$AB$7</formula>
    </cfRule>
  </conditionalFormatting>
  <conditionalFormatting sqref="F66">
    <cfRule type="cellIs" dxfId="155" priority="151" operator="between">
      <formula>$AA$8</formula>
      <formula>$AB$8</formula>
    </cfRule>
  </conditionalFormatting>
  <conditionalFormatting sqref="F66">
    <cfRule type="cellIs" dxfId="154" priority="150" operator="between">
      <formula>$AA$9</formula>
      <formula>$AB$9</formula>
    </cfRule>
  </conditionalFormatting>
  <conditionalFormatting sqref="F66">
    <cfRule type="cellIs" dxfId="153" priority="149" operator="between">
      <formula>$AA$10</formula>
      <formula>$AB$10</formula>
    </cfRule>
  </conditionalFormatting>
  <conditionalFormatting sqref="F66">
    <cfRule type="cellIs" dxfId="152" priority="148" operator="between">
      <formula>$AA$11</formula>
      <formula>$AB$11</formula>
    </cfRule>
  </conditionalFormatting>
  <conditionalFormatting sqref="F66">
    <cfRule type="cellIs" dxfId="151" priority="147" operator="between">
      <formula>$AA$6</formula>
      <formula>$AB$6</formula>
    </cfRule>
  </conditionalFormatting>
  <conditionalFormatting sqref="F66">
    <cfRule type="cellIs" dxfId="150" priority="146" operator="between">
      <formula>$AA$5</formula>
      <formula>$AB$5</formula>
    </cfRule>
  </conditionalFormatting>
  <conditionalFormatting sqref="G66">
    <cfRule type="cellIs" dxfId="149" priority="137" operator="between">
      <formula>$AA$4</formula>
      <formula>$AB$4</formula>
    </cfRule>
  </conditionalFormatting>
  <conditionalFormatting sqref="G66">
    <cfRule type="cellIs" dxfId="148" priority="144" operator="between">
      <formula>$AA$7</formula>
      <formula>$AB$7</formula>
    </cfRule>
  </conditionalFormatting>
  <conditionalFormatting sqref="G66">
    <cfRule type="cellIs" dxfId="147" priority="143" operator="between">
      <formula>$AA$8</formula>
      <formula>$AB$8</formula>
    </cfRule>
  </conditionalFormatting>
  <conditionalFormatting sqref="G66">
    <cfRule type="cellIs" dxfId="146" priority="142" operator="between">
      <formula>$AA$9</formula>
      <formula>$AB$9</formula>
    </cfRule>
  </conditionalFormatting>
  <conditionalFormatting sqref="G66">
    <cfRule type="cellIs" dxfId="145" priority="141" operator="between">
      <formula>$AA$10</formula>
      <formula>$AB$10</formula>
    </cfRule>
  </conditionalFormatting>
  <conditionalFormatting sqref="G66">
    <cfRule type="cellIs" dxfId="144" priority="140" operator="between">
      <formula>$AA$11</formula>
      <formula>$AB$11</formula>
    </cfRule>
  </conditionalFormatting>
  <conditionalFormatting sqref="G66">
    <cfRule type="cellIs" dxfId="143" priority="139" operator="between">
      <formula>$AA$6</formula>
      <formula>$AB$6</formula>
    </cfRule>
  </conditionalFormatting>
  <conditionalFormatting sqref="G66">
    <cfRule type="cellIs" dxfId="142" priority="138" operator="between">
      <formula>$AA$5</formula>
      <formula>$AB$5</formula>
    </cfRule>
  </conditionalFormatting>
  <conditionalFormatting sqref="H66">
    <cfRule type="cellIs" dxfId="141" priority="129" operator="between">
      <formula>$AA$4</formula>
      <formula>$AB$4</formula>
    </cfRule>
  </conditionalFormatting>
  <conditionalFormatting sqref="H66">
    <cfRule type="cellIs" dxfId="140" priority="136" operator="between">
      <formula>$AA$7</formula>
      <formula>$AB$7</formula>
    </cfRule>
  </conditionalFormatting>
  <conditionalFormatting sqref="H66">
    <cfRule type="cellIs" dxfId="139" priority="135" operator="between">
      <formula>$AA$8</formula>
      <formula>$AB$8</formula>
    </cfRule>
  </conditionalFormatting>
  <conditionalFormatting sqref="H66">
    <cfRule type="cellIs" dxfId="138" priority="134" operator="between">
      <formula>$AA$9</formula>
      <formula>$AB$9</formula>
    </cfRule>
  </conditionalFormatting>
  <conditionalFormatting sqref="H66">
    <cfRule type="cellIs" dxfId="137" priority="133" operator="between">
      <formula>$AA$10</formula>
      <formula>$AB$10</formula>
    </cfRule>
  </conditionalFormatting>
  <conditionalFormatting sqref="H66">
    <cfRule type="cellIs" dxfId="136" priority="132" operator="between">
      <formula>$AA$11</formula>
      <formula>$AB$11</formula>
    </cfRule>
  </conditionalFormatting>
  <conditionalFormatting sqref="H66">
    <cfRule type="cellIs" dxfId="135" priority="131" operator="between">
      <formula>$AA$6</formula>
      <formula>$AB$6</formula>
    </cfRule>
  </conditionalFormatting>
  <conditionalFormatting sqref="H66">
    <cfRule type="cellIs" dxfId="134" priority="130" operator="between">
      <formula>$AA$5</formula>
      <formula>$AB$5</formula>
    </cfRule>
  </conditionalFormatting>
  <conditionalFormatting sqref="I66">
    <cfRule type="cellIs" dxfId="133" priority="121" operator="between">
      <formula>$AA$4</formula>
      <formula>$AB$4</formula>
    </cfRule>
  </conditionalFormatting>
  <conditionalFormatting sqref="I66">
    <cfRule type="cellIs" dxfId="132" priority="128" operator="between">
      <formula>$AA$7</formula>
      <formula>$AB$7</formula>
    </cfRule>
  </conditionalFormatting>
  <conditionalFormatting sqref="I66">
    <cfRule type="cellIs" dxfId="131" priority="127" operator="between">
      <formula>$AA$8</formula>
      <formula>$AB$8</formula>
    </cfRule>
  </conditionalFormatting>
  <conditionalFormatting sqref="I66">
    <cfRule type="cellIs" dxfId="130" priority="126" operator="between">
      <formula>$AA$9</formula>
      <formula>$AB$9</formula>
    </cfRule>
  </conditionalFormatting>
  <conditionalFormatting sqref="I66">
    <cfRule type="cellIs" dxfId="129" priority="125" operator="between">
      <formula>$AA$10</formula>
      <formula>$AB$10</formula>
    </cfRule>
  </conditionalFormatting>
  <conditionalFormatting sqref="I66">
    <cfRule type="cellIs" dxfId="128" priority="124" operator="between">
      <formula>$AA$11</formula>
      <formula>$AB$11</formula>
    </cfRule>
  </conditionalFormatting>
  <conditionalFormatting sqref="I66">
    <cfRule type="cellIs" dxfId="127" priority="123" operator="between">
      <formula>$AA$6</formula>
      <formula>$AB$6</formula>
    </cfRule>
  </conditionalFormatting>
  <conditionalFormatting sqref="I66">
    <cfRule type="cellIs" dxfId="126" priority="122" operator="between">
      <formula>$AA$5</formula>
      <formula>$AB$5</formula>
    </cfRule>
  </conditionalFormatting>
  <conditionalFormatting sqref="J67">
    <cfRule type="cellIs" dxfId="125" priority="113" operator="between">
      <formula>$AA$4</formula>
      <formula>$AB$4</formula>
    </cfRule>
  </conditionalFormatting>
  <conditionalFormatting sqref="J67">
    <cfRule type="cellIs" dxfId="124" priority="120" operator="between">
      <formula>$AA$7</formula>
      <formula>$AB$7</formula>
    </cfRule>
  </conditionalFormatting>
  <conditionalFormatting sqref="J67">
    <cfRule type="cellIs" dxfId="123" priority="119" operator="between">
      <formula>$AA$8</formula>
      <formula>$AB$8</formula>
    </cfRule>
  </conditionalFormatting>
  <conditionalFormatting sqref="J67">
    <cfRule type="cellIs" dxfId="122" priority="118" operator="between">
      <formula>$AA$9</formula>
      <formula>$AB$9</formula>
    </cfRule>
  </conditionalFormatting>
  <conditionalFormatting sqref="J67">
    <cfRule type="cellIs" dxfId="121" priority="117" operator="between">
      <formula>$AA$10</formula>
      <formula>$AB$10</formula>
    </cfRule>
  </conditionalFormatting>
  <conditionalFormatting sqref="J67">
    <cfRule type="cellIs" dxfId="120" priority="116" operator="between">
      <formula>$AA$11</formula>
      <formula>$AB$11</formula>
    </cfRule>
  </conditionalFormatting>
  <conditionalFormatting sqref="J67">
    <cfRule type="cellIs" dxfId="119" priority="115" operator="between">
      <formula>$AA$6</formula>
      <formula>$AB$6</formula>
    </cfRule>
  </conditionalFormatting>
  <conditionalFormatting sqref="J67">
    <cfRule type="cellIs" dxfId="118" priority="114" operator="between">
      <formula>$AA$5</formula>
      <formula>$AB$5</formula>
    </cfRule>
  </conditionalFormatting>
  <conditionalFormatting sqref="K67">
    <cfRule type="cellIs" dxfId="117" priority="105" operator="between">
      <formula>$AA$4</formula>
      <formula>$AB$4</formula>
    </cfRule>
  </conditionalFormatting>
  <conditionalFormatting sqref="K67">
    <cfRule type="cellIs" dxfId="116" priority="112" operator="between">
      <formula>$AA$7</formula>
      <formula>$AB$7</formula>
    </cfRule>
  </conditionalFormatting>
  <conditionalFormatting sqref="K67">
    <cfRule type="cellIs" dxfId="115" priority="111" operator="between">
      <formula>$AA$8</formula>
      <formula>$AB$8</formula>
    </cfRule>
  </conditionalFormatting>
  <conditionalFormatting sqref="K67">
    <cfRule type="cellIs" dxfId="114" priority="110" operator="between">
      <formula>$AA$9</formula>
      <formula>$AB$9</formula>
    </cfRule>
  </conditionalFormatting>
  <conditionalFormatting sqref="K67">
    <cfRule type="cellIs" dxfId="113" priority="109" operator="between">
      <formula>$AA$10</formula>
      <formula>$AB$10</formula>
    </cfRule>
  </conditionalFormatting>
  <conditionalFormatting sqref="K67">
    <cfRule type="cellIs" dxfId="112" priority="108" operator="between">
      <formula>$AA$11</formula>
      <formula>$AB$11</formula>
    </cfRule>
  </conditionalFormatting>
  <conditionalFormatting sqref="K67">
    <cfRule type="cellIs" dxfId="111" priority="107" operator="between">
      <formula>$AA$6</formula>
      <formula>$AB$6</formula>
    </cfRule>
  </conditionalFormatting>
  <conditionalFormatting sqref="K67">
    <cfRule type="cellIs" dxfId="110" priority="106" operator="between">
      <formula>$AA$5</formula>
      <formula>$AB$5</formula>
    </cfRule>
  </conditionalFormatting>
  <conditionalFormatting sqref="L66">
    <cfRule type="cellIs" dxfId="109" priority="97" operator="between">
      <formula>$AA$4</formula>
      <formula>$AB$4</formula>
    </cfRule>
  </conditionalFormatting>
  <conditionalFormatting sqref="L66">
    <cfRule type="cellIs" dxfId="108" priority="104" operator="between">
      <formula>$AA$7</formula>
      <formula>$AB$7</formula>
    </cfRule>
  </conditionalFormatting>
  <conditionalFormatting sqref="L66">
    <cfRule type="cellIs" dxfId="107" priority="103" operator="between">
      <formula>$AA$8</formula>
      <formula>$AB$8</formula>
    </cfRule>
  </conditionalFormatting>
  <conditionalFormatting sqref="L66">
    <cfRule type="cellIs" dxfId="106" priority="102" operator="between">
      <formula>$AA$9</formula>
      <formula>$AB$9</formula>
    </cfRule>
  </conditionalFormatting>
  <conditionalFormatting sqref="L66">
    <cfRule type="cellIs" dxfId="105" priority="101" operator="between">
      <formula>$AA$10</formula>
      <formula>$AB$10</formula>
    </cfRule>
  </conditionalFormatting>
  <conditionalFormatting sqref="L66">
    <cfRule type="cellIs" dxfId="104" priority="100" operator="between">
      <formula>$AA$11</formula>
      <formula>$AB$11</formula>
    </cfRule>
  </conditionalFormatting>
  <conditionalFormatting sqref="L66">
    <cfRule type="cellIs" dxfId="103" priority="99" operator="between">
      <formula>$AA$6</formula>
      <formula>$AB$6</formula>
    </cfRule>
  </conditionalFormatting>
  <conditionalFormatting sqref="L66">
    <cfRule type="cellIs" dxfId="102" priority="98" operator="between">
      <formula>$AA$5</formula>
      <formula>$AB$5</formula>
    </cfRule>
  </conditionalFormatting>
  <conditionalFormatting sqref="M66">
    <cfRule type="cellIs" dxfId="101" priority="89" operator="between">
      <formula>$AA$4</formula>
      <formula>$AB$4</formula>
    </cfRule>
  </conditionalFormatting>
  <conditionalFormatting sqref="M66">
    <cfRule type="cellIs" dxfId="100" priority="96" operator="between">
      <formula>$AA$7</formula>
      <formula>$AB$7</formula>
    </cfRule>
  </conditionalFormatting>
  <conditionalFormatting sqref="M66">
    <cfRule type="cellIs" dxfId="99" priority="95" operator="between">
      <formula>$AA$8</formula>
      <formula>$AB$8</formula>
    </cfRule>
  </conditionalFormatting>
  <conditionalFormatting sqref="M66">
    <cfRule type="cellIs" dxfId="98" priority="94" operator="between">
      <formula>$AA$9</formula>
      <formula>$AB$9</formula>
    </cfRule>
  </conditionalFormatting>
  <conditionalFormatting sqref="M66">
    <cfRule type="cellIs" dxfId="97" priority="93" operator="between">
      <formula>$AA$10</formula>
      <formula>$AB$10</formula>
    </cfRule>
  </conditionalFormatting>
  <conditionalFormatting sqref="M66">
    <cfRule type="cellIs" dxfId="96" priority="92" operator="between">
      <formula>$AA$11</formula>
      <formula>$AB$11</formula>
    </cfRule>
  </conditionalFormatting>
  <conditionalFormatting sqref="M66">
    <cfRule type="cellIs" dxfId="95" priority="91" operator="between">
      <formula>$AA$6</formula>
      <formula>$AB$6</formula>
    </cfRule>
  </conditionalFormatting>
  <conditionalFormatting sqref="M66">
    <cfRule type="cellIs" dxfId="94" priority="90" operator="between">
      <formula>$AA$5</formula>
      <formula>$AB$5</formula>
    </cfRule>
  </conditionalFormatting>
  <conditionalFormatting sqref="N66">
    <cfRule type="cellIs" dxfId="93" priority="81" operator="between">
      <formula>$AA$4</formula>
      <formula>$AB$4</formula>
    </cfRule>
  </conditionalFormatting>
  <conditionalFormatting sqref="N66">
    <cfRule type="cellIs" dxfId="92" priority="88" operator="between">
      <formula>$AA$7</formula>
      <formula>$AB$7</formula>
    </cfRule>
  </conditionalFormatting>
  <conditionalFormatting sqref="N66">
    <cfRule type="cellIs" dxfId="91" priority="87" operator="between">
      <formula>$AA$8</formula>
      <formula>$AB$8</formula>
    </cfRule>
  </conditionalFormatting>
  <conditionalFormatting sqref="N66">
    <cfRule type="cellIs" dxfId="90" priority="86" operator="between">
      <formula>$AA$9</formula>
      <formula>$AB$9</formula>
    </cfRule>
  </conditionalFormatting>
  <conditionalFormatting sqref="N66">
    <cfRule type="cellIs" dxfId="89" priority="85" operator="between">
      <formula>$AA$10</formula>
      <formula>$AB$10</formula>
    </cfRule>
  </conditionalFormatting>
  <conditionalFormatting sqref="N66">
    <cfRule type="cellIs" dxfId="88" priority="84" operator="between">
      <formula>$AA$11</formula>
      <formula>$AB$11</formula>
    </cfRule>
  </conditionalFormatting>
  <conditionalFormatting sqref="N66">
    <cfRule type="cellIs" dxfId="87" priority="83" operator="between">
      <formula>$AA$6</formula>
      <formula>$AB$6</formula>
    </cfRule>
  </conditionalFormatting>
  <conditionalFormatting sqref="N66">
    <cfRule type="cellIs" dxfId="86" priority="82" operator="between">
      <formula>$AA$5</formula>
      <formula>$AB$5</formula>
    </cfRule>
  </conditionalFormatting>
  <conditionalFormatting sqref="O66">
    <cfRule type="cellIs" dxfId="85" priority="73" operator="between">
      <formula>$AA$4</formula>
      <formula>$AB$4</formula>
    </cfRule>
  </conditionalFormatting>
  <conditionalFormatting sqref="O66">
    <cfRule type="cellIs" dxfId="84" priority="80" operator="between">
      <formula>$AA$7</formula>
      <formula>$AB$7</formula>
    </cfRule>
  </conditionalFormatting>
  <conditionalFormatting sqref="O66">
    <cfRule type="cellIs" dxfId="83" priority="79" operator="between">
      <formula>$AA$8</formula>
      <formula>$AB$8</formula>
    </cfRule>
  </conditionalFormatting>
  <conditionalFormatting sqref="O66">
    <cfRule type="cellIs" dxfId="82" priority="78" operator="between">
      <formula>$AA$9</formula>
      <formula>$AB$9</formula>
    </cfRule>
  </conditionalFormatting>
  <conditionalFormatting sqref="O66">
    <cfRule type="cellIs" dxfId="81" priority="77" operator="between">
      <formula>$AA$10</formula>
      <formula>$AB$10</formula>
    </cfRule>
  </conditionalFormatting>
  <conditionalFormatting sqref="O66">
    <cfRule type="cellIs" dxfId="80" priority="76" operator="between">
      <formula>$AA$11</formula>
      <formula>$AB$11</formula>
    </cfRule>
  </conditionalFormatting>
  <conditionalFormatting sqref="O66">
    <cfRule type="cellIs" dxfId="79" priority="75" operator="between">
      <formula>$AA$6</formula>
      <formula>$AB$6</formula>
    </cfRule>
  </conditionalFormatting>
  <conditionalFormatting sqref="O66">
    <cfRule type="cellIs" dxfId="78" priority="74" operator="between">
      <formula>$AA$5</formula>
      <formula>$AB$5</formula>
    </cfRule>
  </conditionalFormatting>
  <conditionalFormatting sqref="E54:E59">
    <cfRule type="cellIs" dxfId="77" priority="65" operator="between">
      <formula>$AA$4</formula>
      <formula>$AB$4</formula>
    </cfRule>
  </conditionalFormatting>
  <conditionalFormatting sqref="E54:E59">
    <cfRule type="cellIs" dxfId="76" priority="72" operator="between">
      <formula>$AA$7</formula>
      <formula>$AB$7</formula>
    </cfRule>
  </conditionalFormatting>
  <conditionalFormatting sqref="E54:E59">
    <cfRule type="cellIs" dxfId="75" priority="71" operator="between">
      <formula>$AA$8</formula>
      <formula>$AB$8</formula>
    </cfRule>
  </conditionalFormatting>
  <conditionalFormatting sqref="E54:E59">
    <cfRule type="cellIs" dxfId="74" priority="70" operator="between">
      <formula>$AA$9</formula>
      <formula>$AB$9</formula>
    </cfRule>
  </conditionalFormatting>
  <conditionalFormatting sqref="E54:E59">
    <cfRule type="cellIs" dxfId="73" priority="69" operator="between">
      <formula>$AA$10</formula>
      <formula>$AB$10</formula>
    </cfRule>
  </conditionalFormatting>
  <conditionalFormatting sqref="E54:E59">
    <cfRule type="cellIs" dxfId="72" priority="68" operator="between">
      <formula>$AA$11</formula>
      <formula>$AB$11</formula>
    </cfRule>
  </conditionalFormatting>
  <conditionalFormatting sqref="E54:E59">
    <cfRule type="cellIs" dxfId="71" priority="67" operator="between">
      <formula>$AA$6</formula>
      <formula>$AB$6</formula>
    </cfRule>
  </conditionalFormatting>
  <conditionalFormatting sqref="E54:E59">
    <cfRule type="cellIs" dxfId="70" priority="66" operator="between">
      <formula>$AA$5</formula>
      <formula>$AB$5</formula>
    </cfRule>
  </conditionalFormatting>
  <conditionalFormatting sqref="N49:N65">
    <cfRule type="cellIs" dxfId="69" priority="57" operator="between">
      <formula>$AA$4</formula>
      <formula>$AB$4</formula>
    </cfRule>
  </conditionalFormatting>
  <conditionalFormatting sqref="N49:N65">
    <cfRule type="cellIs" dxfId="68" priority="64" operator="between">
      <formula>$AA$7</formula>
      <formula>$AB$7</formula>
    </cfRule>
  </conditionalFormatting>
  <conditionalFormatting sqref="N49:N65">
    <cfRule type="cellIs" dxfId="67" priority="63" operator="between">
      <formula>$AA$8</formula>
      <formula>$AB$8</formula>
    </cfRule>
  </conditionalFormatting>
  <conditionalFormatting sqref="N49:N65">
    <cfRule type="cellIs" dxfId="66" priority="62" operator="between">
      <formula>$AA$9</formula>
      <formula>$AB$9</formula>
    </cfRule>
  </conditionalFormatting>
  <conditionalFormatting sqref="N49:N65">
    <cfRule type="cellIs" dxfId="65" priority="61" operator="between">
      <formula>$AA$10</formula>
      <formula>$AB$10</formula>
    </cfRule>
  </conditionalFormatting>
  <conditionalFormatting sqref="N49:N65">
    <cfRule type="cellIs" dxfId="64" priority="60" operator="between">
      <formula>$AA$11</formula>
      <formula>$AB$11</formula>
    </cfRule>
  </conditionalFormatting>
  <conditionalFormatting sqref="N49:N65">
    <cfRule type="cellIs" dxfId="63" priority="59" operator="between">
      <formula>$AA$6</formula>
      <formula>$AB$6</formula>
    </cfRule>
  </conditionalFormatting>
  <conditionalFormatting sqref="N49:N65">
    <cfRule type="cellIs" dxfId="62" priority="58" operator="between">
      <formula>$AA$5</formula>
      <formula>$AB$5</formula>
    </cfRule>
  </conditionalFormatting>
  <conditionalFormatting sqref="P54:P59">
    <cfRule type="cellIs" dxfId="61" priority="49" operator="between">
      <formula>$AA$4</formula>
      <formula>$AB$4</formula>
    </cfRule>
  </conditionalFormatting>
  <conditionalFormatting sqref="P54:P59">
    <cfRule type="cellIs" dxfId="60" priority="56" operator="between">
      <formula>$AA$7</formula>
      <formula>$AB$7</formula>
    </cfRule>
  </conditionalFormatting>
  <conditionalFormatting sqref="P54:P59">
    <cfRule type="cellIs" dxfId="59" priority="55" operator="between">
      <formula>$AA$8</formula>
      <formula>$AB$8</formula>
    </cfRule>
  </conditionalFormatting>
  <conditionalFormatting sqref="P54:P59">
    <cfRule type="cellIs" dxfId="58" priority="54" operator="between">
      <formula>$AA$9</formula>
      <formula>$AB$9</formula>
    </cfRule>
  </conditionalFormatting>
  <conditionalFormatting sqref="P54:P59">
    <cfRule type="cellIs" dxfId="57" priority="53" operator="between">
      <formula>$AA$10</formula>
      <formula>$AB$10</formula>
    </cfRule>
  </conditionalFormatting>
  <conditionalFormatting sqref="P54:P59">
    <cfRule type="cellIs" dxfId="56" priority="52" operator="between">
      <formula>$AA$11</formula>
      <formula>$AB$11</formula>
    </cfRule>
  </conditionalFormatting>
  <conditionalFormatting sqref="P54:P59">
    <cfRule type="cellIs" dxfId="55" priority="51" operator="between">
      <formula>$AA$6</formula>
      <formula>$AB$6</formula>
    </cfRule>
  </conditionalFormatting>
  <conditionalFormatting sqref="P54:P59">
    <cfRule type="cellIs" dxfId="54" priority="50" operator="between">
      <formula>$AA$5</formula>
      <formula>$AB$5</formula>
    </cfRule>
  </conditionalFormatting>
  <conditionalFormatting sqref="C257:R288">
    <cfRule type="cellIs" dxfId="53" priority="48" operator="between">
      <formula>$AA$4</formula>
      <formula>$AB$4</formula>
    </cfRule>
  </conditionalFormatting>
  <conditionalFormatting sqref="C257:R288">
    <cfRule type="cellIs" dxfId="52" priority="47" operator="between">
      <formula>$AA$7</formula>
      <formula>$AB$7</formula>
    </cfRule>
  </conditionalFormatting>
  <conditionalFormatting sqref="C257:R288">
    <cfRule type="cellIs" dxfId="51" priority="46" operator="between">
      <formula>$AA$8</formula>
      <formula>$AB$8</formula>
    </cfRule>
  </conditionalFormatting>
  <conditionalFormatting sqref="C257:R288">
    <cfRule type="cellIs" dxfId="50" priority="45" operator="between">
      <formula>$AA$9</formula>
      <formula>$AB$9</formula>
    </cfRule>
  </conditionalFormatting>
  <conditionalFormatting sqref="C257:R288">
    <cfRule type="cellIs" dxfId="49" priority="44" operator="between">
      <formula>$AA$10</formula>
      <formula>$AB$10</formula>
    </cfRule>
  </conditionalFormatting>
  <conditionalFormatting sqref="C257:R288">
    <cfRule type="cellIs" dxfId="48" priority="43" operator="between">
      <formula>$AA$11</formula>
      <formula>$AB$11</formula>
    </cfRule>
  </conditionalFormatting>
  <conditionalFormatting sqref="C257:R288">
    <cfRule type="cellIs" dxfId="47" priority="42" operator="between">
      <formula>$AA$6</formula>
      <formula>$AB$6</formula>
    </cfRule>
  </conditionalFormatting>
  <conditionalFormatting sqref="C257:R288">
    <cfRule type="cellIs" dxfId="46" priority="41" operator="between">
      <formula>$AA$5</formula>
      <formula>$AB$5</formula>
    </cfRule>
  </conditionalFormatting>
  <conditionalFormatting sqref="C293:R324">
    <cfRule type="cellIs" dxfId="45" priority="40" operator="between">
      <formula>$AA$4</formula>
      <formula>$AB$4</formula>
    </cfRule>
  </conditionalFormatting>
  <conditionalFormatting sqref="C293:R324">
    <cfRule type="cellIs" dxfId="44" priority="39" operator="between">
      <formula>$AA$7</formula>
      <formula>$AB$7</formula>
    </cfRule>
  </conditionalFormatting>
  <conditionalFormatting sqref="C293:R324">
    <cfRule type="cellIs" dxfId="43" priority="38" operator="between">
      <formula>$AA$8</formula>
      <formula>$AB$8</formula>
    </cfRule>
  </conditionalFormatting>
  <conditionalFormatting sqref="C293:R324">
    <cfRule type="cellIs" dxfId="42" priority="37" operator="between">
      <formula>$AA$9</formula>
      <formula>$AB$9</formula>
    </cfRule>
  </conditionalFormatting>
  <conditionalFormatting sqref="C293:R324">
    <cfRule type="cellIs" dxfId="41" priority="36" operator="between">
      <formula>$AA$10</formula>
      <formula>$AB$10</formula>
    </cfRule>
  </conditionalFormatting>
  <conditionalFormatting sqref="C293:R324">
    <cfRule type="cellIs" dxfId="40" priority="35" operator="between">
      <formula>$AA$11</formula>
      <formula>$AB$11</formula>
    </cfRule>
  </conditionalFormatting>
  <conditionalFormatting sqref="C293:R324">
    <cfRule type="cellIs" dxfId="39" priority="34" operator="between">
      <formula>$AA$6</formula>
      <formula>$AB$6</formula>
    </cfRule>
  </conditionalFormatting>
  <conditionalFormatting sqref="C293:R324">
    <cfRule type="cellIs" dxfId="38" priority="33" operator="between">
      <formula>$AA$5</formula>
      <formula>$AB$5</formula>
    </cfRule>
  </conditionalFormatting>
  <conditionalFormatting sqref="C401:R432 C365:R396 C329:R360 C437:R468">
    <cfRule type="cellIs" dxfId="37" priority="32" operator="between">
      <formula>$AA$4</formula>
      <formula>$AB$4</formula>
    </cfRule>
  </conditionalFormatting>
  <conditionalFormatting sqref="C365:R396">
    <cfRule type="cellIs" dxfId="36" priority="24" operator="between">
      <formula>$AA$4</formula>
      <formula>$AB$4</formula>
    </cfRule>
    <cfRule type="cellIs" dxfId="35" priority="25" operator="between">
      <formula>$AA$5</formula>
      <formula>$AB$5</formula>
    </cfRule>
    <cfRule type="cellIs" dxfId="34" priority="26" operator="between">
      <formula>$AA$6</formula>
      <formula>$AB$6</formula>
    </cfRule>
    <cfRule type="cellIs" dxfId="33" priority="27" operator="between">
      <formula>$AA$11</formula>
      <formula>$AB$11</formula>
    </cfRule>
    <cfRule type="cellIs" dxfId="32" priority="28" operator="between">
      <formula>$AA$10</formula>
      <formula>$AB$10</formula>
    </cfRule>
    <cfRule type="cellIs" dxfId="31" priority="29" operator="between">
      <formula>$AA$9</formula>
      <formula>$AB$9</formula>
    </cfRule>
    <cfRule type="cellIs" dxfId="30" priority="30" operator="between">
      <formula>$AA$8</formula>
      <formula>$AB$8</formula>
    </cfRule>
    <cfRule type="cellIs" dxfId="29" priority="31" operator="between">
      <formula>$AA$7</formula>
      <formula>$AB$7</formula>
    </cfRule>
  </conditionalFormatting>
  <conditionalFormatting sqref="C329:R360">
    <cfRule type="cellIs" dxfId="28" priority="16" operator="between">
      <formula>$AA$4</formula>
      <formula>$AB$4</formula>
    </cfRule>
    <cfRule type="cellIs" dxfId="27" priority="17" operator="between">
      <formula>$AA$5</formula>
      <formula>$AB$5</formula>
    </cfRule>
    <cfRule type="cellIs" dxfId="26" priority="18" operator="between">
      <formula>$AA$6</formula>
      <formula>$AB$6</formula>
    </cfRule>
    <cfRule type="cellIs" dxfId="25" priority="19" operator="between">
      <formula>$AA$11</formula>
      <formula>$AB$11</formula>
    </cfRule>
    <cfRule type="cellIs" dxfId="24" priority="20" operator="between">
      <formula>$AA$10</formula>
      <formula>$AB$10</formula>
    </cfRule>
    <cfRule type="cellIs" dxfId="23" priority="21" operator="between">
      <formula>$AA$9</formula>
      <formula>$AB$9</formula>
    </cfRule>
    <cfRule type="cellIs" dxfId="22" priority="22" operator="between">
      <formula>$AA$8</formula>
      <formula>$AB$8</formula>
    </cfRule>
    <cfRule type="cellIs" dxfId="21" priority="23" operator="between">
      <formula>$AA$7</formula>
      <formula>$AB$7</formula>
    </cfRule>
  </conditionalFormatting>
  <conditionalFormatting sqref="C365:R396">
    <cfRule type="cellIs" dxfId="20" priority="8" operator="between">
      <formula>$AA$4</formula>
      <formula>$AB$4</formula>
    </cfRule>
    <cfRule type="cellIs" dxfId="19" priority="9" operator="between">
      <formula>$AA$5</formula>
      <formula>$AB$5</formula>
    </cfRule>
    <cfRule type="cellIs" dxfId="18" priority="10" operator="between">
      <formula>$AA$6</formula>
      <formula>$AB$6</formula>
    </cfRule>
    <cfRule type="cellIs" dxfId="17" priority="11" operator="between">
      <formula>$AA$11</formula>
      <formula>$AB$11</formula>
    </cfRule>
    <cfRule type="cellIs" dxfId="16" priority="12" operator="between">
      <formula>$AA$10</formula>
      <formula>$AB$10</formula>
    </cfRule>
    <cfRule type="cellIs" dxfId="15" priority="13" operator="between">
      <formula>$AA$9</formula>
      <formula>$AB$9</formula>
    </cfRule>
    <cfRule type="cellIs" dxfId="14" priority="14" operator="between">
      <formula>$AA$8</formula>
      <formula>$AB$8</formula>
    </cfRule>
    <cfRule type="cellIs" dxfId="13" priority="15" operator="between">
      <formula>$AA$7</formula>
      <formula>$AB$7</formula>
    </cfRule>
  </conditionalFormatting>
  <conditionalFormatting sqref="C401:R432 C365:R396 C329:R360 C437:R468">
    <cfRule type="cellIs" dxfId="12" priority="7" operator="between">
      <formula>$AA$7</formula>
      <formula>$AB$7</formula>
    </cfRule>
  </conditionalFormatting>
  <conditionalFormatting sqref="C401:R432 C365:R396 C329:R360 C437:R468">
    <cfRule type="cellIs" dxfId="11" priority="6" operator="between">
      <formula>$AA$8</formula>
      <formula>$AB$8</formula>
    </cfRule>
  </conditionalFormatting>
  <conditionalFormatting sqref="C401:R432 C365:R396 C329:R360 C437:R468">
    <cfRule type="cellIs" dxfId="10" priority="5" operator="between">
      <formula>$AA$9</formula>
      <formula>$AB$9</formula>
    </cfRule>
  </conditionalFormatting>
  <conditionalFormatting sqref="C401:R432 C365:R396 C329:R360 C437:R468">
    <cfRule type="cellIs" dxfId="9" priority="4" operator="between">
      <formula>$AA$10</formula>
      <formula>$AB$10</formula>
    </cfRule>
  </conditionalFormatting>
  <conditionalFormatting sqref="C401:R432 C365:R396 C329:R360 C437:R468">
    <cfRule type="cellIs" dxfId="8" priority="3" operator="between">
      <formula>$AA$11</formula>
      <formula>$AB$11</formula>
    </cfRule>
  </conditionalFormatting>
  <conditionalFormatting sqref="C401:R432 C365:R396 C329:R360 C437:R468">
    <cfRule type="cellIs" dxfId="7" priority="2" operator="between">
      <formula>$AA$6</formula>
      <formula>$AB$6</formula>
    </cfRule>
  </conditionalFormatting>
  <conditionalFormatting sqref="C401:R432 C365:R396 C329:R360 C437:R468">
    <cfRule type="cellIs" dxfId="6" priority="1" operator="between">
      <formula>$AA$5</formula>
      <formula>$AB$5</formula>
    </cfRule>
  </conditionalFormatting>
  <dataValidations count="1">
    <dataValidation type="list" allowBlank="1" showErrorMessage="1" errorTitle="設定不可" error="整数0～7の範囲で設定" promptTitle="重み係数設定" prompt="整数0～7の範囲で設定" sqref="C221:R252 C113:R144 C5:R36 C41:R72 C77:R108 C149:R180 C185:K216 L185:P217 Q185:R216 C257:R288 C293:R324 C401:R432 C329:R360 C437:R468 C365:R396">
      <formula1>"0,1,2,3,4,5,6,7,8,9,10,11,12,13,14,15"</formula1>
    </dataValidation>
  </dataValidations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CI133"/>
  <sheetViews>
    <sheetView workbookViewId="0"/>
  </sheetViews>
  <sheetFormatPr defaultColWidth="9" defaultRowHeight="13.5"/>
  <cols>
    <col min="1" max="1" width="4.5" style="1" customWidth="1"/>
    <col min="2" max="2" width="3.25" style="1" customWidth="1"/>
    <col min="3" max="3" width="3.5" style="1" customWidth="1"/>
    <col min="4" max="11" width="7.5" style="2" customWidth="1"/>
    <col min="12" max="13" width="6.875" style="2" customWidth="1"/>
    <col min="14" max="14" width="7.5" style="2" customWidth="1"/>
    <col min="15" max="16" width="6.875" style="2" customWidth="1"/>
    <col min="17" max="18" width="5" style="2" customWidth="1"/>
    <col min="19" max="20" width="7.5" style="2" customWidth="1"/>
    <col min="21" max="22" width="5" style="2" customWidth="1"/>
    <col min="23" max="24" width="7.5" style="2" customWidth="1"/>
    <col min="25" max="87" width="9" style="2"/>
    <col min="88" max="16384" width="9" style="1"/>
  </cols>
  <sheetData>
    <row r="2" spans="1:21">
      <c r="B2" s="5" t="s">
        <v>281</v>
      </c>
    </row>
    <row r="4" spans="1:21"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</row>
    <row r="5" spans="1:21">
      <c r="A5" s="2" t="s">
        <v>125</v>
      </c>
      <c r="B5" s="2" t="s">
        <v>126</v>
      </c>
      <c r="C5" s="2" t="s">
        <v>127</v>
      </c>
    </row>
    <row r="6" spans="1:21">
      <c r="A6" s="1">
        <v>1</v>
      </c>
      <c r="B6" s="1">
        <v>0</v>
      </c>
      <c r="C6" s="1">
        <v>1</v>
      </c>
      <c r="D6" s="3" t="str">
        <f>VLOOKUP(B6,AE_weight!$U$4:$Y$36,C6+1)</f>
        <v>FFFF</v>
      </c>
      <c r="E6" s="3" t="str">
        <f>VLOOKUP(B6,AE_weight!$U$40:$Y$72,C6+1)</f>
        <v>0000</v>
      </c>
      <c r="F6" s="3" t="str">
        <f>VLOOKUP(B6,AE_weight!$U$76:$Y$108,C6+1)</f>
        <v>0000</v>
      </c>
      <c r="G6" s="3" t="str">
        <f>VLOOKUP(B6,AE_weight!$U$112:$Y$144,C6+1)</f>
        <v>2222</v>
      </c>
      <c r="H6" s="3" t="str">
        <f>VLOOKUP(B6,AE_weight!$U$149:$Y$180,C6+1)</f>
        <v>0000</v>
      </c>
      <c r="I6" s="3" t="str">
        <f>VLOOKUP(B6,AE_weight!$U$185:$Y$216,C6+1)</f>
        <v>0000</v>
      </c>
      <c r="J6" s="3" t="str">
        <f>VLOOKUP(B6,AE_weight!$U$221:$Y$252,C6+1)</f>
        <v>0000</v>
      </c>
      <c r="K6" s="3" t="str">
        <f>VLOOKUP(B6,AE_weight!$U$257:$Y$288,C6+1)</f>
        <v>0000</v>
      </c>
      <c r="L6" s="3" t="str">
        <f>VLOOKUP(B6,AE_weight!$U$293:$Y$324,C6+1)</f>
        <v>0000</v>
      </c>
      <c r="M6" s="3" t="str">
        <f>VLOOKUP(B6,AE_weight!$U$329:$Y$360,C6+1)</f>
        <v>0000</v>
      </c>
      <c r="N6" s="3" t="str">
        <f>VLOOKUP(B6,AE_weight!$U$365:$Y$396,C6+1)</f>
        <v>0000</v>
      </c>
      <c r="O6" s="3" t="str">
        <f>VLOOKUP(B6,AE_weight!$U$401:$Y$432,C6+1)</f>
        <v>0112</v>
      </c>
      <c r="P6" s="3" t="str">
        <f>VLOOKUP(B6,AE_weight!$U$437:$Y$468,C6+1)</f>
        <v>0000</v>
      </c>
    </row>
    <row r="7" spans="1:21">
      <c r="A7" s="1">
        <f t="shared" ref="A7:A70" si="0">A6+1</f>
        <v>2</v>
      </c>
      <c r="B7" s="1">
        <f>B6</f>
        <v>0</v>
      </c>
      <c r="C7" s="1">
        <v>2</v>
      </c>
      <c r="D7" s="3" t="str">
        <f>VLOOKUP(B7,AE_weight!$U$4:$Y$36,C7+1)</f>
        <v>FFFF</v>
      </c>
      <c r="E7" s="3" t="str">
        <f>VLOOKUP(B7,AE_weight!$U$40:$Y$72,C7+1)</f>
        <v>0000</v>
      </c>
      <c r="F7" s="3" t="str">
        <f>VLOOKUP(B7,AE_weight!$U$76:$Y$108,C7+1)</f>
        <v>0000</v>
      </c>
      <c r="G7" s="3" t="str">
        <f>VLOOKUP(B7,AE_weight!$U$112:$Y$144,C7+1)</f>
        <v>2222</v>
      </c>
      <c r="H7" s="3" t="str">
        <f>VLOOKUP(B7,AE_weight!$U$149:$Y$180,C7+1)</f>
        <v>0000</v>
      </c>
      <c r="I7" s="3" t="str">
        <f>VLOOKUP(B7,AE_weight!$U$185:$Y$216,C7+1)</f>
        <v>0000</v>
      </c>
      <c r="J7" s="3" t="str">
        <f>VLOOKUP(B7,AE_weight!$U$221:$Y$252,C7+1)</f>
        <v>0000</v>
      </c>
      <c r="K7" s="3" t="str">
        <f>VLOOKUP(B7,AE_weight!$U$257:$Y$288,C7+1)</f>
        <v>0000</v>
      </c>
      <c r="L7" s="3" t="str">
        <f>VLOOKUP(B7,AE_weight!$U$293:$Y$324,C7+1)</f>
        <v>0000</v>
      </c>
      <c r="M7" s="3" t="str">
        <f>VLOOKUP(B7,AE_weight!$U$329:$Y$360,C7+1)</f>
        <v>0000</v>
      </c>
      <c r="N7" s="3" t="str">
        <f>VLOOKUP(B7,AE_weight!$U$365:$Y$396,C7+1)</f>
        <v>0000</v>
      </c>
      <c r="O7" s="3" t="str">
        <f>VLOOKUP(B7,AE_weight!$U$401:$Y$432,C7+1)</f>
        <v>3334</v>
      </c>
      <c r="P7" s="3" t="str">
        <f>VLOOKUP(B7,AE_weight!$U$437:$Y$468,C7+1)</f>
        <v>0000</v>
      </c>
    </row>
    <row r="8" spans="1:21">
      <c r="A8" s="1">
        <f t="shared" si="0"/>
        <v>3</v>
      </c>
      <c r="B8" s="1">
        <f>B7</f>
        <v>0</v>
      </c>
      <c r="C8" s="1">
        <v>3</v>
      </c>
      <c r="D8" s="3" t="str">
        <f>VLOOKUP(B8,AE_weight!$U$4:$Y$36,C8+1)</f>
        <v>FFFF</v>
      </c>
      <c r="E8" s="3" t="str">
        <f>VLOOKUP(B8,AE_weight!$U$40:$Y$72,C8+1)</f>
        <v>0000</v>
      </c>
      <c r="F8" s="3" t="str">
        <f>VLOOKUP(B8,AE_weight!$U$76:$Y$108,C8+1)</f>
        <v>0000</v>
      </c>
      <c r="G8" s="3" t="str">
        <f>VLOOKUP(B8,AE_weight!$U$112:$Y$144,C8+1)</f>
        <v>2222</v>
      </c>
      <c r="H8" s="3" t="str">
        <f>VLOOKUP(B8,AE_weight!$U$149:$Y$180,C8+1)</f>
        <v>0000</v>
      </c>
      <c r="I8" s="3" t="str">
        <f>VLOOKUP(B8,AE_weight!$U$185:$Y$216,C8+1)</f>
        <v>0000</v>
      </c>
      <c r="J8" s="3" t="str">
        <f>VLOOKUP(B8,AE_weight!$U$221:$Y$252,C8+1)</f>
        <v>0000</v>
      </c>
      <c r="K8" s="3" t="str">
        <f>VLOOKUP(B8,AE_weight!$U$257:$Y$288,C8+1)</f>
        <v>0000</v>
      </c>
      <c r="L8" s="3" t="str">
        <f>VLOOKUP(B8,AE_weight!$U$293:$Y$324,C8+1)</f>
        <v>0000</v>
      </c>
      <c r="M8" s="3" t="str">
        <f>VLOOKUP(B8,AE_weight!$U$329:$Y$360,C8+1)</f>
        <v>0000</v>
      </c>
      <c r="N8" s="3" t="str">
        <f>VLOOKUP(B8,AE_weight!$U$365:$Y$396,C8+1)</f>
        <v>0000</v>
      </c>
      <c r="O8" s="3" t="str">
        <f>VLOOKUP(B8,AE_weight!$U$401:$Y$432,C8+1)</f>
        <v>4333</v>
      </c>
      <c r="P8" s="3" t="str">
        <f>VLOOKUP(B8,AE_weight!$U$437:$Y$468,C8+1)</f>
        <v>0000</v>
      </c>
    </row>
    <row r="9" spans="1:21">
      <c r="A9" s="1">
        <f t="shared" si="0"/>
        <v>4</v>
      </c>
      <c r="B9" s="1">
        <f>B8</f>
        <v>0</v>
      </c>
      <c r="C9" s="1">
        <v>4</v>
      </c>
      <c r="D9" s="3" t="str">
        <f>VLOOKUP(B9,AE_weight!$U$4:$Y$36,C9+1)</f>
        <v>FFFF</v>
      </c>
      <c r="E9" s="3" t="str">
        <f>VLOOKUP(B9,AE_weight!$U$40:$Y$72,C9+1)</f>
        <v>0000</v>
      </c>
      <c r="F9" s="3" t="str">
        <f>VLOOKUP(B9,AE_weight!$U$76:$Y$108,C9+1)</f>
        <v>0000</v>
      </c>
      <c r="G9" s="3" t="str">
        <f>VLOOKUP(B9,AE_weight!$U$112:$Y$144,C9+1)</f>
        <v>2222</v>
      </c>
      <c r="H9" s="3" t="str">
        <f>VLOOKUP(B9,AE_weight!$U$149:$Y$180,C9+1)</f>
        <v>0000</v>
      </c>
      <c r="I9" s="3" t="str">
        <f>VLOOKUP(B9,AE_weight!$U$185:$Y$216,C9+1)</f>
        <v>0000</v>
      </c>
      <c r="J9" s="3" t="str">
        <f>VLOOKUP(B9,AE_weight!$U$221:$Y$252,C9+1)</f>
        <v>0000</v>
      </c>
      <c r="K9" s="3" t="str">
        <f>VLOOKUP(B9,AE_weight!$U$257:$Y$288,C9+1)</f>
        <v>0000</v>
      </c>
      <c r="L9" s="3" t="str">
        <f>VLOOKUP(B9,AE_weight!$U$293:$Y$324,C9+1)</f>
        <v>0000</v>
      </c>
      <c r="M9" s="3" t="str">
        <f>VLOOKUP(B9,AE_weight!$U$329:$Y$360,C9+1)</f>
        <v>0000</v>
      </c>
      <c r="N9" s="3" t="str">
        <f>VLOOKUP(B9,AE_weight!$U$365:$Y$396,C9+1)</f>
        <v>0000</v>
      </c>
      <c r="O9" s="3" t="str">
        <f>VLOOKUP(B9,AE_weight!$U$401:$Y$432,C9+1)</f>
        <v>2110</v>
      </c>
      <c r="P9" s="3" t="str">
        <f>VLOOKUP(B9,AE_weight!$U$437:$Y$468,C9+1)</f>
        <v>0000</v>
      </c>
      <c r="Q9" s="4"/>
      <c r="U9" s="4"/>
    </row>
    <row r="10" spans="1:21">
      <c r="A10" s="1">
        <f t="shared" si="0"/>
        <v>5</v>
      </c>
      <c r="B10" s="1">
        <f>B6+1</f>
        <v>1</v>
      </c>
      <c r="C10" s="1">
        <v>1</v>
      </c>
      <c r="D10" s="3" t="str">
        <f>VLOOKUP(B10,AE_weight!$U$4:$Y$36,C10+1)</f>
        <v>FFFF</v>
      </c>
      <c r="E10" s="3" t="str">
        <f>VLOOKUP(B10,AE_weight!$U$40:$Y$72,C10+1)</f>
        <v>0000</v>
      </c>
      <c r="F10" s="3" t="str">
        <f>VLOOKUP(B10,AE_weight!$U$76:$Y$108,C10+1)</f>
        <v>0000</v>
      </c>
      <c r="G10" s="3" t="str">
        <f>VLOOKUP(B10,AE_weight!$U$112:$Y$144,C10+1)</f>
        <v>2222</v>
      </c>
      <c r="H10" s="3" t="str">
        <f>VLOOKUP(B10,AE_weight!$U$149:$Y$180,C10+1)</f>
        <v>0000</v>
      </c>
      <c r="I10" s="3" t="str">
        <f>VLOOKUP(B10,AE_weight!$U$185:$Y$216,C10+1)</f>
        <v>0000</v>
      </c>
      <c r="J10" s="3" t="str">
        <f>VLOOKUP(B10,AE_weight!$U$221:$Y$252,C10+1)</f>
        <v>0000</v>
      </c>
      <c r="K10" s="3" t="str">
        <f>VLOOKUP(B10,AE_weight!$U$257:$Y$288,C10+1)</f>
        <v>0000</v>
      </c>
      <c r="L10" s="3" t="str">
        <f>VLOOKUP(B10,AE_weight!$U$293:$Y$324,C10+1)</f>
        <v>0000</v>
      </c>
      <c r="M10" s="3" t="str">
        <f>VLOOKUP(B10,AE_weight!$U$329:$Y$360,C10+1)</f>
        <v>0000</v>
      </c>
      <c r="N10" s="3" t="str">
        <f>VLOOKUP(B10,AE_weight!$U$365:$Y$396,C10+1)</f>
        <v>0000</v>
      </c>
      <c r="O10" s="3" t="str">
        <f>VLOOKUP(B10,AE_weight!$U$401:$Y$432,C10+1)</f>
        <v>0112</v>
      </c>
      <c r="P10" s="3" t="str">
        <f>VLOOKUP(B10,AE_weight!$U$437:$Y$468,C10+1)</f>
        <v>0000</v>
      </c>
      <c r="Q10" s="4"/>
      <c r="U10" s="4"/>
    </row>
    <row r="11" spans="1:21">
      <c r="A11" s="1">
        <f t="shared" si="0"/>
        <v>6</v>
      </c>
      <c r="B11" s="1">
        <f>B10</f>
        <v>1</v>
      </c>
      <c r="C11" s="1">
        <v>2</v>
      </c>
      <c r="D11" s="3" t="str">
        <f>VLOOKUP(B11,AE_weight!$U$4:$Y$36,C11+1)</f>
        <v>FFFF</v>
      </c>
      <c r="E11" s="3" t="str">
        <f>VLOOKUP(B11,AE_weight!$U$40:$Y$72,C11+1)</f>
        <v>0000</v>
      </c>
      <c r="F11" s="3" t="str">
        <f>VLOOKUP(B11,AE_weight!$U$76:$Y$108,C11+1)</f>
        <v>0000</v>
      </c>
      <c r="G11" s="3" t="str">
        <f>VLOOKUP(B11,AE_weight!$U$112:$Y$144,C11+1)</f>
        <v>2222</v>
      </c>
      <c r="H11" s="3" t="str">
        <f>VLOOKUP(B11,AE_weight!$U$149:$Y$180,C11+1)</f>
        <v>0000</v>
      </c>
      <c r="I11" s="3" t="str">
        <f>VLOOKUP(B11,AE_weight!$U$185:$Y$216,C11+1)</f>
        <v>0000</v>
      </c>
      <c r="J11" s="3" t="str">
        <f>VLOOKUP(B11,AE_weight!$U$221:$Y$252,C11+1)</f>
        <v>0000</v>
      </c>
      <c r="K11" s="3" t="str">
        <f>VLOOKUP(B11,AE_weight!$U$257:$Y$288,C11+1)</f>
        <v>0000</v>
      </c>
      <c r="L11" s="3" t="str">
        <f>VLOOKUP(B11,AE_weight!$U$293:$Y$324,C11+1)</f>
        <v>0000</v>
      </c>
      <c r="M11" s="3" t="str">
        <f>VLOOKUP(B11,AE_weight!$U$329:$Y$360,C11+1)</f>
        <v>0000</v>
      </c>
      <c r="N11" s="3" t="str">
        <f>VLOOKUP(B11,AE_weight!$U$365:$Y$396,C11+1)</f>
        <v>0000</v>
      </c>
      <c r="O11" s="3" t="str">
        <f>VLOOKUP(B11,AE_weight!$U$401:$Y$432,C11+1)</f>
        <v>3344</v>
      </c>
      <c r="P11" s="3" t="str">
        <f>VLOOKUP(B11,AE_weight!$U$437:$Y$468,C11+1)</f>
        <v>0000</v>
      </c>
      <c r="Q11" s="4"/>
      <c r="U11" s="4"/>
    </row>
    <row r="12" spans="1:21">
      <c r="A12" s="1">
        <f t="shared" si="0"/>
        <v>7</v>
      </c>
      <c r="B12" s="1">
        <f>B11</f>
        <v>1</v>
      </c>
      <c r="C12" s="1">
        <v>3</v>
      </c>
      <c r="D12" s="3" t="str">
        <f>VLOOKUP(B12,AE_weight!$U$4:$Y$36,C12+1)</f>
        <v>FFFF</v>
      </c>
      <c r="E12" s="3" t="str">
        <f>VLOOKUP(B12,AE_weight!$U$40:$Y$72,C12+1)</f>
        <v>0000</v>
      </c>
      <c r="F12" s="3" t="str">
        <f>VLOOKUP(B12,AE_weight!$U$76:$Y$108,C12+1)</f>
        <v>0000</v>
      </c>
      <c r="G12" s="3" t="str">
        <f>VLOOKUP(B12,AE_weight!$U$112:$Y$144,C12+1)</f>
        <v>2222</v>
      </c>
      <c r="H12" s="3" t="str">
        <f>VLOOKUP(B12,AE_weight!$U$149:$Y$180,C12+1)</f>
        <v>0000</v>
      </c>
      <c r="I12" s="3" t="str">
        <f>VLOOKUP(B12,AE_weight!$U$185:$Y$216,C12+1)</f>
        <v>0000</v>
      </c>
      <c r="J12" s="3" t="str">
        <f>VLOOKUP(B12,AE_weight!$U$221:$Y$252,C12+1)</f>
        <v>0000</v>
      </c>
      <c r="K12" s="3" t="str">
        <f>VLOOKUP(B12,AE_weight!$U$257:$Y$288,C12+1)</f>
        <v>0000</v>
      </c>
      <c r="L12" s="3" t="str">
        <f>VLOOKUP(B12,AE_weight!$U$293:$Y$324,C12+1)</f>
        <v>0000</v>
      </c>
      <c r="M12" s="3" t="str">
        <f>VLOOKUP(B12,AE_weight!$U$329:$Y$360,C12+1)</f>
        <v>0000</v>
      </c>
      <c r="N12" s="3" t="str">
        <f>VLOOKUP(B12,AE_weight!$U$365:$Y$396,C12+1)</f>
        <v>0000</v>
      </c>
      <c r="O12" s="3" t="str">
        <f>VLOOKUP(B12,AE_weight!$U$401:$Y$432,C12+1)</f>
        <v>4433</v>
      </c>
      <c r="P12" s="3" t="str">
        <f>VLOOKUP(B12,AE_weight!$U$437:$Y$468,C12+1)</f>
        <v>0000</v>
      </c>
      <c r="Q12" s="4"/>
      <c r="U12" s="4"/>
    </row>
    <row r="13" spans="1:21">
      <c r="A13" s="1">
        <f t="shared" si="0"/>
        <v>8</v>
      </c>
      <c r="B13" s="1">
        <f>B12</f>
        <v>1</v>
      </c>
      <c r="C13" s="1">
        <v>4</v>
      </c>
      <c r="D13" s="3" t="str">
        <f>VLOOKUP(B13,AE_weight!$U$4:$Y$36,C13+1)</f>
        <v>FFFF</v>
      </c>
      <c r="E13" s="3" t="str">
        <f>VLOOKUP(B13,AE_weight!$U$40:$Y$72,C13+1)</f>
        <v>0000</v>
      </c>
      <c r="F13" s="3" t="str">
        <f>VLOOKUP(B13,AE_weight!$U$76:$Y$108,C13+1)</f>
        <v>0000</v>
      </c>
      <c r="G13" s="3" t="str">
        <f>VLOOKUP(B13,AE_weight!$U$112:$Y$144,C13+1)</f>
        <v>2222</v>
      </c>
      <c r="H13" s="3" t="str">
        <f>VLOOKUP(B13,AE_weight!$U$149:$Y$180,C13+1)</f>
        <v>0000</v>
      </c>
      <c r="I13" s="3" t="str">
        <f>VLOOKUP(B13,AE_weight!$U$185:$Y$216,C13+1)</f>
        <v>0000</v>
      </c>
      <c r="J13" s="3" t="str">
        <f>VLOOKUP(B13,AE_weight!$U$221:$Y$252,C13+1)</f>
        <v>0000</v>
      </c>
      <c r="K13" s="3" t="str">
        <f>VLOOKUP(B13,AE_weight!$U$257:$Y$288,C13+1)</f>
        <v>0000</v>
      </c>
      <c r="L13" s="3" t="str">
        <f>VLOOKUP(B13,AE_weight!$U$293:$Y$324,C13+1)</f>
        <v>0000</v>
      </c>
      <c r="M13" s="3" t="str">
        <f>VLOOKUP(B13,AE_weight!$U$329:$Y$360,C13+1)</f>
        <v>0000</v>
      </c>
      <c r="N13" s="3" t="str">
        <f>VLOOKUP(B13,AE_weight!$U$365:$Y$396,C13+1)</f>
        <v>0000</v>
      </c>
      <c r="O13" s="3" t="str">
        <f>VLOOKUP(B13,AE_weight!$U$401:$Y$432,C13+1)</f>
        <v>2110</v>
      </c>
      <c r="P13" s="3" t="str">
        <f>VLOOKUP(B13,AE_weight!$U$437:$Y$468,C13+1)</f>
        <v>0000</v>
      </c>
      <c r="Q13" s="4"/>
      <c r="U13" s="4"/>
    </row>
    <row r="14" spans="1:21">
      <c r="A14" s="1">
        <f t="shared" si="0"/>
        <v>9</v>
      </c>
      <c r="B14" s="1">
        <f>B10+1</f>
        <v>2</v>
      </c>
      <c r="C14" s="1">
        <v>1</v>
      </c>
      <c r="D14" s="3" t="str">
        <f>VLOOKUP(B14,AE_weight!$U$4:$Y$36,C14+1)</f>
        <v>FFFF</v>
      </c>
      <c r="E14" s="3" t="str">
        <f>VLOOKUP(B14,AE_weight!$U$40:$Y$72,C14+1)</f>
        <v>0000</v>
      </c>
      <c r="F14" s="3" t="str">
        <f>VLOOKUP(B14,AE_weight!$U$76:$Y$108,C14+1)</f>
        <v>0000</v>
      </c>
      <c r="G14" s="3" t="str">
        <f>VLOOKUP(B14,AE_weight!$U$112:$Y$144,C14+1)</f>
        <v>2222</v>
      </c>
      <c r="H14" s="3" t="str">
        <f>VLOOKUP(B14,AE_weight!$U$149:$Y$180,C14+1)</f>
        <v>0000</v>
      </c>
      <c r="I14" s="3" t="str">
        <f>VLOOKUP(B14,AE_weight!$U$185:$Y$216,C14+1)</f>
        <v>0000</v>
      </c>
      <c r="J14" s="3" t="str">
        <f>VLOOKUP(B14,AE_weight!$U$221:$Y$252,C14+1)</f>
        <v>0000</v>
      </c>
      <c r="K14" s="3" t="str">
        <f>VLOOKUP(B14,AE_weight!$U$257:$Y$288,C14+1)</f>
        <v>0000</v>
      </c>
      <c r="L14" s="3" t="str">
        <f>VLOOKUP(B14,AE_weight!$U$293:$Y$324,C14+1)</f>
        <v>0000</v>
      </c>
      <c r="M14" s="3" t="str">
        <f>VLOOKUP(B14,AE_weight!$U$329:$Y$360,C14+1)</f>
        <v>0000</v>
      </c>
      <c r="N14" s="3" t="str">
        <f>VLOOKUP(B14,AE_weight!$U$365:$Y$396,C14+1)</f>
        <v>0000</v>
      </c>
      <c r="O14" s="3" t="str">
        <f>VLOOKUP(B14,AE_weight!$U$401:$Y$432,C14+1)</f>
        <v>0112</v>
      </c>
      <c r="P14" s="3" t="str">
        <f>VLOOKUP(B14,AE_weight!$U$437:$Y$468,C14+1)</f>
        <v>1111</v>
      </c>
      <c r="Q14" s="4"/>
      <c r="U14" s="4"/>
    </row>
    <row r="15" spans="1:21">
      <c r="A15" s="1">
        <f t="shared" si="0"/>
        <v>10</v>
      </c>
      <c r="B15" s="1">
        <f>B14</f>
        <v>2</v>
      </c>
      <c r="C15" s="1">
        <v>2</v>
      </c>
      <c r="D15" s="3" t="str">
        <f>VLOOKUP(B15,AE_weight!$U$4:$Y$36,C15+1)</f>
        <v>FFFF</v>
      </c>
      <c r="E15" s="3" t="str">
        <f>VLOOKUP(B15,AE_weight!$U$40:$Y$72,C15+1)</f>
        <v>0000</v>
      </c>
      <c r="F15" s="3" t="str">
        <f>VLOOKUP(B15,AE_weight!$U$76:$Y$108,C15+1)</f>
        <v>0000</v>
      </c>
      <c r="G15" s="3" t="str">
        <f>VLOOKUP(B15,AE_weight!$U$112:$Y$144,C15+1)</f>
        <v>2222</v>
      </c>
      <c r="H15" s="3" t="str">
        <f>VLOOKUP(B15,AE_weight!$U$149:$Y$180,C15+1)</f>
        <v>0000</v>
      </c>
      <c r="I15" s="3" t="str">
        <f>VLOOKUP(B15,AE_weight!$U$185:$Y$216,C15+1)</f>
        <v>0000</v>
      </c>
      <c r="J15" s="3" t="str">
        <f>VLOOKUP(B15,AE_weight!$U$221:$Y$252,C15+1)</f>
        <v>0000</v>
      </c>
      <c r="K15" s="3" t="str">
        <f>VLOOKUP(B15,AE_weight!$U$257:$Y$288,C15+1)</f>
        <v>0000</v>
      </c>
      <c r="L15" s="3" t="str">
        <f>VLOOKUP(B15,AE_weight!$U$293:$Y$324,C15+1)</f>
        <v>0000</v>
      </c>
      <c r="M15" s="3" t="str">
        <f>VLOOKUP(B15,AE_weight!$U$329:$Y$360,C15+1)</f>
        <v>0000</v>
      </c>
      <c r="N15" s="3" t="str">
        <f>VLOOKUP(B15,AE_weight!$U$365:$Y$396,C15+1)</f>
        <v>0011</v>
      </c>
      <c r="O15" s="3" t="str">
        <f>VLOOKUP(B15,AE_weight!$U$401:$Y$432,C15+1)</f>
        <v>3344</v>
      </c>
      <c r="P15" s="3" t="str">
        <f>VLOOKUP(B15,AE_weight!$U$437:$Y$468,C15+1)</f>
        <v>1111</v>
      </c>
      <c r="Q15" s="4"/>
      <c r="U15" s="4"/>
    </row>
    <row r="16" spans="1:21">
      <c r="A16" s="1">
        <f t="shared" si="0"/>
        <v>11</v>
      </c>
      <c r="B16" s="1">
        <f>B15</f>
        <v>2</v>
      </c>
      <c r="C16" s="1">
        <v>3</v>
      </c>
      <c r="D16" s="3" t="str">
        <f>VLOOKUP(B16,AE_weight!$U$4:$Y$36,C16+1)</f>
        <v>FFFF</v>
      </c>
      <c r="E16" s="3" t="str">
        <f>VLOOKUP(B16,AE_weight!$U$40:$Y$72,C16+1)</f>
        <v>0000</v>
      </c>
      <c r="F16" s="3" t="str">
        <f>VLOOKUP(B16,AE_weight!$U$76:$Y$108,C16+1)</f>
        <v>0000</v>
      </c>
      <c r="G16" s="3" t="str">
        <f>VLOOKUP(B16,AE_weight!$U$112:$Y$144,C16+1)</f>
        <v>2222</v>
      </c>
      <c r="H16" s="3" t="str">
        <f>VLOOKUP(B16,AE_weight!$U$149:$Y$180,C16+1)</f>
        <v>0000</v>
      </c>
      <c r="I16" s="3" t="str">
        <f>VLOOKUP(B16,AE_weight!$U$185:$Y$216,C16+1)</f>
        <v>0000</v>
      </c>
      <c r="J16" s="3" t="str">
        <f>VLOOKUP(B16,AE_weight!$U$221:$Y$252,C16+1)</f>
        <v>0000</v>
      </c>
      <c r="K16" s="3" t="str">
        <f>VLOOKUP(B16,AE_weight!$U$257:$Y$288,C16+1)</f>
        <v>0000</v>
      </c>
      <c r="L16" s="3" t="str">
        <f>VLOOKUP(B16,AE_weight!$U$293:$Y$324,C16+1)</f>
        <v>0000</v>
      </c>
      <c r="M16" s="3" t="str">
        <f>VLOOKUP(B16,AE_weight!$U$329:$Y$360,C16+1)</f>
        <v>0000</v>
      </c>
      <c r="N16" s="3" t="str">
        <f>VLOOKUP(B16,AE_weight!$U$365:$Y$396,C16+1)</f>
        <v>1111</v>
      </c>
      <c r="O16" s="3" t="str">
        <f>VLOOKUP(B16,AE_weight!$U$401:$Y$432,C16+1)</f>
        <v>4433</v>
      </c>
      <c r="P16" s="3" t="str">
        <f>VLOOKUP(B16,AE_weight!$U$437:$Y$468,C16+1)</f>
        <v>1100</v>
      </c>
      <c r="Q16" s="4"/>
      <c r="U16" s="4"/>
    </row>
    <row r="17" spans="1:21">
      <c r="A17" s="1">
        <f t="shared" si="0"/>
        <v>12</v>
      </c>
      <c r="B17" s="1">
        <f>B16</f>
        <v>2</v>
      </c>
      <c r="C17" s="1">
        <v>4</v>
      </c>
      <c r="D17" s="3" t="str">
        <f>VLOOKUP(B17,AE_weight!$U$4:$Y$36,C17+1)</f>
        <v>FFFF</v>
      </c>
      <c r="E17" s="3" t="str">
        <f>VLOOKUP(B17,AE_weight!$U$40:$Y$72,C17+1)</f>
        <v>0000</v>
      </c>
      <c r="F17" s="3" t="str">
        <f>VLOOKUP(B17,AE_weight!$U$76:$Y$108,C17+1)</f>
        <v>0000</v>
      </c>
      <c r="G17" s="3" t="str">
        <f>VLOOKUP(B17,AE_weight!$U$112:$Y$144,C17+1)</f>
        <v>2222</v>
      </c>
      <c r="H17" s="3" t="str">
        <f>VLOOKUP(B17,AE_weight!$U$149:$Y$180,C17+1)</f>
        <v>0000</v>
      </c>
      <c r="I17" s="3" t="str">
        <f>VLOOKUP(B17,AE_weight!$U$185:$Y$216,C17+1)</f>
        <v>0000</v>
      </c>
      <c r="J17" s="3" t="str">
        <f>VLOOKUP(B17,AE_weight!$U$221:$Y$252,C17+1)</f>
        <v>0000</v>
      </c>
      <c r="K17" s="3" t="str">
        <f>VLOOKUP(B17,AE_weight!$U$257:$Y$288,C17+1)</f>
        <v>0000</v>
      </c>
      <c r="L17" s="3" t="str">
        <f>VLOOKUP(B17,AE_weight!$U$293:$Y$324,C17+1)</f>
        <v>0000</v>
      </c>
      <c r="M17" s="3" t="str">
        <f>VLOOKUP(B17,AE_weight!$U$329:$Y$360,C17+1)</f>
        <v>0000</v>
      </c>
      <c r="N17" s="3" t="str">
        <f>VLOOKUP(B17,AE_weight!$U$365:$Y$396,C17+1)</f>
        <v>1111</v>
      </c>
      <c r="O17" s="3" t="str">
        <f>VLOOKUP(B17,AE_weight!$U$401:$Y$432,C17+1)</f>
        <v>2110</v>
      </c>
      <c r="P17" s="3" t="str">
        <f>VLOOKUP(B17,AE_weight!$U$437:$Y$468,C17+1)</f>
        <v>0000</v>
      </c>
      <c r="Q17" s="4"/>
      <c r="U17" s="4"/>
    </row>
    <row r="18" spans="1:21">
      <c r="A18" s="1">
        <f t="shared" si="0"/>
        <v>13</v>
      </c>
      <c r="B18" s="1">
        <f>B14+1</f>
        <v>3</v>
      </c>
      <c r="C18" s="1">
        <v>1</v>
      </c>
      <c r="D18" s="3" t="str">
        <f>VLOOKUP(B18,AE_weight!$U$4:$Y$36,C18+1)</f>
        <v>FFFF</v>
      </c>
      <c r="E18" s="3" t="str">
        <f>VLOOKUP(B18,AE_weight!$U$40:$Y$72,C18+1)</f>
        <v>0000</v>
      </c>
      <c r="F18" s="3" t="str">
        <f>VLOOKUP(B18,AE_weight!$U$76:$Y$108,C18+1)</f>
        <v>0000</v>
      </c>
      <c r="G18" s="3" t="str">
        <f>VLOOKUP(B18,AE_weight!$U$112:$Y$144,C18+1)</f>
        <v>2222</v>
      </c>
      <c r="H18" s="3" t="str">
        <f>VLOOKUP(B18,AE_weight!$U$149:$Y$180,C18+1)</f>
        <v>0000</v>
      </c>
      <c r="I18" s="3" t="str">
        <f>VLOOKUP(B18,AE_weight!$U$185:$Y$216,C18+1)</f>
        <v>0000</v>
      </c>
      <c r="J18" s="3" t="str">
        <f>VLOOKUP(B18,AE_weight!$U$221:$Y$252,C18+1)</f>
        <v>0000</v>
      </c>
      <c r="K18" s="3" t="str">
        <f>VLOOKUP(B18,AE_weight!$U$257:$Y$288,C18+1)</f>
        <v>0000</v>
      </c>
      <c r="L18" s="3" t="str">
        <f>VLOOKUP(B18,AE_weight!$U$293:$Y$324,C18+1)</f>
        <v>0000</v>
      </c>
      <c r="M18" s="3" t="str">
        <f>VLOOKUP(B18,AE_weight!$U$329:$Y$360,C18+1)</f>
        <v>0000</v>
      </c>
      <c r="N18" s="3" t="str">
        <f>VLOOKUP(B18,AE_weight!$U$365:$Y$396,C18+1)</f>
        <v>0000</v>
      </c>
      <c r="O18" s="3" t="str">
        <f>VLOOKUP(B18,AE_weight!$U$401:$Y$432,C18+1)</f>
        <v>0112</v>
      </c>
      <c r="P18" s="3" t="str">
        <f>VLOOKUP(B18,AE_weight!$U$437:$Y$468,C18+1)</f>
        <v>1111</v>
      </c>
      <c r="Q18" s="4"/>
      <c r="U18" s="4"/>
    </row>
    <row r="19" spans="1:21">
      <c r="A19" s="1">
        <f t="shared" si="0"/>
        <v>14</v>
      </c>
      <c r="B19" s="1">
        <f>B18</f>
        <v>3</v>
      </c>
      <c r="C19" s="1">
        <v>2</v>
      </c>
      <c r="D19" s="3" t="str">
        <f>VLOOKUP(B19,AE_weight!$U$4:$Y$36,C19+1)</f>
        <v>FFFF</v>
      </c>
      <c r="E19" s="3" t="str">
        <f>VLOOKUP(B19,AE_weight!$U$40:$Y$72,C19+1)</f>
        <v>0000</v>
      </c>
      <c r="F19" s="3" t="str">
        <f>VLOOKUP(B19,AE_weight!$U$76:$Y$108,C19+1)</f>
        <v>0000</v>
      </c>
      <c r="G19" s="3" t="str">
        <f>VLOOKUP(B19,AE_weight!$U$112:$Y$144,C19+1)</f>
        <v>2222</v>
      </c>
      <c r="H19" s="3" t="str">
        <f>VLOOKUP(B19,AE_weight!$U$149:$Y$180,C19+1)</f>
        <v>0000</v>
      </c>
      <c r="I19" s="3" t="str">
        <f>VLOOKUP(B19,AE_weight!$U$185:$Y$216,C19+1)</f>
        <v>0000</v>
      </c>
      <c r="J19" s="3" t="str">
        <f>VLOOKUP(B19,AE_weight!$U$221:$Y$252,C19+1)</f>
        <v>0000</v>
      </c>
      <c r="K19" s="3" t="str">
        <f>VLOOKUP(B19,AE_weight!$U$257:$Y$288,C19+1)</f>
        <v>0000</v>
      </c>
      <c r="L19" s="3" t="str">
        <f>VLOOKUP(B19,AE_weight!$U$293:$Y$324,C19+1)</f>
        <v>0000</v>
      </c>
      <c r="M19" s="3" t="str">
        <f>VLOOKUP(B19,AE_weight!$U$329:$Y$360,C19+1)</f>
        <v>0011</v>
      </c>
      <c r="N19" s="3" t="str">
        <f>VLOOKUP(B19,AE_weight!$U$365:$Y$396,C19+1)</f>
        <v>0111</v>
      </c>
      <c r="O19" s="3" t="str">
        <f>VLOOKUP(B19,AE_weight!$U$401:$Y$432,C19+1)</f>
        <v>3444</v>
      </c>
      <c r="P19" s="3" t="str">
        <f>VLOOKUP(B19,AE_weight!$U$437:$Y$468,C19+1)</f>
        <v>1111</v>
      </c>
      <c r="Q19" s="4"/>
      <c r="U19" s="4"/>
    </row>
    <row r="20" spans="1:21">
      <c r="A20" s="1">
        <f t="shared" si="0"/>
        <v>15</v>
      </c>
      <c r="B20" s="1">
        <f>B19</f>
        <v>3</v>
      </c>
      <c r="C20" s="1">
        <v>3</v>
      </c>
      <c r="D20" s="3" t="str">
        <f>VLOOKUP(B20,AE_weight!$U$4:$Y$36,C20+1)</f>
        <v>FFFF</v>
      </c>
      <c r="E20" s="3" t="str">
        <f>VLOOKUP(B20,AE_weight!$U$40:$Y$72,C20+1)</f>
        <v>0000</v>
      </c>
      <c r="F20" s="3" t="str">
        <f>VLOOKUP(B20,AE_weight!$U$76:$Y$108,C20+1)</f>
        <v>0000</v>
      </c>
      <c r="G20" s="3" t="str">
        <f>VLOOKUP(B20,AE_weight!$U$112:$Y$144,C20+1)</f>
        <v>2222</v>
      </c>
      <c r="H20" s="3" t="str">
        <f>VLOOKUP(B20,AE_weight!$U$149:$Y$180,C20+1)</f>
        <v>0000</v>
      </c>
      <c r="I20" s="3" t="str">
        <f>VLOOKUP(B20,AE_weight!$U$185:$Y$216,C20+1)</f>
        <v>0000</v>
      </c>
      <c r="J20" s="3" t="str">
        <f>VLOOKUP(B20,AE_weight!$U$221:$Y$252,C20+1)</f>
        <v>0000</v>
      </c>
      <c r="K20" s="3" t="str">
        <f>VLOOKUP(B20,AE_weight!$U$257:$Y$288,C20+1)</f>
        <v>0000</v>
      </c>
      <c r="L20" s="3" t="str">
        <f>VLOOKUP(B20,AE_weight!$U$293:$Y$324,C20+1)</f>
        <v>0000</v>
      </c>
      <c r="M20" s="3" t="str">
        <f>VLOOKUP(B20,AE_weight!$U$329:$Y$360,C20+1)</f>
        <v>1100</v>
      </c>
      <c r="N20" s="3" t="str">
        <f>VLOOKUP(B20,AE_weight!$U$365:$Y$396,C20+1)</f>
        <v>1111</v>
      </c>
      <c r="O20" s="3" t="str">
        <f>VLOOKUP(B20,AE_weight!$U$401:$Y$432,C20+1)</f>
        <v>4443</v>
      </c>
      <c r="P20" s="3" t="str">
        <f>VLOOKUP(B20,AE_weight!$U$437:$Y$468,C20+1)</f>
        <v>1110</v>
      </c>
      <c r="Q20" s="4"/>
      <c r="U20" s="4"/>
    </row>
    <row r="21" spans="1:21">
      <c r="A21" s="1">
        <f t="shared" si="0"/>
        <v>16</v>
      </c>
      <c r="B21" s="1">
        <f>B20</f>
        <v>3</v>
      </c>
      <c r="C21" s="1">
        <v>4</v>
      </c>
      <c r="D21" s="3" t="str">
        <f>VLOOKUP(B21,AE_weight!$U$4:$Y$36,C21+1)</f>
        <v>FFFF</v>
      </c>
      <c r="E21" s="3" t="str">
        <f>VLOOKUP(B21,AE_weight!$U$40:$Y$72,C21+1)</f>
        <v>0000</v>
      </c>
      <c r="F21" s="3" t="str">
        <f>VLOOKUP(B21,AE_weight!$U$76:$Y$108,C21+1)</f>
        <v>0000</v>
      </c>
      <c r="G21" s="3" t="str">
        <f>VLOOKUP(B21,AE_weight!$U$112:$Y$144,C21+1)</f>
        <v>2222</v>
      </c>
      <c r="H21" s="3" t="str">
        <f>VLOOKUP(B21,AE_weight!$U$149:$Y$180,C21+1)</f>
        <v>0000</v>
      </c>
      <c r="I21" s="3" t="str">
        <f>VLOOKUP(B21,AE_weight!$U$185:$Y$216,C21+1)</f>
        <v>0000</v>
      </c>
      <c r="J21" s="3" t="str">
        <f>VLOOKUP(B21,AE_weight!$U$221:$Y$252,C21+1)</f>
        <v>0000</v>
      </c>
      <c r="K21" s="3" t="str">
        <f>VLOOKUP(B21,AE_weight!$U$257:$Y$288,C21+1)</f>
        <v>0000</v>
      </c>
      <c r="L21" s="3" t="str">
        <f>VLOOKUP(B21,AE_weight!$U$293:$Y$324,C21+1)</f>
        <v>0000</v>
      </c>
      <c r="M21" s="3" t="str">
        <f>VLOOKUP(B21,AE_weight!$U$329:$Y$360,C21+1)</f>
        <v>0000</v>
      </c>
      <c r="N21" s="3" t="str">
        <f>VLOOKUP(B21,AE_weight!$U$365:$Y$396,C21+1)</f>
        <v>1111</v>
      </c>
      <c r="O21" s="3" t="str">
        <f>VLOOKUP(B21,AE_weight!$U$401:$Y$432,C21+1)</f>
        <v>2110</v>
      </c>
      <c r="P21" s="3" t="str">
        <f>VLOOKUP(B21,AE_weight!$U$437:$Y$468,C21+1)</f>
        <v>0000</v>
      </c>
      <c r="Q21" s="4"/>
      <c r="U21" s="4"/>
    </row>
    <row r="22" spans="1:21">
      <c r="A22" s="1">
        <f t="shared" si="0"/>
        <v>17</v>
      </c>
      <c r="B22" s="1">
        <f>B18+1</f>
        <v>4</v>
      </c>
      <c r="C22" s="1">
        <v>1</v>
      </c>
      <c r="D22" s="3" t="str">
        <f>VLOOKUP(B22,AE_weight!$U$4:$Y$36,C22+1)</f>
        <v>FFFF</v>
      </c>
      <c r="E22" s="3" t="str">
        <f>VLOOKUP(B22,AE_weight!$U$40:$Y$72,C22+1)</f>
        <v>0000</v>
      </c>
      <c r="F22" s="3" t="str">
        <f>VLOOKUP(B22,AE_weight!$U$76:$Y$108,C22+1)</f>
        <v>0000</v>
      </c>
      <c r="G22" s="3" t="str">
        <f>VLOOKUP(B22,AE_weight!$U$112:$Y$144,C22+1)</f>
        <v>2222</v>
      </c>
      <c r="H22" s="3" t="str">
        <f>VLOOKUP(B22,AE_weight!$U$149:$Y$180,C22+1)</f>
        <v>0000</v>
      </c>
      <c r="I22" s="3" t="str">
        <f>VLOOKUP(B22,AE_weight!$U$185:$Y$216,C22+1)</f>
        <v>0000</v>
      </c>
      <c r="J22" s="3" t="str">
        <f>VLOOKUP(B22,AE_weight!$U$221:$Y$252,C22+1)</f>
        <v>0000</v>
      </c>
      <c r="K22" s="3" t="str">
        <f>VLOOKUP(B22,AE_weight!$U$257:$Y$288,C22+1)</f>
        <v>0000</v>
      </c>
      <c r="L22" s="3" t="str">
        <f>VLOOKUP(B22,AE_weight!$U$293:$Y$324,C22+1)</f>
        <v>0000</v>
      </c>
      <c r="M22" s="3" t="str">
        <f>VLOOKUP(B22,AE_weight!$U$329:$Y$360,C22+1)</f>
        <v>0000</v>
      </c>
      <c r="N22" s="3" t="str">
        <f>VLOOKUP(B22,AE_weight!$U$365:$Y$396,C22+1)</f>
        <v>0000</v>
      </c>
      <c r="O22" s="3" t="str">
        <f>VLOOKUP(B22,AE_weight!$U$401:$Y$432,C22+1)</f>
        <v>0112</v>
      </c>
      <c r="P22" s="3" t="str">
        <f>VLOOKUP(B22,AE_weight!$U$437:$Y$468,C22+1)</f>
        <v>1112</v>
      </c>
      <c r="Q22" s="4"/>
      <c r="U22" s="4"/>
    </row>
    <row r="23" spans="1:21">
      <c r="A23" s="1">
        <f t="shared" si="0"/>
        <v>18</v>
      </c>
      <c r="B23" s="1">
        <f>B22</f>
        <v>4</v>
      </c>
      <c r="C23" s="1">
        <v>2</v>
      </c>
      <c r="D23" s="3" t="str">
        <f>VLOOKUP(B23,AE_weight!$U$4:$Y$36,C23+1)</f>
        <v>FFFF</v>
      </c>
      <c r="E23" s="3" t="str">
        <f>VLOOKUP(B23,AE_weight!$U$40:$Y$72,C23+1)</f>
        <v>0000</v>
      </c>
      <c r="F23" s="3" t="str">
        <f>VLOOKUP(B23,AE_weight!$U$76:$Y$108,C23+1)</f>
        <v>0022</v>
      </c>
      <c r="G23" s="3" t="str">
        <f>VLOOKUP(B23,AE_weight!$U$112:$Y$144,C23+1)</f>
        <v>2222</v>
      </c>
      <c r="H23" s="3" t="str">
        <f>VLOOKUP(B23,AE_weight!$U$149:$Y$180,C23+1)</f>
        <v>0000</v>
      </c>
      <c r="I23" s="3" t="str">
        <f>VLOOKUP(B23,AE_weight!$U$185:$Y$216,C23+1)</f>
        <v>0000</v>
      </c>
      <c r="J23" s="3" t="str">
        <f>VLOOKUP(B23,AE_weight!$U$221:$Y$252,C23+1)</f>
        <v>0000</v>
      </c>
      <c r="K23" s="3" t="str">
        <f>VLOOKUP(B23,AE_weight!$U$257:$Y$288,C23+1)</f>
        <v>0000</v>
      </c>
      <c r="L23" s="3" t="str">
        <f>VLOOKUP(B23,AE_weight!$U$293:$Y$324,C23+1)</f>
        <v>0000</v>
      </c>
      <c r="M23" s="3" t="str">
        <f>VLOOKUP(B23,AE_weight!$U$329:$Y$360,C23+1)</f>
        <v>0111</v>
      </c>
      <c r="N23" s="3" t="str">
        <f>VLOOKUP(B23,AE_weight!$U$365:$Y$396,C23+1)</f>
        <v>1122</v>
      </c>
      <c r="O23" s="3" t="str">
        <f>VLOOKUP(B23,AE_weight!$U$401:$Y$432,C23+1)</f>
        <v>3445</v>
      </c>
      <c r="P23" s="3" t="str">
        <f>VLOOKUP(B23,AE_weight!$U$437:$Y$468,C23+1)</f>
        <v>2222</v>
      </c>
      <c r="Q23" s="4"/>
      <c r="U23" s="4"/>
    </row>
    <row r="24" spans="1:21">
      <c r="A24" s="1">
        <f t="shared" si="0"/>
        <v>19</v>
      </c>
      <c r="B24" s="1">
        <f>B23</f>
        <v>4</v>
      </c>
      <c r="C24" s="1">
        <v>3</v>
      </c>
      <c r="D24" s="3" t="str">
        <f>VLOOKUP(B24,AE_weight!$U$4:$Y$36,C24+1)</f>
        <v>FFFF</v>
      </c>
      <c r="E24" s="3" t="str">
        <f>VLOOKUP(B24,AE_weight!$U$40:$Y$72,C24+1)</f>
        <v>0000</v>
      </c>
      <c r="F24" s="3" t="str">
        <f>VLOOKUP(B24,AE_weight!$U$76:$Y$108,C24+1)</f>
        <v>2200</v>
      </c>
      <c r="G24" s="3" t="str">
        <f>VLOOKUP(B24,AE_weight!$U$112:$Y$144,C24+1)</f>
        <v>2222</v>
      </c>
      <c r="H24" s="3" t="str">
        <f>VLOOKUP(B24,AE_weight!$U$149:$Y$180,C24+1)</f>
        <v>0000</v>
      </c>
      <c r="I24" s="3" t="str">
        <f>VLOOKUP(B24,AE_weight!$U$185:$Y$216,C24+1)</f>
        <v>0000</v>
      </c>
      <c r="J24" s="3" t="str">
        <f>VLOOKUP(B24,AE_weight!$U$221:$Y$252,C24+1)</f>
        <v>0000</v>
      </c>
      <c r="K24" s="3" t="str">
        <f>VLOOKUP(B24,AE_weight!$U$257:$Y$288,C24+1)</f>
        <v>0000</v>
      </c>
      <c r="L24" s="3" t="str">
        <f>VLOOKUP(B24,AE_weight!$U$293:$Y$324,C24+1)</f>
        <v>0000</v>
      </c>
      <c r="M24" s="3" t="str">
        <f>VLOOKUP(B24,AE_weight!$U$329:$Y$360,C24+1)</f>
        <v>1110</v>
      </c>
      <c r="N24" s="3" t="str">
        <f>VLOOKUP(B24,AE_weight!$U$365:$Y$396,C24+1)</f>
        <v>2222</v>
      </c>
      <c r="O24" s="3" t="str">
        <f>VLOOKUP(B24,AE_weight!$U$401:$Y$432,C24+1)</f>
        <v>5443</v>
      </c>
      <c r="P24" s="3" t="str">
        <f>VLOOKUP(B24,AE_weight!$U$437:$Y$468,C24+1)</f>
        <v>2211</v>
      </c>
    </row>
    <row r="25" spans="1:21">
      <c r="A25" s="1">
        <f t="shared" si="0"/>
        <v>20</v>
      </c>
      <c r="B25" s="1">
        <f>B24</f>
        <v>4</v>
      </c>
      <c r="C25" s="1">
        <v>4</v>
      </c>
      <c r="D25" s="3" t="str">
        <f>VLOOKUP(B25,AE_weight!$U$4:$Y$36,C25+1)</f>
        <v>FFFF</v>
      </c>
      <c r="E25" s="3" t="str">
        <f>VLOOKUP(B25,AE_weight!$U$40:$Y$72,C25+1)</f>
        <v>0000</v>
      </c>
      <c r="F25" s="3" t="str">
        <f>VLOOKUP(B25,AE_weight!$U$76:$Y$108,C25+1)</f>
        <v>0000</v>
      </c>
      <c r="G25" s="3" t="str">
        <f>VLOOKUP(B25,AE_weight!$U$112:$Y$144,C25+1)</f>
        <v>2222</v>
      </c>
      <c r="H25" s="3" t="str">
        <f>VLOOKUP(B25,AE_weight!$U$149:$Y$180,C25+1)</f>
        <v>0000</v>
      </c>
      <c r="I25" s="3" t="str">
        <f>VLOOKUP(B25,AE_weight!$U$185:$Y$216,C25+1)</f>
        <v>0000</v>
      </c>
      <c r="J25" s="3" t="str">
        <f>VLOOKUP(B25,AE_weight!$U$221:$Y$252,C25+1)</f>
        <v>0000</v>
      </c>
      <c r="K25" s="3" t="str">
        <f>VLOOKUP(B25,AE_weight!$U$257:$Y$288,C25+1)</f>
        <v>0000</v>
      </c>
      <c r="L25" s="3" t="str">
        <f>VLOOKUP(B25,AE_weight!$U$293:$Y$324,C25+1)</f>
        <v>0000</v>
      </c>
      <c r="M25" s="3" t="str">
        <f>VLOOKUP(B25,AE_weight!$U$329:$Y$360,C25+1)</f>
        <v>0000</v>
      </c>
      <c r="N25" s="3" t="str">
        <f>VLOOKUP(B25,AE_weight!$U$365:$Y$396,C25+1)</f>
        <v>2111</v>
      </c>
      <c r="O25" s="3" t="str">
        <f>VLOOKUP(B25,AE_weight!$U$401:$Y$432,C25+1)</f>
        <v>2110</v>
      </c>
      <c r="P25" s="3" t="str">
        <f>VLOOKUP(B25,AE_weight!$U$437:$Y$468,C25+1)</f>
        <v>0000</v>
      </c>
    </row>
    <row r="26" spans="1:21">
      <c r="A26" s="1">
        <f t="shared" si="0"/>
        <v>21</v>
      </c>
      <c r="B26" s="1">
        <f>B22+1</f>
        <v>5</v>
      </c>
      <c r="C26" s="1">
        <v>1</v>
      </c>
      <c r="D26" s="3" t="str">
        <f>VLOOKUP(B26,AE_weight!$U$4:$Y$36,C26+1)</f>
        <v>FFFF</v>
      </c>
      <c r="E26" s="3" t="str">
        <f>VLOOKUP(B26,AE_weight!$U$40:$Y$72,C26+1)</f>
        <v>0000</v>
      </c>
      <c r="F26" s="3" t="str">
        <f>VLOOKUP(B26,AE_weight!$U$76:$Y$108,C26+1)</f>
        <v>0000</v>
      </c>
      <c r="G26" s="3" t="str">
        <f>VLOOKUP(B26,AE_weight!$U$112:$Y$144,C26+1)</f>
        <v>2222</v>
      </c>
      <c r="H26" s="3" t="str">
        <f>VLOOKUP(B26,AE_weight!$U$149:$Y$180,C26+1)</f>
        <v>0000</v>
      </c>
      <c r="I26" s="3" t="str">
        <f>VLOOKUP(B26,AE_weight!$U$185:$Y$216,C26+1)</f>
        <v>0000</v>
      </c>
      <c r="J26" s="3" t="str">
        <f>VLOOKUP(B26,AE_weight!$U$221:$Y$252,C26+1)</f>
        <v>0000</v>
      </c>
      <c r="K26" s="3" t="str">
        <f>VLOOKUP(B26,AE_weight!$U$257:$Y$288,C26+1)</f>
        <v>0000</v>
      </c>
      <c r="L26" s="3" t="str">
        <f>VLOOKUP(B26,AE_weight!$U$293:$Y$324,C26+1)</f>
        <v>0000</v>
      </c>
      <c r="M26" s="3" t="str">
        <f>VLOOKUP(B26,AE_weight!$U$329:$Y$360,C26+1)</f>
        <v>0000</v>
      </c>
      <c r="N26" s="3" t="str">
        <f>VLOOKUP(B26,AE_weight!$U$365:$Y$396,C26+1)</f>
        <v>0000</v>
      </c>
      <c r="O26" s="3" t="str">
        <f>VLOOKUP(B26,AE_weight!$U$401:$Y$432,C26+1)</f>
        <v>0112</v>
      </c>
      <c r="P26" s="3" t="str">
        <f>VLOOKUP(B26,AE_weight!$U$437:$Y$468,C26+1)</f>
        <v>2222</v>
      </c>
    </row>
    <row r="27" spans="1:21">
      <c r="A27" s="1">
        <f t="shared" si="0"/>
        <v>22</v>
      </c>
      <c r="B27" s="1">
        <f>B26</f>
        <v>5</v>
      </c>
      <c r="C27" s="1">
        <v>2</v>
      </c>
      <c r="D27" s="3" t="str">
        <f>VLOOKUP(B27,AE_weight!$U$4:$Y$36,C27+1)</f>
        <v>FFFF</v>
      </c>
      <c r="E27" s="3" t="str">
        <f>VLOOKUP(B27,AE_weight!$U$40:$Y$72,C27+1)</f>
        <v>0000</v>
      </c>
      <c r="F27" s="3" t="str">
        <f>VLOOKUP(B27,AE_weight!$U$76:$Y$108,C27+1)</f>
        <v>0022</v>
      </c>
      <c r="G27" s="3" t="str">
        <f>VLOOKUP(B27,AE_weight!$U$112:$Y$144,C27+1)</f>
        <v>2222</v>
      </c>
      <c r="H27" s="3" t="str">
        <f>VLOOKUP(B27,AE_weight!$U$149:$Y$180,C27+1)</f>
        <v>0000</v>
      </c>
      <c r="I27" s="3" t="str">
        <f>VLOOKUP(B27,AE_weight!$U$185:$Y$216,C27+1)</f>
        <v>0000</v>
      </c>
      <c r="J27" s="3" t="str">
        <f>VLOOKUP(B27,AE_weight!$U$221:$Y$252,C27+1)</f>
        <v>0000</v>
      </c>
      <c r="K27" s="3" t="str">
        <f>VLOOKUP(B27,AE_weight!$U$257:$Y$288,C27+1)</f>
        <v>0001</v>
      </c>
      <c r="L27" s="3" t="str">
        <f>VLOOKUP(B27,AE_weight!$U$293:$Y$324,C27+1)</f>
        <v>0000</v>
      </c>
      <c r="M27" s="3" t="str">
        <f>VLOOKUP(B27,AE_weight!$U$329:$Y$360,C27+1)</f>
        <v>1122</v>
      </c>
      <c r="N27" s="3" t="str">
        <f>VLOOKUP(B27,AE_weight!$U$365:$Y$396,C27+1)</f>
        <v>1222</v>
      </c>
      <c r="O27" s="3" t="str">
        <f>VLOOKUP(B27,AE_weight!$U$401:$Y$432,C27+1)</f>
        <v>3455</v>
      </c>
      <c r="P27" s="3" t="str">
        <f>VLOOKUP(B27,AE_weight!$U$437:$Y$468,C27+1)</f>
        <v>2222</v>
      </c>
    </row>
    <row r="28" spans="1:21">
      <c r="A28" s="1">
        <f t="shared" si="0"/>
        <v>23</v>
      </c>
      <c r="B28" s="1">
        <f>B27</f>
        <v>5</v>
      </c>
      <c r="C28" s="1">
        <v>3</v>
      </c>
      <c r="D28" s="3" t="str">
        <f>VLOOKUP(B28,AE_weight!$U$4:$Y$36,C28+1)</f>
        <v>FFFF</v>
      </c>
      <c r="E28" s="3" t="str">
        <f>VLOOKUP(B28,AE_weight!$U$40:$Y$72,C28+1)</f>
        <v>0000</v>
      </c>
      <c r="F28" s="3" t="str">
        <f>VLOOKUP(B28,AE_weight!$U$76:$Y$108,C28+1)</f>
        <v>2200</v>
      </c>
      <c r="G28" s="3" t="str">
        <f>VLOOKUP(B28,AE_weight!$U$112:$Y$144,C28+1)</f>
        <v>2222</v>
      </c>
      <c r="H28" s="3" t="str">
        <f>VLOOKUP(B28,AE_weight!$U$149:$Y$180,C28+1)</f>
        <v>0000</v>
      </c>
      <c r="I28" s="3" t="str">
        <f>VLOOKUP(B28,AE_weight!$U$185:$Y$216,C28+1)</f>
        <v>0000</v>
      </c>
      <c r="J28" s="3" t="str">
        <f>VLOOKUP(B28,AE_weight!$U$221:$Y$252,C28+1)</f>
        <v>0000</v>
      </c>
      <c r="K28" s="3" t="str">
        <f>VLOOKUP(B28,AE_weight!$U$257:$Y$288,C28+1)</f>
        <v>1000</v>
      </c>
      <c r="L28" s="3" t="str">
        <f>VLOOKUP(B28,AE_weight!$U$293:$Y$324,C28+1)</f>
        <v>0000</v>
      </c>
      <c r="M28" s="3" t="str">
        <f>VLOOKUP(B28,AE_weight!$U$329:$Y$360,C28+1)</f>
        <v>2211</v>
      </c>
      <c r="N28" s="3" t="str">
        <f>VLOOKUP(B28,AE_weight!$U$365:$Y$396,C28+1)</f>
        <v>2222</v>
      </c>
      <c r="O28" s="3" t="str">
        <f>VLOOKUP(B28,AE_weight!$U$401:$Y$432,C28+1)</f>
        <v>5543</v>
      </c>
      <c r="P28" s="3" t="str">
        <f>VLOOKUP(B28,AE_weight!$U$437:$Y$468,C28+1)</f>
        <v>2221</v>
      </c>
    </row>
    <row r="29" spans="1:21">
      <c r="A29" s="1">
        <f t="shared" si="0"/>
        <v>24</v>
      </c>
      <c r="B29" s="1">
        <f>B28</f>
        <v>5</v>
      </c>
      <c r="C29" s="1">
        <v>4</v>
      </c>
      <c r="D29" s="3" t="str">
        <f>VLOOKUP(B29,AE_weight!$U$4:$Y$36,C29+1)</f>
        <v>FFFF</v>
      </c>
      <c r="E29" s="3" t="str">
        <f>VLOOKUP(B29,AE_weight!$U$40:$Y$72,C29+1)</f>
        <v>0000</v>
      </c>
      <c r="F29" s="3" t="str">
        <f>VLOOKUP(B29,AE_weight!$U$76:$Y$108,C29+1)</f>
        <v>0000</v>
      </c>
      <c r="G29" s="3" t="str">
        <f>VLOOKUP(B29,AE_weight!$U$112:$Y$144,C29+1)</f>
        <v>2222</v>
      </c>
      <c r="H29" s="3" t="str">
        <f>VLOOKUP(B29,AE_weight!$U$149:$Y$180,C29+1)</f>
        <v>0000</v>
      </c>
      <c r="I29" s="3" t="str">
        <f>VLOOKUP(B29,AE_weight!$U$185:$Y$216,C29+1)</f>
        <v>0000</v>
      </c>
      <c r="J29" s="3" t="str">
        <f>VLOOKUP(B29,AE_weight!$U$221:$Y$252,C29+1)</f>
        <v>0000</v>
      </c>
      <c r="K29" s="3" t="str">
        <f>VLOOKUP(B29,AE_weight!$U$257:$Y$288,C29+1)</f>
        <v>0000</v>
      </c>
      <c r="L29" s="3" t="str">
        <f>VLOOKUP(B29,AE_weight!$U$293:$Y$324,C29+1)</f>
        <v>0000</v>
      </c>
      <c r="M29" s="3" t="str">
        <f>VLOOKUP(B29,AE_weight!$U$329:$Y$360,C29+1)</f>
        <v>0000</v>
      </c>
      <c r="N29" s="3" t="str">
        <f>VLOOKUP(B29,AE_weight!$U$365:$Y$396,C29+1)</f>
        <v>2222</v>
      </c>
      <c r="O29" s="3" t="str">
        <f>VLOOKUP(B29,AE_weight!$U$401:$Y$432,C29+1)</f>
        <v>2110</v>
      </c>
      <c r="P29" s="3" t="str">
        <f>VLOOKUP(B29,AE_weight!$U$437:$Y$468,C29+1)</f>
        <v>0000</v>
      </c>
      <c r="Q29" s="4"/>
      <c r="U29" s="4"/>
    </row>
    <row r="30" spans="1:21">
      <c r="A30" s="1">
        <f t="shared" si="0"/>
        <v>25</v>
      </c>
      <c r="B30" s="1">
        <f>B26+1</f>
        <v>6</v>
      </c>
      <c r="C30" s="1">
        <v>1</v>
      </c>
      <c r="D30" s="3" t="str">
        <f>VLOOKUP(B30,AE_weight!$U$4:$Y$36,C30+1)</f>
        <v>FFFF</v>
      </c>
      <c r="E30" s="3" t="str">
        <f>VLOOKUP(B30,AE_weight!$U$40:$Y$72,C30+1)</f>
        <v>0000</v>
      </c>
      <c r="F30" s="3" t="str">
        <f>VLOOKUP(B30,AE_weight!$U$76:$Y$108,C30+1)</f>
        <v>0000</v>
      </c>
      <c r="G30" s="3" t="str">
        <f>VLOOKUP(B30,AE_weight!$U$112:$Y$144,C30+1)</f>
        <v>2222</v>
      </c>
      <c r="H30" s="3" t="str">
        <f>VLOOKUP(B30,AE_weight!$U$149:$Y$180,C30+1)</f>
        <v>0000</v>
      </c>
      <c r="I30" s="3" t="str">
        <f>VLOOKUP(B30,AE_weight!$U$185:$Y$216,C30+1)</f>
        <v>0000</v>
      </c>
      <c r="J30" s="3" t="str">
        <f>VLOOKUP(B30,AE_weight!$U$221:$Y$252,C30+1)</f>
        <v>0000</v>
      </c>
      <c r="K30" s="3" t="str">
        <f>VLOOKUP(B30,AE_weight!$U$257:$Y$288,C30+1)</f>
        <v>0000</v>
      </c>
      <c r="L30" s="3" t="str">
        <f>VLOOKUP(B30,AE_weight!$U$293:$Y$324,C30+1)</f>
        <v>0000</v>
      </c>
      <c r="M30" s="3" t="str">
        <f>VLOOKUP(B30,AE_weight!$U$329:$Y$360,C30+1)</f>
        <v>0001</v>
      </c>
      <c r="N30" s="3" t="str">
        <f>VLOOKUP(B30,AE_weight!$U$365:$Y$396,C30+1)</f>
        <v>0001</v>
      </c>
      <c r="O30" s="3" t="str">
        <f>VLOOKUP(B30,AE_weight!$U$401:$Y$432,C30+1)</f>
        <v>0112</v>
      </c>
      <c r="P30" s="3" t="str">
        <f>VLOOKUP(B30,AE_weight!$U$437:$Y$468,C30+1)</f>
        <v>2223</v>
      </c>
      <c r="Q30" s="4"/>
      <c r="U30" s="4"/>
    </row>
    <row r="31" spans="1:21">
      <c r="A31" s="1">
        <f t="shared" si="0"/>
        <v>26</v>
      </c>
      <c r="B31" s="1">
        <f>B30</f>
        <v>6</v>
      </c>
      <c r="C31" s="1">
        <v>2</v>
      </c>
      <c r="D31" s="3" t="str">
        <f>VLOOKUP(B31,AE_weight!$U$4:$Y$36,C31+1)</f>
        <v>FFFF</v>
      </c>
      <c r="E31" s="3" t="str">
        <f>VLOOKUP(B31,AE_weight!$U$40:$Y$72,C31+1)</f>
        <v>0000</v>
      </c>
      <c r="F31" s="3" t="str">
        <f>VLOOKUP(B31,AE_weight!$U$76:$Y$108,C31+1)</f>
        <v>2223</v>
      </c>
      <c r="G31" s="3" t="str">
        <f>VLOOKUP(B31,AE_weight!$U$112:$Y$144,C31+1)</f>
        <v>2222</v>
      </c>
      <c r="H31" s="3" t="str">
        <f>VLOOKUP(B31,AE_weight!$U$149:$Y$180,C31+1)</f>
        <v>0000</v>
      </c>
      <c r="I31" s="3" t="str">
        <f>VLOOKUP(B31,AE_weight!$U$185:$Y$216,C31+1)</f>
        <v>0000</v>
      </c>
      <c r="J31" s="3" t="str">
        <f>VLOOKUP(B31,AE_weight!$U$221:$Y$252,C31+1)</f>
        <v>0007</v>
      </c>
      <c r="K31" s="3" t="str">
        <f>VLOOKUP(B31,AE_weight!$U$257:$Y$288,C31+1)</f>
        <v>0000</v>
      </c>
      <c r="L31" s="3" t="str">
        <f>VLOOKUP(B31,AE_weight!$U$293:$Y$324,C31+1)</f>
        <v>0000</v>
      </c>
      <c r="M31" s="3" t="str">
        <f>VLOOKUP(B31,AE_weight!$U$329:$Y$360,C31+1)</f>
        <v>1222</v>
      </c>
      <c r="N31" s="3" t="str">
        <f>VLOOKUP(B31,AE_weight!$U$365:$Y$396,C31+1)</f>
        <v>2223</v>
      </c>
      <c r="O31" s="3" t="str">
        <f>VLOOKUP(B31,AE_weight!$U$401:$Y$432,C31+1)</f>
        <v>3455</v>
      </c>
      <c r="P31" s="3" t="str">
        <f>VLOOKUP(B31,AE_weight!$U$437:$Y$468,C31+1)</f>
        <v>3333</v>
      </c>
      <c r="Q31" s="4"/>
      <c r="U31" s="4"/>
    </row>
    <row r="32" spans="1:21">
      <c r="A32" s="1">
        <f t="shared" si="0"/>
        <v>27</v>
      </c>
      <c r="B32" s="1">
        <f>B31</f>
        <v>6</v>
      </c>
      <c r="C32" s="1">
        <v>3</v>
      </c>
      <c r="D32" s="3" t="str">
        <f>VLOOKUP(B32,AE_weight!$U$4:$Y$36,C32+1)</f>
        <v>FFFF</v>
      </c>
      <c r="E32" s="3" t="str">
        <f>VLOOKUP(B32,AE_weight!$U$40:$Y$72,C32+1)</f>
        <v>0000</v>
      </c>
      <c r="F32" s="3" t="str">
        <f>VLOOKUP(B32,AE_weight!$U$76:$Y$108,C32+1)</f>
        <v>3222</v>
      </c>
      <c r="G32" s="3" t="str">
        <f>VLOOKUP(B32,AE_weight!$U$112:$Y$144,C32+1)</f>
        <v>2222</v>
      </c>
      <c r="H32" s="3" t="str">
        <f>VLOOKUP(B32,AE_weight!$U$149:$Y$180,C32+1)</f>
        <v>0000</v>
      </c>
      <c r="I32" s="3" t="str">
        <f>VLOOKUP(B32,AE_weight!$U$185:$Y$216,C32+1)</f>
        <v>0000</v>
      </c>
      <c r="J32" s="3" t="str">
        <f>VLOOKUP(B32,AE_weight!$U$221:$Y$252,C32+1)</f>
        <v>7000</v>
      </c>
      <c r="K32" s="3" t="str">
        <f>VLOOKUP(B32,AE_weight!$U$257:$Y$288,C32+1)</f>
        <v>0000</v>
      </c>
      <c r="L32" s="3" t="str">
        <f>VLOOKUP(B32,AE_weight!$U$293:$Y$324,C32+1)</f>
        <v>0000</v>
      </c>
      <c r="M32" s="3" t="str">
        <f>VLOOKUP(B32,AE_weight!$U$329:$Y$360,C32+1)</f>
        <v>2221</v>
      </c>
      <c r="N32" s="3" t="str">
        <f>VLOOKUP(B32,AE_weight!$U$365:$Y$396,C32+1)</f>
        <v>3333</v>
      </c>
      <c r="O32" s="3" t="str">
        <f>VLOOKUP(B32,AE_weight!$U$401:$Y$432,C32+1)</f>
        <v>5543</v>
      </c>
      <c r="P32" s="3" t="str">
        <f>VLOOKUP(B32,AE_weight!$U$437:$Y$468,C32+1)</f>
        <v>3222</v>
      </c>
      <c r="Q32" s="4"/>
      <c r="U32" s="4"/>
    </row>
    <row r="33" spans="1:21">
      <c r="A33" s="1">
        <f t="shared" si="0"/>
        <v>28</v>
      </c>
      <c r="B33" s="1">
        <f>B32</f>
        <v>6</v>
      </c>
      <c r="C33" s="1">
        <v>4</v>
      </c>
      <c r="D33" s="3" t="str">
        <f>VLOOKUP(B33,AE_weight!$U$4:$Y$36,C33+1)</f>
        <v>FFFF</v>
      </c>
      <c r="E33" s="3" t="str">
        <f>VLOOKUP(B33,AE_weight!$U$40:$Y$72,C33+1)</f>
        <v>0000</v>
      </c>
      <c r="F33" s="3" t="str">
        <f>VLOOKUP(B33,AE_weight!$U$76:$Y$108,C33+1)</f>
        <v>0000</v>
      </c>
      <c r="G33" s="3" t="str">
        <f>VLOOKUP(B33,AE_weight!$U$112:$Y$144,C33+1)</f>
        <v>2222</v>
      </c>
      <c r="H33" s="3" t="str">
        <f>VLOOKUP(B33,AE_weight!$U$149:$Y$180,C33+1)</f>
        <v>0000</v>
      </c>
      <c r="I33" s="3" t="str">
        <f>VLOOKUP(B33,AE_weight!$U$185:$Y$216,C33+1)</f>
        <v>0000</v>
      </c>
      <c r="J33" s="3" t="str">
        <f>VLOOKUP(B33,AE_weight!$U$221:$Y$252,C33+1)</f>
        <v>0000</v>
      </c>
      <c r="K33" s="3" t="str">
        <f>VLOOKUP(B33,AE_weight!$U$257:$Y$288,C33+1)</f>
        <v>0000</v>
      </c>
      <c r="L33" s="3" t="str">
        <f>VLOOKUP(B33,AE_weight!$U$293:$Y$324,C33+1)</f>
        <v>0000</v>
      </c>
      <c r="M33" s="3" t="str">
        <f>VLOOKUP(B33,AE_weight!$U$329:$Y$360,C33+1)</f>
        <v>1000</v>
      </c>
      <c r="N33" s="3" t="str">
        <f>VLOOKUP(B33,AE_weight!$U$365:$Y$396,C33+1)</f>
        <v>3222</v>
      </c>
      <c r="O33" s="3" t="str">
        <f>VLOOKUP(B33,AE_weight!$U$401:$Y$432,C33+1)</f>
        <v>2110</v>
      </c>
      <c r="P33" s="3" t="str">
        <f>VLOOKUP(B33,AE_weight!$U$437:$Y$468,C33+1)</f>
        <v>1000</v>
      </c>
      <c r="Q33" s="4"/>
      <c r="U33" s="4"/>
    </row>
    <row r="34" spans="1:21">
      <c r="A34" s="1">
        <f t="shared" si="0"/>
        <v>29</v>
      </c>
      <c r="B34" s="1">
        <f>B30+1</f>
        <v>7</v>
      </c>
      <c r="C34" s="1">
        <v>1</v>
      </c>
      <c r="D34" s="3" t="str">
        <f>VLOOKUP(B34,AE_weight!$U$4:$Y$36,C34+1)</f>
        <v>FFFF</v>
      </c>
      <c r="E34" s="3" t="str">
        <f>VLOOKUP(B34,AE_weight!$U$40:$Y$72,C34+1)</f>
        <v>0000</v>
      </c>
      <c r="F34" s="3" t="str">
        <f>VLOOKUP(B34,AE_weight!$U$76:$Y$108,C34+1)</f>
        <v>0000</v>
      </c>
      <c r="G34" s="3" t="str">
        <f>VLOOKUP(B34,AE_weight!$U$112:$Y$144,C34+1)</f>
        <v>2222</v>
      </c>
      <c r="H34" s="3" t="str">
        <f>VLOOKUP(B34,AE_weight!$U$149:$Y$180,C34+1)</f>
        <v>0000</v>
      </c>
      <c r="I34" s="3" t="str">
        <f>VLOOKUP(B34,AE_weight!$U$185:$Y$216,C34+1)</f>
        <v>0000</v>
      </c>
      <c r="J34" s="3" t="str">
        <f>VLOOKUP(B34,AE_weight!$U$221:$Y$252,C34+1)</f>
        <v>0000</v>
      </c>
      <c r="K34" s="3" t="str">
        <f>VLOOKUP(B34,AE_weight!$U$257:$Y$288,C34+1)</f>
        <v>0000</v>
      </c>
      <c r="L34" s="3" t="str">
        <f>VLOOKUP(B34,AE_weight!$U$293:$Y$324,C34+1)</f>
        <v>0000</v>
      </c>
      <c r="M34" s="3" t="str">
        <f>VLOOKUP(B34,AE_weight!$U$329:$Y$360,C34+1)</f>
        <v>0001</v>
      </c>
      <c r="N34" s="3" t="str">
        <f>VLOOKUP(B34,AE_weight!$U$365:$Y$396,C34+1)</f>
        <v>0001</v>
      </c>
      <c r="O34" s="3" t="str">
        <f>VLOOKUP(B34,AE_weight!$U$401:$Y$432,C34+1)</f>
        <v>0123</v>
      </c>
      <c r="P34" s="3" t="str">
        <f>VLOOKUP(B34,AE_weight!$U$437:$Y$468,C34+1)</f>
        <v>3333</v>
      </c>
      <c r="Q34" s="4"/>
      <c r="U34" s="4"/>
    </row>
    <row r="35" spans="1:21">
      <c r="A35" s="1">
        <f t="shared" si="0"/>
        <v>30</v>
      </c>
      <c r="B35" s="1">
        <f>B34</f>
        <v>7</v>
      </c>
      <c r="C35" s="1">
        <v>2</v>
      </c>
      <c r="D35" s="3" t="str">
        <f>VLOOKUP(B35,AE_weight!$U$4:$Y$36,C35+1)</f>
        <v>FFFF</v>
      </c>
      <c r="E35" s="3" t="str">
        <f>VLOOKUP(B35,AE_weight!$U$40:$Y$72,C35+1)</f>
        <v>0002</v>
      </c>
      <c r="F35" s="3" t="str">
        <f>VLOOKUP(B35,AE_weight!$U$76:$Y$108,C35+1)</f>
        <v>2223</v>
      </c>
      <c r="G35" s="3" t="str">
        <f>VLOOKUP(B35,AE_weight!$U$112:$Y$144,C35+1)</f>
        <v>2222</v>
      </c>
      <c r="H35" s="3" t="str">
        <f>VLOOKUP(B35,AE_weight!$U$149:$Y$180,C35+1)</f>
        <v>0000</v>
      </c>
      <c r="I35" s="3" t="str">
        <f>VLOOKUP(B35,AE_weight!$U$185:$Y$216,C35+1)</f>
        <v>0000</v>
      </c>
      <c r="J35" s="3" t="str">
        <f>VLOOKUP(B35,AE_weight!$U$221:$Y$252,C35+1)</f>
        <v>0007</v>
      </c>
      <c r="K35" s="3" t="str">
        <f>VLOOKUP(B35,AE_weight!$U$257:$Y$288,C35+1)</f>
        <v>0010</v>
      </c>
      <c r="L35" s="3" t="str">
        <f>VLOOKUP(B35,AE_weight!$U$293:$Y$324,C35+1)</f>
        <v>0000</v>
      </c>
      <c r="M35" s="3" t="str">
        <f>VLOOKUP(B35,AE_weight!$U$329:$Y$360,C35+1)</f>
        <v>2223</v>
      </c>
      <c r="N35" s="3" t="str">
        <f>VLOOKUP(B35,AE_weight!$U$365:$Y$396,C35+1)</f>
        <v>2233</v>
      </c>
      <c r="O35" s="3" t="str">
        <f>VLOOKUP(B35,AE_weight!$U$401:$Y$432,C35+1)</f>
        <v>3455</v>
      </c>
      <c r="P35" s="3" t="str">
        <f>VLOOKUP(B35,AE_weight!$U$437:$Y$468,C35+1)</f>
        <v>3333</v>
      </c>
      <c r="Q35" s="4"/>
      <c r="U35" s="4"/>
    </row>
    <row r="36" spans="1:21">
      <c r="A36" s="1">
        <f t="shared" si="0"/>
        <v>31</v>
      </c>
      <c r="B36" s="1">
        <f>B35</f>
        <v>7</v>
      </c>
      <c r="C36" s="1">
        <v>3</v>
      </c>
      <c r="D36" s="3" t="str">
        <f>VLOOKUP(B36,AE_weight!$U$4:$Y$36,C36+1)</f>
        <v>FFFF</v>
      </c>
      <c r="E36" s="3" t="str">
        <f>VLOOKUP(B36,AE_weight!$U$40:$Y$72,C36+1)</f>
        <v>2000</v>
      </c>
      <c r="F36" s="3" t="str">
        <f>VLOOKUP(B36,AE_weight!$U$76:$Y$108,C36+1)</f>
        <v>3222</v>
      </c>
      <c r="G36" s="3" t="str">
        <f>VLOOKUP(B36,AE_weight!$U$112:$Y$144,C36+1)</f>
        <v>2222</v>
      </c>
      <c r="H36" s="3" t="str">
        <f>VLOOKUP(B36,AE_weight!$U$149:$Y$180,C36+1)</f>
        <v>0000</v>
      </c>
      <c r="I36" s="3" t="str">
        <f>VLOOKUP(B36,AE_weight!$U$185:$Y$216,C36+1)</f>
        <v>0000</v>
      </c>
      <c r="J36" s="3" t="str">
        <f>VLOOKUP(B36,AE_weight!$U$221:$Y$252,C36+1)</f>
        <v>7000</v>
      </c>
      <c r="K36" s="3" t="str">
        <f>VLOOKUP(B36,AE_weight!$U$257:$Y$288,C36+1)</f>
        <v>0100</v>
      </c>
      <c r="L36" s="3" t="str">
        <f>VLOOKUP(B36,AE_weight!$U$293:$Y$324,C36+1)</f>
        <v>0000</v>
      </c>
      <c r="M36" s="3" t="str">
        <f>VLOOKUP(B36,AE_weight!$U$329:$Y$360,C36+1)</f>
        <v>3222</v>
      </c>
      <c r="N36" s="3" t="str">
        <f>VLOOKUP(B36,AE_weight!$U$365:$Y$396,C36+1)</f>
        <v>3333</v>
      </c>
      <c r="O36" s="3" t="str">
        <f>VLOOKUP(B36,AE_weight!$U$401:$Y$432,C36+1)</f>
        <v>5543</v>
      </c>
      <c r="P36" s="3" t="str">
        <f>VLOOKUP(B36,AE_weight!$U$437:$Y$468,C36+1)</f>
        <v>3322</v>
      </c>
      <c r="Q36" s="4"/>
      <c r="U36" s="4"/>
    </row>
    <row r="37" spans="1:21">
      <c r="A37" s="1">
        <f t="shared" si="0"/>
        <v>32</v>
      </c>
      <c r="B37" s="1">
        <f>B36</f>
        <v>7</v>
      </c>
      <c r="C37" s="1">
        <v>4</v>
      </c>
      <c r="D37" s="3" t="str">
        <f>VLOOKUP(B37,AE_weight!$U$4:$Y$36,C37+1)</f>
        <v>FFFF</v>
      </c>
      <c r="E37" s="3" t="str">
        <f>VLOOKUP(B37,AE_weight!$U$40:$Y$72,C37+1)</f>
        <v>0000</v>
      </c>
      <c r="F37" s="3" t="str">
        <f>VLOOKUP(B37,AE_weight!$U$76:$Y$108,C37+1)</f>
        <v>0000</v>
      </c>
      <c r="G37" s="3" t="str">
        <f>VLOOKUP(B37,AE_weight!$U$112:$Y$144,C37+1)</f>
        <v>2222</v>
      </c>
      <c r="H37" s="3" t="str">
        <f>VLOOKUP(B37,AE_weight!$U$149:$Y$180,C37+1)</f>
        <v>0000</v>
      </c>
      <c r="I37" s="3" t="str">
        <f>VLOOKUP(B37,AE_weight!$U$185:$Y$216,C37+1)</f>
        <v>0000</v>
      </c>
      <c r="J37" s="3" t="str">
        <f>VLOOKUP(B37,AE_weight!$U$221:$Y$252,C37+1)</f>
        <v>0000</v>
      </c>
      <c r="K37" s="3" t="str">
        <f>VLOOKUP(B37,AE_weight!$U$257:$Y$288,C37+1)</f>
        <v>0000</v>
      </c>
      <c r="L37" s="3" t="str">
        <f>VLOOKUP(B37,AE_weight!$U$293:$Y$324,C37+1)</f>
        <v>0000</v>
      </c>
      <c r="M37" s="3" t="str">
        <f>VLOOKUP(B37,AE_weight!$U$329:$Y$360,C37+1)</f>
        <v>1000</v>
      </c>
      <c r="N37" s="3" t="str">
        <f>VLOOKUP(B37,AE_weight!$U$365:$Y$396,C37+1)</f>
        <v>3333</v>
      </c>
      <c r="O37" s="3" t="str">
        <f>VLOOKUP(B37,AE_weight!$U$401:$Y$432,C37+1)</f>
        <v>3210</v>
      </c>
      <c r="P37" s="3" t="str">
        <f>VLOOKUP(B37,AE_weight!$U$437:$Y$468,C37+1)</f>
        <v>1000</v>
      </c>
      <c r="Q37" s="4"/>
      <c r="U37" s="4"/>
    </row>
    <row r="38" spans="1:21">
      <c r="A38" s="1">
        <f t="shared" si="0"/>
        <v>33</v>
      </c>
      <c r="B38" s="1">
        <f>B34+1</f>
        <v>8</v>
      </c>
      <c r="C38" s="1">
        <v>1</v>
      </c>
      <c r="D38" s="3" t="str">
        <f>VLOOKUP(B38,AE_weight!$U$4:$Y$36,C38+1)</f>
        <v>FFFF</v>
      </c>
      <c r="E38" s="3" t="str">
        <f>VLOOKUP(B38,AE_weight!$U$40:$Y$72,C38+1)</f>
        <v>0000</v>
      </c>
      <c r="F38" s="3" t="str">
        <f>VLOOKUP(B38,AE_weight!$U$76:$Y$108,C38+1)</f>
        <v>0002</v>
      </c>
      <c r="G38" s="3" t="str">
        <f>VLOOKUP(B38,AE_weight!$U$112:$Y$144,C38+1)</f>
        <v>2222</v>
      </c>
      <c r="H38" s="3" t="str">
        <f>VLOOKUP(B38,AE_weight!$U$149:$Y$180,C38+1)</f>
        <v>0000</v>
      </c>
      <c r="I38" s="3" t="str">
        <f>VLOOKUP(B38,AE_weight!$U$185:$Y$216,C38+1)</f>
        <v>0000</v>
      </c>
      <c r="J38" s="3" t="str">
        <f>VLOOKUP(B38,AE_weight!$U$221:$Y$252,C38+1)</f>
        <v>0000</v>
      </c>
      <c r="K38" s="3" t="str">
        <f>VLOOKUP(B38,AE_weight!$U$257:$Y$288,C38+1)</f>
        <v>0000</v>
      </c>
      <c r="L38" s="3" t="str">
        <f>VLOOKUP(B38,AE_weight!$U$293:$Y$324,C38+1)</f>
        <v>0000</v>
      </c>
      <c r="M38" s="3" t="str">
        <f>VLOOKUP(B38,AE_weight!$U$329:$Y$360,C38+1)</f>
        <v>0011</v>
      </c>
      <c r="N38" s="3" t="str">
        <f>VLOOKUP(B38,AE_weight!$U$365:$Y$396,C38+1)</f>
        <v>0012</v>
      </c>
      <c r="O38" s="3" t="str">
        <f>VLOOKUP(B38,AE_weight!$U$401:$Y$432,C38+1)</f>
        <v>0123</v>
      </c>
      <c r="P38" s="3" t="str">
        <f>VLOOKUP(B38,AE_weight!$U$437:$Y$468,C38+1)</f>
        <v>3333</v>
      </c>
      <c r="Q38" s="4"/>
      <c r="U38" s="4"/>
    </row>
    <row r="39" spans="1:21">
      <c r="A39" s="1">
        <f t="shared" si="0"/>
        <v>34</v>
      </c>
      <c r="B39" s="1">
        <f>B38</f>
        <v>8</v>
      </c>
      <c r="C39" s="1">
        <v>2</v>
      </c>
      <c r="D39" s="3" t="str">
        <f>VLOOKUP(B39,AE_weight!$U$4:$Y$36,C39+1)</f>
        <v>FFFF</v>
      </c>
      <c r="E39" s="3" t="str">
        <f>VLOOKUP(B39,AE_weight!$U$40:$Y$72,C39+1)</f>
        <v>2223</v>
      </c>
      <c r="F39" s="3" t="str">
        <f>VLOOKUP(B39,AE_weight!$U$76:$Y$108,C39+1)</f>
        <v>2334</v>
      </c>
      <c r="G39" s="3" t="str">
        <f>VLOOKUP(B39,AE_weight!$U$112:$Y$144,C39+1)</f>
        <v>2222</v>
      </c>
      <c r="H39" s="3" t="str">
        <f>VLOOKUP(B39,AE_weight!$U$149:$Y$180,C39+1)</f>
        <v>0000</v>
      </c>
      <c r="I39" s="3" t="str">
        <f>VLOOKUP(B39,AE_weight!$U$185:$Y$216,C39+1)</f>
        <v>0000</v>
      </c>
      <c r="J39" s="3" t="str">
        <f>VLOOKUP(B39,AE_weight!$U$221:$Y$252,C39+1)</f>
        <v>0777</v>
      </c>
      <c r="K39" s="3" t="str">
        <f>VLOOKUP(B39,AE_weight!$U$257:$Y$288,C39+1)</f>
        <v>0000</v>
      </c>
      <c r="L39" s="3" t="str">
        <f>VLOOKUP(B39,AE_weight!$U$293:$Y$324,C39+1)</f>
        <v>0000</v>
      </c>
      <c r="M39" s="3" t="str">
        <f>VLOOKUP(B39,AE_weight!$U$329:$Y$360,C39+1)</f>
        <v>2233</v>
      </c>
      <c r="N39" s="3" t="str">
        <f>VLOOKUP(B39,AE_weight!$U$365:$Y$396,C39+1)</f>
        <v>2334</v>
      </c>
      <c r="O39" s="3" t="str">
        <f>VLOOKUP(B39,AE_weight!$U$401:$Y$432,C39+1)</f>
        <v>3556</v>
      </c>
      <c r="P39" s="3" t="str">
        <f>VLOOKUP(B39,AE_weight!$U$437:$Y$468,C39+1)</f>
        <v>4444</v>
      </c>
      <c r="Q39" s="4"/>
      <c r="U39" s="4"/>
    </row>
    <row r="40" spans="1:21">
      <c r="A40" s="1">
        <f t="shared" si="0"/>
        <v>35</v>
      </c>
      <c r="B40" s="1">
        <f>B39</f>
        <v>8</v>
      </c>
      <c r="C40" s="1">
        <v>3</v>
      </c>
      <c r="D40" s="3" t="str">
        <f>VLOOKUP(B40,AE_weight!$U$4:$Y$36,C40+1)</f>
        <v>FFFF</v>
      </c>
      <c r="E40" s="3" t="str">
        <f>VLOOKUP(B40,AE_weight!$U$40:$Y$72,C40+1)</f>
        <v>3222</v>
      </c>
      <c r="F40" s="3" t="str">
        <f>VLOOKUP(B40,AE_weight!$U$76:$Y$108,C40+1)</f>
        <v>4332</v>
      </c>
      <c r="G40" s="3" t="str">
        <f>VLOOKUP(B40,AE_weight!$U$112:$Y$144,C40+1)</f>
        <v>2222</v>
      </c>
      <c r="H40" s="3" t="str">
        <f>VLOOKUP(B40,AE_weight!$U$149:$Y$180,C40+1)</f>
        <v>0000</v>
      </c>
      <c r="I40" s="3" t="str">
        <f>VLOOKUP(B40,AE_weight!$U$185:$Y$216,C40+1)</f>
        <v>0000</v>
      </c>
      <c r="J40" s="3" t="str">
        <f>VLOOKUP(B40,AE_weight!$U$221:$Y$252,C40+1)</f>
        <v>7770</v>
      </c>
      <c r="K40" s="3" t="str">
        <f>VLOOKUP(B40,AE_weight!$U$257:$Y$288,C40+1)</f>
        <v>0000</v>
      </c>
      <c r="L40" s="3" t="str">
        <f>VLOOKUP(B40,AE_weight!$U$293:$Y$324,C40+1)</f>
        <v>0000</v>
      </c>
      <c r="M40" s="3" t="str">
        <f>VLOOKUP(B40,AE_weight!$U$329:$Y$360,C40+1)</f>
        <v>3322</v>
      </c>
      <c r="N40" s="3" t="str">
        <f>VLOOKUP(B40,AE_weight!$U$365:$Y$396,C40+1)</f>
        <v>4444</v>
      </c>
      <c r="O40" s="3" t="str">
        <f>VLOOKUP(B40,AE_weight!$U$401:$Y$432,C40+1)</f>
        <v>6553</v>
      </c>
      <c r="P40" s="3" t="str">
        <f>VLOOKUP(B40,AE_weight!$U$437:$Y$468,C40+1)</f>
        <v>4332</v>
      </c>
      <c r="Q40" s="4"/>
      <c r="U40" s="4"/>
    </row>
    <row r="41" spans="1:21">
      <c r="A41" s="1">
        <f t="shared" si="0"/>
        <v>36</v>
      </c>
      <c r="B41" s="1">
        <f>B40</f>
        <v>8</v>
      </c>
      <c r="C41" s="1">
        <v>4</v>
      </c>
      <c r="D41" s="3" t="str">
        <f>VLOOKUP(B41,AE_weight!$U$4:$Y$36,C41+1)</f>
        <v>FFFF</v>
      </c>
      <c r="E41" s="3" t="str">
        <f>VLOOKUP(B41,AE_weight!$U$40:$Y$72,C41+1)</f>
        <v>0000</v>
      </c>
      <c r="F41" s="3" t="str">
        <f>VLOOKUP(B41,AE_weight!$U$76:$Y$108,C41+1)</f>
        <v>2000</v>
      </c>
      <c r="G41" s="3" t="str">
        <f>VLOOKUP(B41,AE_weight!$U$112:$Y$144,C41+1)</f>
        <v>2222</v>
      </c>
      <c r="H41" s="3" t="str">
        <f>VLOOKUP(B41,AE_weight!$U$149:$Y$180,C41+1)</f>
        <v>0000</v>
      </c>
      <c r="I41" s="3" t="str">
        <f>VLOOKUP(B41,AE_weight!$U$185:$Y$216,C41+1)</f>
        <v>0000</v>
      </c>
      <c r="J41" s="3" t="str">
        <f>VLOOKUP(B41,AE_weight!$U$221:$Y$252,C41+1)</f>
        <v>0000</v>
      </c>
      <c r="K41" s="3" t="str">
        <f>VLOOKUP(B41,AE_weight!$U$257:$Y$288,C41+1)</f>
        <v>0000</v>
      </c>
      <c r="L41" s="3" t="str">
        <f>VLOOKUP(B41,AE_weight!$U$293:$Y$324,C41+1)</f>
        <v>0000</v>
      </c>
      <c r="M41" s="3" t="str">
        <f>VLOOKUP(B41,AE_weight!$U$329:$Y$360,C41+1)</f>
        <v>1100</v>
      </c>
      <c r="N41" s="3" t="str">
        <f>VLOOKUP(B41,AE_weight!$U$365:$Y$396,C41+1)</f>
        <v>3333</v>
      </c>
      <c r="O41" s="3" t="str">
        <f>VLOOKUP(B41,AE_weight!$U$401:$Y$432,C41+1)</f>
        <v>3210</v>
      </c>
      <c r="P41" s="3" t="str">
        <f>VLOOKUP(B41,AE_weight!$U$437:$Y$468,C41+1)</f>
        <v>2100</v>
      </c>
      <c r="Q41" s="4"/>
      <c r="U41" s="4"/>
    </row>
    <row r="42" spans="1:21">
      <c r="A42" s="1">
        <f t="shared" si="0"/>
        <v>37</v>
      </c>
      <c r="B42" s="1">
        <f>B38+1</f>
        <v>9</v>
      </c>
      <c r="C42" s="1">
        <v>1</v>
      </c>
      <c r="D42" s="3" t="str">
        <f>VLOOKUP(B42,AE_weight!$U$4:$Y$36,C42+1)</f>
        <v>FFFF</v>
      </c>
      <c r="E42" s="3" t="str">
        <f>VLOOKUP(B42,AE_weight!$U$40:$Y$72,C42+1)</f>
        <v>0000</v>
      </c>
      <c r="F42" s="3" t="str">
        <f>VLOOKUP(B42,AE_weight!$U$76:$Y$108,C42+1)</f>
        <v>0002</v>
      </c>
      <c r="G42" s="3" t="str">
        <f>VLOOKUP(B42,AE_weight!$U$112:$Y$144,C42+1)</f>
        <v>2222</v>
      </c>
      <c r="H42" s="3" t="str">
        <f>VLOOKUP(B42,AE_weight!$U$149:$Y$180,C42+1)</f>
        <v>0000</v>
      </c>
      <c r="I42" s="3" t="str">
        <f>VLOOKUP(B42,AE_weight!$U$185:$Y$216,C42+1)</f>
        <v>0000</v>
      </c>
      <c r="J42" s="3" t="str">
        <f>VLOOKUP(B42,AE_weight!$U$221:$Y$252,C42+1)</f>
        <v>0000</v>
      </c>
      <c r="K42" s="3" t="str">
        <f>VLOOKUP(B42,AE_weight!$U$257:$Y$288,C42+1)</f>
        <v>0000</v>
      </c>
      <c r="L42" s="3" t="str">
        <f>VLOOKUP(B42,AE_weight!$U$293:$Y$324,C42+1)</f>
        <v>0000</v>
      </c>
      <c r="M42" s="3" t="str">
        <f>VLOOKUP(B42,AE_weight!$U$329:$Y$360,C42+1)</f>
        <v>0012</v>
      </c>
      <c r="N42" s="3" t="str">
        <f>VLOOKUP(B42,AE_weight!$U$365:$Y$396,C42+1)</f>
        <v>0012</v>
      </c>
      <c r="O42" s="3" t="str">
        <f>VLOOKUP(B42,AE_weight!$U$401:$Y$432,C42+1)</f>
        <v>0123</v>
      </c>
      <c r="P42" s="3" t="str">
        <f>VLOOKUP(B42,AE_weight!$U$437:$Y$468,C42+1)</f>
        <v>3334</v>
      </c>
      <c r="Q42" s="4"/>
      <c r="U42" s="4"/>
    </row>
    <row r="43" spans="1:21">
      <c r="A43" s="1">
        <f t="shared" si="0"/>
        <v>38</v>
      </c>
      <c r="B43" s="1">
        <f>B42</f>
        <v>9</v>
      </c>
      <c r="C43" s="1">
        <v>2</v>
      </c>
      <c r="D43" s="3" t="str">
        <f>VLOOKUP(B43,AE_weight!$U$4:$Y$36,C43+1)</f>
        <v>FFFF</v>
      </c>
      <c r="E43" s="3" t="str">
        <f>VLOOKUP(B43,AE_weight!$U$40:$Y$72,C43+1)</f>
        <v>2233</v>
      </c>
      <c r="F43" s="3" t="str">
        <f>VLOOKUP(B43,AE_weight!$U$76:$Y$108,C43+1)</f>
        <v>2334</v>
      </c>
      <c r="G43" s="3" t="str">
        <f>VLOOKUP(B43,AE_weight!$U$112:$Y$144,C43+1)</f>
        <v>2222</v>
      </c>
      <c r="H43" s="3" t="str">
        <f>VLOOKUP(B43,AE_weight!$U$149:$Y$180,C43+1)</f>
        <v>0000</v>
      </c>
      <c r="I43" s="3" t="str">
        <f>VLOOKUP(B43,AE_weight!$U$185:$Y$216,C43+1)</f>
        <v>0000</v>
      </c>
      <c r="J43" s="3" t="str">
        <f>VLOOKUP(B43,AE_weight!$U$221:$Y$252,C43+1)</f>
        <v>0777</v>
      </c>
      <c r="K43" s="3" t="str">
        <f>VLOOKUP(B43,AE_weight!$U$257:$Y$288,C43+1)</f>
        <v>0101</v>
      </c>
      <c r="L43" s="3" t="str">
        <f>VLOOKUP(B43,AE_weight!$U$293:$Y$324,C43+1)</f>
        <v>0000</v>
      </c>
      <c r="M43" s="3" t="str">
        <f>VLOOKUP(B43,AE_weight!$U$329:$Y$360,C43+1)</f>
        <v>2334</v>
      </c>
      <c r="N43" s="3" t="str">
        <f>VLOOKUP(B43,AE_weight!$U$365:$Y$396,C43+1)</f>
        <v>3344</v>
      </c>
      <c r="O43" s="3" t="str">
        <f>VLOOKUP(B43,AE_weight!$U$401:$Y$432,C43+1)</f>
        <v>4556</v>
      </c>
      <c r="P43" s="3" t="str">
        <f>VLOOKUP(B43,AE_weight!$U$437:$Y$468,C43+1)</f>
        <v>4444</v>
      </c>
      <c r="Q43" s="4"/>
      <c r="U43" s="4"/>
    </row>
    <row r="44" spans="1:21">
      <c r="A44" s="1">
        <f t="shared" si="0"/>
        <v>39</v>
      </c>
      <c r="B44" s="1">
        <f>B43</f>
        <v>9</v>
      </c>
      <c r="C44" s="1">
        <v>3</v>
      </c>
      <c r="D44" s="3" t="str">
        <f>VLOOKUP(B44,AE_weight!$U$4:$Y$36,C44+1)</f>
        <v>FFFF</v>
      </c>
      <c r="E44" s="3" t="str">
        <f>VLOOKUP(B44,AE_weight!$U$40:$Y$72,C44+1)</f>
        <v>3322</v>
      </c>
      <c r="F44" s="3" t="str">
        <f>VLOOKUP(B44,AE_weight!$U$76:$Y$108,C44+1)</f>
        <v>4332</v>
      </c>
      <c r="G44" s="3" t="str">
        <f>VLOOKUP(B44,AE_weight!$U$112:$Y$144,C44+1)</f>
        <v>2222</v>
      </c>
      <c r="H44" s="3" t="str">
        <f>VLOOKUP(B44,AE_weight!$U$149:$Y$180,C44+1)</f>
        <v>0000</v>
      </c>
      <c r="I44" s="3" t="str">
        <f>VLOOKUP(B44,AE_weight!$U$185:$Y$216,C44+1)</f>
        <v>0000</v>
      </c>
      <c r="J44" s="3" t="str">
        <f>VLOOKUP(B44,AE_weight!$U$221:$Y$252,C44+1)</f>
        <v>7770</v>
      </c>
      <c r="K44" s="3" t="str">
        <f>VLOOKUP(B44,AE_weight!$U$257:$Y$288,C44+1)</f>
        <v>1010</v>
      </c>
      <c r="L44" s="3" t="str">
        <f>VLOOKUP(B44,AE_weight!$U$293:$Y$324,C44+1)</f>
        <v>0000</v>
      </c>
      <c r="M44" s="3" t="str">
        <f>VLOOKUP(B44,AE_weight!$U$329:$Y$360,C44+1)</f>
        <v>4332</v>
      </c>
      <c r="N44" s="3" t="str">
        <f>VLOOKUP(B44,AE_weight!$U$365:$Y$396,C44+1)</f>
        <v>4444</v>
      </c>
      <c r="O44" s="3" t="str">
        <f>VLOOKUP(B44,AE_weight!$U$401:$Y$432,C44+1)</f>
        <v>6554</v>
      </c>
      <c r="P44" s="3" t="str">
        <f>VLOOKUP(B44,AE_weight!$U$437:$Y$468,C44+1)</f>
        <v>4433</v>
      </c>
    </row>
    <row r="45" spans="1:21">
      <c r="A45" s="1">
        <f t="shared" si="0"/>
        <v>40</v>
      </c>
      <c r="B45" s="1">
        <f>B44</f>
        <v>9</v>
      </c>
      <c r="C45" s="1">
        <v>4</v>
      </c>
      <c r="D45" s="3" t="str">
        <f>VLOOKUP(B45,AE_weight!$U$4:$Y$36,C45+1)</f>
        <v>FFFF</v>
      </c>
      <c r="E45" s="3" t="str">
        <f>VLOOKUP(B45,AE_weight!$U$40:$Y$72,C45+1)</f>
        <v>0000</v>
      </c>
      <c r="F45" s="3" t="str">
        <f>VLOOKUP(B45,AE_weight!$U$76:$Y$108,C45+1)</f>
        <v>2000</v>
      </c>
      <c r="G45" s="3" t="str">
        <f>VLOOKUP(B45,AE_weight!$U$112:$Y$144,C45+1)</f>
        <v>2222</v>
      </c>
      <c r="H45" s="3" t="str">
        <f>VLOOKUP(B45,AE_weight!$U$149:$Y$180,C45+1)</f>
        <v>0000</v>
      </c>
      <c r="I45" s="3" t="str">
        <f>VLOOKUP(B45,AE_weight!$U$185:$Y$216,C45+1)</f>
        <v>0000</v>
      </c>
      <c r="J45" s="3" t="str">
        <f>VLOOKUP(B45,AE_weight!$U$221:$Y$252,C45+1)</f>
        <v>0000</v>
      </c>
      <c r="K45" s="3" t="str">
        <f>VLOOKUP(B45,AE_weight!$U$257:$Y$288,C45+1)</f>
        <v>0000</v>
      </c>
      <c r="L45" s="3" t="str">
        <f>VLOOKUP(B45,AE_weight!$U$293:$Y$324,C45+1)</f>
        <v>0000</v>
      </c>
      <c r="M45" s="3" t="str">
        <f>VLOOKUP(B45,AE_weight!$U$329:$Y$360,C45+1)</f>
        <v>2100</v>
      </c>
      <c r="N45" s="3" t="str">
        <f>VLOOKUP(B45,AE_weight!$U$365:$Y$396,C45+1)</f>
        <v>4333</v>
      </c>
      <c r="O45" s="3" t="str">
        <f>VLOOKUP(B45,AE_weight!$U$401:$Y$432,C45+1)</f>
        <v>3210</v>
      </c>
      <c r="P45" s="3" t="str">
        <f>VLOOKUP(B45,AE_weight!$U$437:$Y$468,C45+1)</f>
        <v>2100</v>
      </c>
    </row>
    <row r="46" spans="1:21">
      <c r="A46" s="1">
        <f t="shared" si="0"/>
        <v>41</v>
      </c>
      <c r="B46" s="1">
        <f>B42+1</f>
        <v>10</v>
      </c>
      <c r="C46" s="1">
        <v>1</v>
      </c>
      <c r="D46" s="3" t="str">
        <f>VLOOKUP(B46,AE_weight!$U$4:$Y$36,C46+1)</f>
        <v>FFFF</v>
      </c>
      <c r="E46" s="3" t="str">
        <f>VLOOKUP(B46,AE_weight!$U$40:$Y$72,C46+1)</f>
        <v>0000</v>
      </c>
      <c r="F46" s="3" t="str">
        <f>VLOOKUP(B46,AE_weight!$U$76:$Y$108,C46+1)</f>
        <v>0002</v>
      </c>
      <c r="G46" s="3" t="str">
        <f>VLOOKUP(B46,AE_weight!$U$112:$Y$144,C46+1)</f>
        <v>2222</v>
      </c>
      <c r="H46" s="3" t="str">
        <f>VLOOKUP(B46,AE_weight!$U$149:$Y$180,C46+1)</f>
        <v>0000</v>
      </c>
      <c r="I46" s="3" t="str">
        <f>VLOOKUP(B46,AE_weight!$U$185:$Y$216,C46+1)</f>
        <v>0000</v>
      </c>
      <c r="J46" s="3" t="str">
        <f>VLOOKUP(B46,AE_weight!$U$221:$Y$252,C46+1)</f>
        <v>0000</v>
      </c>
      <c r="K46" s="3" t="str">
        <f>VLOOKUP(B46,AE_weight!$U$257:$Y$288,C46+1)</f>
        <v>0000</v>
      </c>
      <c r="L46" s="3" t="str">
        <f>VLOOKUP(B46,AE_weight!$U$293:$Y$324,C46+1)</f>
        <v>0000</v>
      </c>
      <c r="M46" s="3" t="str">
        <f>VLOOKUP(B46,AE_weight!$U$329:$Y$360,C46+1)</f>
        <v>0012</v>
      </c>
      <c r="N46" s="3" t="str">
        <f>VLOOKUP(B46,AE_weight!$U$365:$Y$396,C46+1)</f>
        <v>0122</v>
      </c>
      <c r="O46" s="3" t="str">
        <f>VLOOKUP(B46,AE_weight!$U$401:$Y$432,C46+1)</f>
        <v>0123</v>
      </c>
      <c r="P46" s="3" t="str">
        <f>VLOOKUP(B46,AE_weight!$U$437:$Y$468,C46+1)</f>
        <v>3344</v>
      </c>
    </row>
    <row r="47" spans="1:21">
      <c r="A47" s="1">
        <f t="shared" si="0"/>
        <v>42</v>
      </c>
      <c r="B47" s="1">
        <f>B46</f>
        <v>10</v>
      </c>
      <c r="C47" s="1">
        <v>2</v>
      </c>
      <c r="D47" s="3" t="str">
        <f>VLOOKUP(B47,AE_weight!$U$4:$Y$36,C47+1)</f>
        <v>FFFF</v>
      </c>
      <c r="E47" s="3" t="str">
        <f>VLOOKUP(B47,AE_weight!$U$40:$Y$72,C47+1)</f>
        <v>2333</v>
      </c>
      <c r="F47" s="3" t="str">
        <f>VLOOKUP(B47,AE_weight!$U$76:$Y$108,C47+1)</f>
        <v>3445</v>
      </c>
      <c r="G47" s="3" t="str">
        <f>VLOOKUP(B47,AE_weight!$U$112:$Y$144,C47+1)</f>
        <v>2233</v>
      </c>
      <c r="H47" s="3" t="str">
        <f>VLOOKUP(B47,AE_weight!$U$149:$Y$180,C47+1)</f>
        <v>0000</v>
      </c>
      <c r="I47" s="3" t="str">
        <f>VLOOKUP(B47,AE_weight!$U$185:$Y$216,C47+1)</f>
        <v>00DD</v>
      </c>
      <c r="J47" s="3" t="str">
        <f>VLOOKUP(B47,AE_weight!$U$221:$Y$252,C47+1)</f>
        <v>77BB</v>
      </c>
      <c r="K47" s="3" t="str">
        <f>VLOOKUP(B47,AE_weight!$U$257:$Y$288,C47+1)</f>
        <v>0000</v>
      </c>
      <c r="L47" s="3" t="str">
        <f>VLOOKUP(B47,AE_weight!$U$293:$Y$324,C47+1)</f>
        <v>0000</v>
      </c>
      <c r="M47" s="3" t="str">
        <f>VLOOKUP(B47,AE_weight!$U$329:$Y$360,C47+1)</f>
        <v>3345</v>
      </c>
      <c r="N47" s="3" t="str">
        <f>VLOOKUP(B47,AE_weight!$U$365:$Y$396,C47+1)</f>
        <v>3445</v>
      </c>
      <c r="O47" s="3" t="str">
        <f>VLOOKUP(B47,AE_weight!$U$401:$Y$432,C47+1)</f>
        <v>4556</v>
      </c>
      <c r="P47" s="3" t="str">
        <f>VLOOKUP(B47,AE_weight!$U$437:$Y$468,C47+1)</f>
        <v>4555</v>
      </c>
    </row>
    <row r="48" spans="1:21">
      <c r="A48" s="1">
        <f t="shared" si="0"/>
        <v>43</v>
      </c>
      <c r="B48" s="1">
        <f>B47</f>
        <v>10</v>
      </c>
      <c r="C48" s="1">
        <v>3</v>
      </c>
      <c r="D48" s="3" t="str">
        <f>VLOOKUP(B48,AE_weight!$U$4:$Y$36,C48+1)</f>
        <v>FFFF</v>
      </c>
      <c r="E48" s="3" t="str">
        <f>VLOOKUP(B48,AE_weight!$U$40:$Y$72,C48+1)</f>
        <v>3332</v>
      </c>
      <c r="F48" s="3" t="str">
        <f>VLOOKUP(B48,AE_weight!$U$76:$Y$108,C48+1)</f>
        <v>5443</v>
      </c>
      <c r="G48" s="3" t="str">
        <f>VLOOKUP(B48,AE_weight!$U$112:$Y$144,C48+1)</f>
        <v>3322</v>
      </c>
      <c r="H48" s="3" t="str">
        <f>VLOOKUP(B48,AE_weight!$U$149:$Y$180,C48+1)</f>
        <v>0000</v>
      </c>
      <c r="I48" s="3" t="str">
        <f>VLOOKUP(B48,AE_weight!$U$185:$Y$216,C48+1)</f>
        <v>DD00</v>
      </c>
      <c r="J48" s="3" t="str">
        <f>VLOOKUP(B48,AE_weight!$U$221:$Y$252,C48+1)</f>
        <v>BB77</v>
      </c>
      <c r="K48" s="3" t="str">
        <f>VLOOKUP(B48,AE_weight!$U$257:$Y$288,C48+1)</f>
        <v>0000</v>
      </c>
      <c r="L48" s="3" t="str">
        <f>VLOOKUP(B48,AE_weight!$U$293:$Y$324,C48+1)</f>
        <v>0000</v>
      </c>
      <c r="M48" s="3" t="str">
        <f>VLOOKUP(B48,AE_weight!$U$329:$Y$360,C48+1)</f>
        <v>5433</v>
      </c>
      <c r="N48" s="3" t="str">
        <f>VLOOKUP(B48,AE_weight!$U$365:$Y$396,C48+1)</f>
        <v>5554</v>
      </c>
      <c r="O48" s="3" t="str">
        <f>VLOOKUP(B48,AE_weight!$U$401:$Y$432,C48+1)</f>
        <v>6554</v>
      </c>
      <c r="P48" s="3" t="str">
        <f>VLOOKUP(B48,AE_weight!$U$437:$Y$468,C48+1)</f>
        <v>5443</v>
      </c>
    </row>
    <row r="49" spans="1:21">
      <c r="A49" s="1">
        <f t="shared" si="0"/>
        <v>44</v>
      </c>
      <c r="B49" s="1">
        <f>B48</f>
        <v>10</v>
      </c>
      <c r="C49" s="1">
        <v>4</v>
      </c>
      <c r="D49" s="3" t="str">
        <f>VLOOKUP(B49,AE_weight!$U$4:$Y$36,C49+1)</f>
        <v>FFFF</v>
      </c>
      <c r="E49" s="3" t="str">
        <f>VLOOKUP(B49,AE_weight!$U$40:$Y$72,C49+1)</f>
        <v>0000</v>
      </c>
      <c r="F49" s="3" t="str">
        <f>VLOOKUP(B49,AE_weight!$U$76:$Y$108,C49+1)</f>
        <v>2000</v>
      </c>
      <c r="G49" s="3" t="str">
        <f>VLOOKUP(B49,AE_weight!$U$112:$Y$144,C49+1)</f>
        <v>2222</v>
      </c>
      <c r="H49" s="3" t="str">
        <f>VLOOKUP(B49,AE_weight!$U$149:$Y$180,C49+1)</f>
        <v>0000</v>
      </c>
      <c r="I49" s="3" t="str">
        <f>VLOOKUP(B49,AE_weight!$U$185:$Y$216,C49+1)</f>
        <v>0000</v>
      </c>
      <c r="J49" s="3" t="str">
        <f>VLOOKUP(B49,AE_weight!$U$221:$Y$252,C49+1)</f>
        <v>0000</v>
      </c>
      <c r="K49" s="3" t="str">
        <f>VLOOKUP(B49,AE_weight!$U$257:$Y$288,C49+1)</f>
        <v>0000</v>
      </c>
      <c r="L49" s="3" t="str">
        <f>VLOOKUP(B49,AE_weight!$U$293:$Y$324,C49+1)</f>
        <v>0000</v>
      </c>
      <c r="M49" s="3" t="str">
        <f>VLOOKUP(B49,AE_weight!$U$329:$Y$360,C49+1)</f>
        <v>2100</v>
      </c>
      <c r="N49" s="3" t="str">
        <f>VLOOKUP(B49,AE_weight!$U$365:$Y$396,C49+1)</f>
        <v>4433</v>
      </c>
      <c r="O49" s="3" t="str">
        <f>VLOOKUP(B49,AE_weight!$U$401:$Y$432,C49+1)</f>
        <v>3210</v>
      </c>
      <c r="P49" s="3" t="str">
        <f>VLOOKUP(B49,AE_weight!$U$437:$Y$468,C49+1)</f>
        <v>2210</v>
      </c>
      <c r="Q49" s="4"/>
      <c r="U49" s="4"/>
    </row>
    <row r="50" spans="1:21">
      <c r="A50" s="1">
        <f t="shared" si="0"/>
        <v>45</v>
      </c>
      <c r="B50" s="1">
        <f>B46+1</f>
        <v>11</v>
      </c>
      <c r="C50" s="1">
        <v>1</v>
      </c>
      <c r="D50" s="3" t="str">
        <f>VLOOKUP(B50,AE_weight!$U$4:$Y$36,C50+1)</f>
        <v>FFFF</v>
      </c>
      <c r="E50" s="3" t="str">
        <f>VLOOKUP(B50,AE_weight!$U$40:$Y$72,C50+1)</f>
        <v>0000</v>
      </c>
      <c r="F50" s="3" t="str">
        <f>VLOOKUP(B50,AE_weight!$U$76:$Y$108,C50+1)</f>
        <v>0022</v>
      </c>
      <c r="G50" s="3" t="str">
        <f>VLOOKUP(B50,AE_weight!$U$112:$Y$144,C50+1)</f>
        <v>2222</v>
      </c>
      <c r="H50" s="3" t="str">
        <f>VLOOKUP(B50,AE_weight!$U$149:$Y$180,C50+1)</f>
        <v>0000</v>
      </c>
      <c r="I50" s="3" t="str">
        <f>VLOOKUP(B50,AE_weight!$U$185:$Y$216,C50+1)</f>
        <v>0000</v>
      </c>
      <c r="J50" s="3" t="str">
        <f>VLOOKUP(B50,AE_weight!$U$221:$Y$252,C50+1)</f>
        <v>0000</v>
      </c>
      <c r="K50" s="3" t="str">
        <f>VLOOKUP(B50,AE_weight!$U$257:$Y$288,C50+1)</f>
        <v>0000</v>
      </c>
      <c r="L50" s="3" t="str">
        <f>VLOOKUP(B50,AE_weight!$U$293:$Y$324,C50+1)</f>
        <v>0000</v>
      </c>
      <c r="M50" s="3" t="str">
        <f>VLOOKUP(B50,AE_weight!$U$329:$Y$360,C50+1)</f>
        <v>0122</v>
      </c>
      <c r="N50" s="3" t="str">
        <f>VLOOKUP(B50,AE_weight!$U$365:$Y$396,C50+1)</f>
        <v>0123</v>
      </c>
      <c r="O50" s="3" t="str">
        <f>VLOOKUP(B50,AE_weight!$U$401:$Y$432,C50+1)</f>
        <v>0123</v>
      </c>
      <c r="P50" s="3" t="str">
        <f>VLOOKUP(B50,AE_weight!$U$437:$Y$468,C50+1)</f>
        <v>3444</v>
      </c>
      <c r="Q50" s="4"/>
      <c r="U50" s="4"/>
    </row>
    <row r="51" spans="1:21">
      <c r="A51" s="1">
        <f t="shared" si="0"/>
        <v>46</v>
      </c>
      <c r="B51" s="1">
        <f>B50</f>
        <v>11</v>
      </c>
      <c r="C51" s="1">
        <v>2</v>
      </c>
      <c r="D51" s="3" t="str">
        <f>VLOOKUP(B51,AE_weight!$U$4:$Y$36,C51+1)</f>
        <v>FFFF</v>
      </c>
      <c r="E51" s="3" t="str">
        <f>VLOOKUP(B51,AE_weight!$U$40:$Y$72,C51+1)</f>
        <v>2333</v>
      </c>
      <c r="F51" s="3" t="str">
        <f>VLOOKUP(B51,AE_weight!$U$76:$Y$108,C51+1)</f>
        <v>3445</v>
      </c>
      <c r="G51" s="3" t="str">
        <f>VLOOKUP(B51,AE_weight!$U$112:$Y$144,C51+1)</f>
        <v>2233</v>
      </c>
      <c r="H51" s="3" t="str">
        <f>VLOOKUP(B51,AE_weight!$U$149:$Y$180,C51+1)</f>
        <v>0000</v>
      </c>
      <c r="I51" s="3" t="str">
        <f>VLOOKUP(B51,AE_weight!$U$185:$Y$216,C51+1)</f>
        <v>00DD</v>
      </c>
      <c r="J51" s="3" t="str">
        <f>VLOOKUP(B51,AE_weight!$U$221:$Y$252,C51+1)</f>
        <v>77BB</v>
      </c>
      <c r="K51" s="3" t="str">
        <f>VLOOKUP(B51,AE_weight!$U$257:$Y$288,C51+1)</f>
        <v>1010</v>
      </c>
      <c r="L51" s="3" t="str">
        <f>VLOOKUP(B51,AE_weight!$U$293:$Y$324,C51+1)</f>
        <v>0010</v>
      </c>
      <c r="M51" s="3" t="str">
        <f>VLOOKUP(B51,AE_weight!$U$329:$Y$360,C51+1)</f>
        <v>3455</v>
      </c>
      <c r="N51" s="3" t="str">
        <f>VLOOKUP(B51,AE_weight!$U$365:$Y$396,C51+1)</f>
        <v>3455</v>
      </c>
      <c r="O51" s="3" t="str">
        <f>VLOOKUP(B51,AE_weight!$U$401:$Y$432,C51+1)</f>
        <v>4566</v>
      </c>
      <c r="P51" s="3" t="str">
        <f>VLOOKUP(B51,AE_weight!$U$437:$Y$468,C51+1)</f>
        <v>5555</v>
      </c>
      <c r="Q51" s="4"/>
      <c r="U51" s="4"/>
    </row>
    <row r="52" spans="1:21">
      <c r="A52" s="1">
        <f t="shared" si="0"/>
        <v>47</v>
      </c>
      <c r="B52" s="1">
        <f>B51</f>
        <v>11</v>
      </c>
      <c r="C52" s="1">
        <v>3</v>
      </c>
      <c r="D52" s="3" t="str">
        <f>VLOOKUP(B52,AE_weight!$U$4:$Y$36,C52+1)</f>
        <v>FFFF</v>
      </c>
      <c r="E52" s="3" t="str">
        <f>VLOOKUP(B52,AE_weight!$U$40:$Y$72,C52+1)</f>
        <v>3332</v>
      </c>
      <c r="F52" s="3" t="str">
        <f>VLOOKUP(B52,AE_weight!$U$76:$Y$108,C52+1)</f>
        <v>5443</v>
      </c>
      <c r="G52" s="3" t="str">
        <f>VLOOKUP(B52,AE_weight!$U$112:$Y$144,C52+1)</f>
        <v>3322</v>
      </c>
      <c r="H52" s="3" t="str">
        <f>VLOOKUP(B52,AE_weight!$U$149:$Y$180,C52+1)</f>
        <v>0000</v>
      </c>
      <c r="I52" s="3" t="str">
        <f>VLOOKUP(B52,AE_weight!$U$185:$Y$216,C52+1)</f>
        <v>DD00</v>
      </c>
      <c r="J52" s="3" t="str">
        <f>VLOOKUP(B52,AE_weight!$U$221:$Y$252,C52+1)</f>
        <v>BB77</v>
      </c>
      <c r="K52" s="3" t="str">
        <f>VLOOKUP(B52,AE_weight!$U$257:$Y$288,C52+1)</f>
        <v>0101</v>
      </c>
      <c r="L52" s="3" t="str">
        <f>VLOOKUP(B52,AE_weight!$U$293:$Y$324,C52+1)</f>
        <v>0100</v>
      </c>
      <c r="M52" s="3" t="str">
        <f>VLOOKUP(B52,AE_weight!$U$329:$Y$360,C52+1)</f>
        <v>5543</v>
      </c>
      <c r="N52" s="3" t="str">
        <f>VLOOKUP(B52,AE_weight!$U$365:$Y$396,C52+1)</f>
        <v>5555</v>
      </c>
      <c r="O52" s="3" t="str">
        <f>VLOOKUP(B52,AE_weight!$U$401:$Y$432,C52+1)</f>
        <v>6654</v>
      </c>
      <c r="P52" s="3" t="str">
        <f>VLOOKUP(B52,AE_weight!$U$437:$Y$468,C52+1)</f>
        <v>5543</v>
      </c>
      <c r="Q52" s="4"/>
      <c r="U52" s="4"/>
    </row>
    <row r="53" spans="1:21">
      <c r="A53" s="1">
        <f t="shared" si="0"/>
        <v>48</v>
      </c>
      <c r="B53" s="1">
        <f>B52</f>
        <v>11</v>
      </c>
      <c r="C53" s="1">
        <v>4</v>
      </c>
      <c r="D53" s="3" t="str">
        <f>VLOOKUP(B53,AE_weight!$U$4:$Y$36,C53+1)</f>
        <v>FFFF</v>
      </c>
      <c r="E53" s="3" t="str">
        <f>VLOOKUP(B53,AE_weight!$U$40:$Y$72,C53+1)</f>
        <v>0000</v>
      </c>
      <c r="F53" s="3" t="str">
        <f>VLOOKUP(B53,AE_weight!$U$76:$Y$108,C53+1)</f>
        <v>2000</v>
      </c>
      <c r="G53" s="3" t="str">
        <f>VLOOKUP(B53,AE_weight!$U$112:$Y$144,C53+1)</f>
        <v>2222</v>
      </c>
      <c r="H53" s="3" t="str">
        <f>VLOOKUP(B53,AE_weight!$U$149:$Y$180,C53+1)</f>
        <v>0000</v>
      </c>
      <c r="I53" s="3" t="str">
        <f>VLOOKUP(B53,AE_weight!$U$185:$Y$216,C53+1)</f>
        <v>0000</v>
      </c>
      <c r="J53" s="3" t="str">
        <f>VLOOKUP(B53,AE_weight!$U$221:$Y$252,C53+1)</f>
        <v>0000</v>
      </c>
      <c r="K53" s="3" t="str">
        <f>VLOOKUP(B53,AE_weight!$U$257:$Y$288,C53+1)</f>
        <v>0000</v>
      </c>
      <c r="L53" s="3" t="str">
        <f>VLOOKUP(B53,AE_weight!$U$293:$Y$324,C53+1)</f>
        <v>0000</v>
      </c>
      <c r="M53" s="3" t="str">
        <f>VLOOKUP(B53,AE_weight!$U$329:$Y$360,C53+1)</f>
        <v>2210</v>
      </c>
      <c r="N53" s="3" t="str">
        <f>VLOOKUP(B53,AE_weight!$U$365:$Y$396,C53+1)</f>
        <v>4443</v>
      </c>
      <c r="O53" s="3" t="str">
        <f>VLOOKUP(B53,AE_weight!$U$401:$Y$432,C53+1)</f>
        <v>3210</v>
      </c>
      <c r="P53" s="3" t="str">
        <f>VLOOKUP(B53,AE_weight!$U$437:$Y$468,C53+1)</f>
        <v>3210</v>
      </c>
      <c r="Q53" s="4"/>
      <c r="U53" s="4"/>
    </row>
    <row r="54" spans="1:21">
      <c r="A54" s="1">
        <f t="shared" si="0"/>
        <v>49</v>
      </c>
      <c r="B54" s="1">
        <f>B50+1</f>
        <v>12</v>
      </c>
      <c r="C54" s="1">
        <v>1</v>
      </c>
      <c r="D54" s="3" t="str">
        <f>VLOOKUP(B54,AE_weight!$U$4:$Y$36,C54+1)</f>
        <v>FFFF</v>
      </c>
      <c r="E54" s="3" t="str">
        <f>VLOOKUP(B54,AE_weight!$U$40:$Y$72,C54+1)</f>
        <v>0000</v>
      </c>
      <c r="F54" s="3" t="str">
        <f>VLOOKUP(B54,AE_weight!$U$76:$Y$108,C54+1)</f>
        <v>0023</v>
      </c>
      <c r="G54" s="3" t="str">
        <f>VLOOKUP(B54,AE_weight!$U$112:$Y$144,C54+1)</f>
        <v>2222</v>
      </c>
      <c r="H54" s="3" t="str">
        <f>VLOOKUP(B54,AE_weight!$U$149:$Y$180,C54+1)</f>
        <v>0000</v>
      </c>
      <c r="I54" s="3" t="str">
        <f>VLOOKUP(B54,AE_weight!$U$185:$Y$216,C54+1)</f>
        <v>0000</v>
      </c>
      <c r="J54" s="3" t="str">
        <f>VLOOKUP(B54,AE_weight!$U$221:$Y$252,C54+1)</f>
        <v>0000</v>
      </c>
      <c r="K54" s="3" t="str">
        <f>VLOOKUP(B54,AE_weight!$U$257:$Y$288,C54+1)</f>
        <v>0000</v>
      </c>
      <c r="L54" s="3" t="str">
        <f>VLOOKUP(B54,AE_weight!$U$293:$Y$324,C54+1)</f>
        <v>0000</v>
      </c>
      <c r="M54" s="3" t="str">
        <f>VLOOKUP(B54,AE_weight!$U$329:$Y$360,C54+1)</f>
        <v>0123</v>
      </c>
      <c r="N54" s="3" t="str">
        <f>VLOOKUP(B54,AE_weight!$U$365:$Y$396,C54+1)</f>
        <v>0123</v>
      </c>
      <c r="O54" s="3" t="str">
        <f>VLOOKUP(B54,AE_weight!$U$401:$Y$432,C54+1)</f>
        <v>0123</v>
      </c>
      <c r="P54" s="3" t="str">
        <f>VLOOKUP(B54,AE_weight!$U$437:$Y$468,C54+1)</f>
        <v>3445</v>
      </c>
      <c r="Q54" s="4"/>
      <c r="U54" s="4"/>
    </row>
    <row r="55" spans="1:21">
      <c r="A55" s="1">
        <f t="shared" si="0"/>
        <v>50</v>
      </c>
      <c r="B55" s="1">
        <f>B54</f>
        <v>12</v>
      </c>
      <c r="C55" s="1">
        <v>2</v>
      </c>
      <c r="D55" s="3" t="str">
        <f>VLOOKUP(B55,AE_weight!$U$4:$Y$36,C55+1)</f>
        <v>FFFF</v>
      </c>
      <c r="E55" s="3" t="str">
        <f>VLOOKUP(B55,AE_weight!$U$40:$Y$72,C55+1)</f>
        <v>2333</v>
      </c>
      <c r="F55" s="3" t="str">
        <f>VLOOKUP(B55,AE_weight!$U$76:$Y$108,C55+1)</f>
        <v>34DD</v>
      </c>
      <c r="G55" s="3" t="str">
        <f>VLOOKUP(B55,AE_weight!$U$112:$Y$144,C55+1)</f>
        <v>2355</v>
      </c>
      <c r="H55" s="3" t="str">
        <f>VLOOKUP(B55,AE_weight!$U$149:$Y$180,C55+1)</f>
        <v>0000</v>
      </c>
      <c r="I55" s="3" t="str">
        <f>VLOOKUP(B55,AE_weight!$U$185:$Y$216,C55+1)</f>
        <v>0DDF</v>
      </c>
      <c r="J55" s="3" t="str">
        <f>VLOOKUP(B55,AE_weight!$U$221:$Y$252,C55+1)</f>
        <v>7BDD</v>
      </c>
      <c r="K55" s="3" t="str">
        <f>VLOOKUP(B55,AE_weight!$U$257:$Y$288,C55+1)</f>
        <v>0000</v>
      </c>
      <c r="L55" s="3" t="str">
        <f>VLOOKUP(B55,AE_weight!$U$293:$Y$324,C55+1)</f>
        <v>0000</v>
      </c>
      <c r="M55" s="3" t="str">
        <f>VLOOKUP(B55,AE_weight!$U$329:$Y$360,C55+1)</f>
        <v>3555</v>
      </c>
      <c r="N55" s="3" t="str">
        <f>VLOOKUP(B55,AE_weight!$U$365:$Y$396,C55+1)</f>
        <v>4556</v>
      </c>
      <c r="O55" s="3" t="str">
        <f>VLOOKUP(B55,AE_weight!$U$401:$Y$432,C55+1)</f>
        <v>4566</v>
      </c>
      <c r="P55" s="3" t="str">
        <f>VLOOKUP(B55,AE_weight!$U$437:$Y$468,C55+1)</f>
        <v>5566</v>
      </c>
      <c r="Q55" s="4"/>
      <c r="U55" s="4"/>
    </row>
    <row r="56" spans="1:21">
      <c r="A56" s="1">
        <f t="shared" si="0"/>
        <v>51</v>
      </c>
      <c r="B56" s="1">
        <f>B55</f>
        <v>12</v>
      </c>
      <c r="C56" s="1">
        <v>3</v>
      </c>
      <c r="D56" s="3" t="str">
        <f>VLOOKUP(B56,AE_weight!$U$4:$Y$36,C56+1)</f>
        <v>FFFF</v>
      </c>
      <c r="E56" s="3" t="str">
        <f>VLOOKUP(B56,AE_weight!$U$40:$Y$72,C56+1)</f>
        <v>3332</v>
      </c>
      <c r="F56" s="3" t="str">
        <f>VLOOKUP(B56,AE_weight!$U$76:$Y$108,C56+1)</f>
        <v>DD43</v>
      </c>
      <c r="G56" s="3" t="str">
        <f>VLOOKUP(B56,AE_weight!$U$112:$Y$144,C56+1)</f>
        <v>5532</v>
      </c>
      <c r="H56" s="3" t="str">
        <f>VLOOKUP(B56,AE_weight!$U$149:$Y$180,C56+1)</f>
        <v>0000</v>
      </c>
      <c r="I56" s="3" t="str">
        <f>VLOOKUP(B56,AE_weight!$U$185:$Y$216,C56+1)</f>
        <v>FDD0</v>
      </c>
      <c r="J56" s="3" t="str">
        <f>VLOOKUP(B56,AE_weight!$U$221:$Y$252,C56+1)</f>
        <v>DDB7</v>
      </c>
      <c r="K56" s="3" t="str">
        <f>VLOOKUP(B56,AE_weight!$U$257:$Y$288,C56+1)</f>
        <v>0000</v>
      </c>
      <c r="L56" s="3" t="str">
        <f>VLOOKUP(B56,AE_weight!$U$293:$Y$324,C56+1)</f>
        <v>0000</v>
      </c>
      <c r="M56" s="3" t="str">
        <f>VLOOKUP(B56,AE_weight!$U$329:$Y$360,C56+1)</f>
        <v>5553</v>
      </c>
      <c r="N56" s="3" t="str">
        <f>VLOOKUP(B56,AE_weight!$U$365:$Y$396,C56+1)</f>
        <v>6655</v>
      </c>
      <c r="O56" s="3" t="str">
        <f>VLOOKUP(B56,AE_weight!$U$401:$Y$432,C56+1)</f>
        <v>6654</v>
      </c>
      <c r="P56" s="3" t="str">
        <f>VLOOKUP(B56,AE_weight!$U$437:$Y$468,C56+1)</f>
        <v>6554</v>
      </c>
      <c r="Q56" s="4"/>
      <c r="U56" s="4"/>
    </row>
    <row r="57" spans="1:21">
      <c r="A57" s="1">
        <f t="shared" si="0"/>
        <v>52</v>
      </c>
      <c r="B57" s="1">
        <f>B56</f>
        <v>12</v>
      </c>
      <c r="C57" s="1">
        <v>4</v>
      </c>
      <c r="D57" s="3" t="str">
        <f>VLOOKUP(B57,AE_weight!$U$4:$Y$36,C57+1)</f>
        <v>FFFF</v>
      </c>
      <c r="E57" s="3" t="str">
        <f>VLOOKUP(B57,AE_weight!$U$40:$Y$72,C57+1)</f>
        <v>0000</v>
      </c>
      <c r="F57" s="3" t="str">
        <f>VLOOKUP(B57,AE_weight!$U$76:$Y$108,C57+1)</f>
        <v>3200</v>
      </c>
      <c r="G57" s="3" t="str">
        <f>VLOOKUP(B57,AE_weight!$U$112:$Y$144,C57+1)</f>
        <v>2222</v>
      </c>
      <c r="H57" s="3" t="str">
        <f>VLOOKUP(B57,AE_weight!$U$149:$Y$180,C57+1)</f>
        <v>0000</v>
      </c>
      <c r="I57" s="3" t="str">
        <f>VLOOKUP(B57,AE_weight!$U$185:$Y$216,C57+1)</f>
        <v>0000</v>
      </c>
      <c r="J57" s="3" t="str">
        <f>VLOOKUP(B57,AE_weight!$U$221:$Y$252,C57+1)</f>
        <v>0000</v>
      </c>
      <c r="K57" s="3" t="str">
        <f>VLOOKUP(B57,AE_weight!$U$257:$Y$288,C57+1)</f>
        <v>0000</v>
      </c>
      <c r="L57" s="3" t="str">
        <f>VLOOKUP(B57,AE_weight!$U$293:$Y$324,C57+1)</f>
        <v>0000</v>
      </c>
      <c r="M57" s="3" t="str">
        <f>VLOOKUP(B57,AE_weight!$U$329:$Y$360,C57+1)</f>
        <v>3210</v>
      </c>
      <c r="N57" s="3" t="str">
        <f>VLOOKUP(B57,AE_weight!$U$365:$Y$396,C57+1)</f>
        <v>5443</v>
      </c>
      <c r="O57" s="3" t="str">
        <f>VLOOKUP(B57,AE_weight!$U$401:$Y$432,C57+1)</f>
        <v>3210</v>
      </c>
      <c r="P57" s="3" t="str">
        <f>VLOOKUP(B57,AE_weight!$U$437:$Y$468,C57+1)</f>
        <v>3210</v>
      </c>
      <c r="Q57" s="4"/>
      <c r="U57" s="4"/>
    </row>
    <row r="58" spans="1:21">
      <c r="A58" s="1">
        <f t="shared" si="0"/>
        <v>53</v>
      </c>
      <c r="B58" s="1">
        <f>B54+1</f>
        <v>13</v>
      </c>
      <c r="C58" s="1">
        <v>1</v>
      </c>
      <c r="D58" s="3" t="str">
        <f>VLOOKUP(B58,AE_weight!$U$4:$Y$36,C58+1)</f>
        <v>FFFF</v>
      </c>
      <c r="E58" s="3" t="str">
        <f>VLOOKUP(B58,AE_weight!$U$40:$Y$72,C58+1)</f>
        <v>0002</v>
      </c>
      <c r="F58" s="3" t="str">
        <f>VLOOKUP(B58,AE_weight!$U$76:$Y$108,C58+1)</f>
        <v>0023</v>
      </c>
      <c r="G58" s="3" t="str">
        <f>VLOOKUP(B58,AE_weight!$U$112:$Y$144,C58+1)</f>
        <v>2222</v>
      </c>
      <c r="H58" s="3" t="str">
        <f>VLOOKUP(B58,AE_weight!$U$149:$Y$180,C58+1)</f>
        <v>0000</v>
      </c>
      <c r="I58" s="3" t="str">
        <f>VLOOKUP(B58,AE_weight!$U$185:$Y$216,C58+1)</f>
        <v>0000</v>
      </c>
      <c r="J58" s="3" t="str">
        <f>VLOOKUP(B58,AE_weight!$U$221:$Y$252,C58+1)</f>
        <v>0000</v>
      </c>
      <c r="K58" s="3" t="str">
        <f>VLOOKUP(B58,AE_weight!$U$257:$Y$288,C58+1)</f>
        <v>0001</v>
      </c>
      <c r="L58" s="3" t="str">
        <f>VLOOKUP(B58,AE_weight!$U$293:$Y$324,C58+1)</f>
        <v>0000</v>
      </c>
      <c r="M58" s="3" t="str">
        <f>VLOOKUP(B58,AE_weight!$U$329:$Y$360,C58+1)</f>
        <v>0123</v>
      </c>
      <c r="N58" s="3" t="str">
        <f>VLOOKUP(B58,AE_weight!$U$365:$Y$396,C58+1)</f>
        <v>0123</v>
      </c>
      <c r="O58" s="3" t="str">
        <f>VLOOKUP(B58,AE_weight!$U$401:$Y$432,C58+1)</f>
        <v>0123</v>
      </c>
      <c r="P58" s="3" t="str">
        <f>VLOOKUP(B58,AE_weight!$U$437:$Y$468,C58+1)</f>
        <v>4455</v>
      </c>
      <c r="Q58" s="4"/>
      <c r="U58" s="4"/>
    </row>
    <row r="59" spans="1:21">
      <c r="A59" s="1">
        <f t="shared" si="0"/>
        <v>54</v>
      </c>
      <c r="B59" s="1">
        <f>B58</f>
        <v>13</v>
      </c>
      <c r="C59" s="1">
        <v>2</v>
      </c>
      <c r="D59" s="3" t="str">
        <f>VLOOKUP(B59,AE_weight!$U$4:$Y$36,C59+1)</f>
        <v>FFFF</v>
      </c>
      <c r="E59" s="3" t="str">
        <f>VLOOKUP(B59,AE_weight!$U$40:$Y$72,C59+1)</f>
        <v>3333</v>
      </c>
      <c r="F59" s="3" t="str">
        <f>VLOOKUP(B59,AE_weight!$U$76:$Y$108,C59+1)</f>
        <v>34DD</v>
      </c>
      <c r="G59" s="3" t="str">
        <f>VLOOKUP(B59,AE_weight!$U$112:$Y$144,C59+1)</f>
        <v>2355</v>
      </c>
      <c r="H59" s="3" t="str">
        <f>VLOOKUP(B59,AE_weight!$U$149:$Y$180,C59+1)</f>
        <v>0000</v>
      </c>
      <c r="I59" s="3" t="str">
        <f>VLOOKUP(B59,AE_weight!$U$185:$Y$216,C59+1)</f>
        <v>0DDF</v>
      </c>
      <c r="J59" s="3" t="str">
        <f>VLOOKUP(B59,AE_weight!$U$221:$Y$252,C59+1)</f>
        <v>7BDD</v>
      </c>
      <c r="K59" s="3" t="str">
        <f>VLOOKUP(B59,AE_weight!$U$257:$Y$288,C59+1)</f>
        <v>0101</v>
      </c>
      <c r="L59" s="3" t="str">
        <f>VLOOKUP(B59,AE_weight!$U$293:$Y$324,C59+1)</f>
        <v>0000</v>
      </c>
      <c r="M59" s="3" t="str">
        <f>VLOOKUP(B59,AE_weight!$U$329:$Y$360,C59+1)</f>
        <v>4556</v>
      </c>
      <c r="N59" s="3" t="str">
        <f>VLOOKUP(B59,AE_weight!$U$365:$Y$396,C59+1)</f>
        <v>4556</v>
      </c>
      <c r="O59" s="3" t="str">
        <f>VLOOKUP(B59,AE_weight!$U$401:$Y$432,C59+1)</f>
        <v>4566</v>
      </c>
      <c r="P59" s="3" t="str">
        <f>VLOOKUP(B59,AE_weight!$U$437:$Y$468,C59+1)</f>
        <v>5666</v>
      </c>
      <c r="Q59" s="4"/>
      <c r="U59" s="4"/>
    </row>
    <row r="60" spans="1:21">
      <c r="A60" s="1">
        <f t="shared" si="0"/>
        <v>55</v>
      </c>
      <c r="B60" s="1">
        <f>B59</f>
        <v>13</v>
      </c>
      <c r="C60" s="1">
        <v>3</v>
      </c>
      <c r="D60" s="3" t="str">
        <f>VLOOKUP(B60,AE_weight!$U$4:$Y$36,C60+1)</f>
        <v>FFFF</v>
      </c>
      <c r="E60" s="3" t="str">
        <f>VLOOKUP(B60,AE_weight!$U$40:$Y$72,C60+1)</f>
        <v>3333</v>
      </c>
      <c r="F60" s="3" t="str">
        <f>VLOOKUP(B60,AE_weight!$U$76:$Y$108,C60+1)</f>
        <v>DD43</v>
      </c>
      <c r="G60" s="3" t="str">
        <f>VLOOKUP(B60,AE_weight!$U$112:$Y$144,C60+1)</f>
        <v>5532</v>
      </c>
      <c r="H60" s="3" t="str">
        <f>VLOOKUP(B60,AE_weight!$U$149:$Y$180,C60+1)</f>
        <v>0000</v>
      </c>
      <c r="I60" s="3" t="str">
        <f>VLOOKUP(B60,AE_weight!$U$185:$Y$216,C60+1)</f>
        <v>FDD0</v>
      </c>
      <c r="J60" s="3" t="str">
        <f>VLOOKUP(B60,AE_weight!$U$221:$Y$252,C60+1)</f>
        <v>DDB7</v>
      </c>
      <c r="K60" s="3" t="str">
        <f>VLOOKUP(B60,AE_weight!$U$257:$Y$288,C60+1)</f>
        <v>1010</v>
      </c>
      <c r="L60" s="3" t="str">
        <f>VLOOKUP(B60,AE_weight!$U$293:$Y$324,C60+1)</f>
        <v>0000</v>
      </c>
      <c r="M60" s="3" t="str">
        <f>VLOOKUP(B60,AE_weight!$U$329:$Y$360,C60+1)</f>
        <v>6554</v>
      </c>
      <c r="N60" s="3" t="str">
        <f>VLOOKUP(B60,AE_weight!$U$365:$Y$396,C60+1)</f>
        <v>6665</v>
      </c>
      <c r="O60" s="3" t="str">
        <f>VLOOKUP(B60,AE_weight!$U$401:$Y$432,C60+1)</f>
        <v>6654</v>
      </c>
      <c r="P60" s="3" t="str">
        <f>VLOOKUP(B60,AE_weight!$U$437:$Y$468,C60+1)</f>
        <v>6554</v>
      </c>
      <c r="Q60" s="4"/>
      <c r="U60" s="4"/>
    </row>
    <row r="61" spans="1:21">
      <c r="A61" s="1">
        <f t="shared" si="0"/>
        <v>56</v>
      </c>
      <c r="B61" s="1">
        <f>B60</f>
        <v>13</v>
      </c>
      <c r="C61" s="1">
        <v>4</v>
      </c>
      <c r="D61" s="3" t="str">
        <f>VLOOKUP(B61,AE_weight!$U$4:$Y$36,C61+1)</f>
        <v>FFFF</v>
      </c>
      <c r="E61" s="3" t="str">
        <f>VLOOKUP(B61,AE_weight!$U$40:$Y$72,C61+1)</f>
        <v>2000</v>
      </c>
      <c r="F61" s="3" t="str">
        <f>VLOOKUP(B61,AE_weight!$U$76:$Y$108,C61+1)</f>
        <v>3200</v>
      </c>
      <c r="G61" s="3" t="str">
        <f>VLOOKUP(B61,AE_weight!$U$112:$Y$144,C61+1)</f>
        <v>2222</v>
      </c>
      <c r="H61" s="3" t="str">
        <f>VLOOKUP(B61,AE_weight!$U$149:$Y$180,C61+1)</f>
        <v>0000</v>
      </c>
      <c r="I61" s="3" t="str">
        <f>VLOOKUP(B61,AE_weight!$U$185:$Y$216,C61+1)</f>
        <v>0000</v>
      </c>
      <c r="J61" s="3" t="str">
        <f>VLOOKUP(B61,AE_weight!$U$221:$Y$252,C61+1)</f>
        <v>0000</v>
      </c>
      <c r="K61" s="3" t="str">
        <f>VLOOKUP(B61,AE_weight!$U$257:$Y$288,C61+1)</f>
        <v>1000</v>
      </c>
      <c r="L61" s="3" t="str">
        <f>VLOOKUP(B61,AE_weight!$U$293:$Y$324,C61+1)</f>
        <v>0000</v>
      </c>
      <c r="M61" s="3" t="str">
        <f>VLOOKUP(B61,AE_weight!$U$329:$Y$360,C61+1)</f>
        <v>3210</v>
      </c>
      <c r="N61" s="3" t="str">
        <f>VLOOKUP(B61,AE_weight!$U$365:$Y$396,C61+1)</f>
        <v>5544</v>
      </c>
      <c r="O61" s="3" t="str">
        <f>VLOOKUP(B61,AE_weight!$U$401:$Y$432,C61+1)</f>
        <v>3210</v>
      </c>
      <c r="P61" s="3" t="str">
        <f>VLOOKUP(B61,AE_weight!$U$437:$Y$468,C61+1)</f>
        <v>3210</v>
      </c>
      <c r="Q61" s="4"/>
      <c r="U61" s="4"/>
    </row>
    <row r="62" spans="1:21">
      <c r="A62" s="1">
        <f t="shared" si="0"/>
        <v>57</v>
      </c>
      <c r="B62" s="1">
        <f>B58+1</f>
        <v>14</v>
      </c>
      <c r="C62" s="1">
        <v>1</v>
      </c>
      <c r="D62" s="3" t="str">
        <f>VLOOKUP(B62,AE_weight!$U$4:$Y$36,C62+1)</f>
        <v>FFFF</v>
      </c>
      <c r="E62" s="3" t="str">
        <f>VLOOKUP(B62,AE_weight!$U$40:$Y$72,C62+1)</f>
        <v>0002</v>
      </c>
      <c r="F62" s="3" t="str">
        <f>VLOOKUP(B62,AE_weight!$U$76:$Y$108,C62+1)</f>
        <v>0023</v>
      </c>
      <c r="G62" s="3" t="str">
        <f>VLOOKUP(B62,AE_weight!$U$112:$Y$144,C62+1)</f>
        <v>2222</v>
      </c>
      <c r="H62" s="3" t="str">
        <f>VLOOKUP(B62,AE_weight!$U$149:$Y$180,C62+1)</f>
        <v>0000</v>
      </c>
      <c r="I62" s="3" t="str">
        <f>VLOOKUP(B62,AE_weight!$U$185:$Y$216,C62+1)</f>
        <v>0000</v>
      </c>
      <c r="J62" s="3" t="str">
        <f>VLOOKUP(B62,AE_weight!$U$221:$Y$252,C62+1)</f>
        <v>0007</v>
      </c>
      <c r="K62" s="3" t="str">
        <f>VLOOKUP(B62,AE_weight!$U$257:$Y$288,C62+1)</f>
        <v>0000</v>
      </c>
      <c r="L62" s="3" t="str">
        <f>VLOOKUP(B62,AE_weight!$U$293:$Y$324,C62+1)</f>
        <v>0000</v>
      </c>
      <c r="M62" s="3" t="str">
        <f>VLOOKUP(B62,AE_weight!$U$329:$Y$360,C62+1)</f>
        <v>0123</v>
      </c>
      <c r="N62" s="3" t="str">
        <f>VLOOKUP(B62,AE_weight!$U$365:$Y$396,C62+1)</f>
        <v>0123</v>
      </c>
      <c r="O62" s="3" t="str">
        <f>VLOOKUP(B62,AE_weight!$U$401:$Y$432,C62+1)</f>
        <v>0123</v>
      </c>
      <c r="P62" s="3" t="str">
        <f>VLOOKUP(B62,AE_weight!$U$437:$Y$468,C62+1)</f>
        <v>4455</v>
      </c>
      <c r="Q62" s="4"/>
      <c r="U62" s="4"/>
    </row>
    <row r="63" spans="1:21">
      <c r="A63" s="1">
        <f t="shared" si="0"/>
        <v>58</v>
      </c>
      <c r="B63" s="1">
        <f>B62</f>
        <v>14</v>
      </c>
      <c r="C63" s="1">
        <v>2</v>
      </c>
      <c r="D63" s="3" t="str">
        <f>VLOOKUP(B63,AE_weight!$U$4:$Y$36,C63+1)</f>
        <v>FFFF</v>
      </c>
      <c r="E63" s="3" t="str">
        <f>VLOOKUP(B63,AE_weight!$U$40:$Y$72,C63+1)</f>
        <v>3333</v>
      </c>
      <c r="F63" s="3" t="str">
        <f>VLOOKUP(B63,AE_weight!$U$76:$Y$108,C63+1)</f>
        <v>45DD</v>
      </c>
      <c r="G63" s="3" t="str">
        <f>VLOOKUP(B63,AE_weight!$U$112:$Y$144,C63+1)</f>
        <v>2355</v>
      </c>
      <c r="H63" s="3" t="str">
        <f>VLOOKUP(B63,AE_weight!$U$149:$Y$180,C63+1)</f>
        <v>000F</v>
      </c>
      <c r="I63" s="3" t="str">
        <f>VLOOKUP(B63,AE_weight!$U$185:$Y$216,C63+1)</f>
        <v>0DFF</v>
      </c>
      <c r="J63" s="3" t="str">
        <f>VLOOKUP(B63,AE_weight!$U$221:$Y$252,C63+1)</f>
        <v>7BDF</v>
      </c>
      <c r="K63" s="3" t="str">
        <f>VLOOKUP(B63,AE_weight!$U$257:$Y$288,C63+1)</f>
        <v>0000</v>
      </c>
      <c r="L63" s="3" t="str">
        <f>VLOOKUP(B63,AE_weight!$U$293:$Y$324,C63+1)</f>
        <v>0000</v>
      </c>
      <c r="M63" s="3" t="str">
        <f>VLOOKUP(B63,AE_weight!$U$329:$Y$360,C63+1)</f>
        <v>4566</v>
      </c>
      <c r="N63" s="3" t="str">
        <f>VLOOKUP(B63,AE_weight!$U$365:$Y$396,C63+1)</f>
        <v>4566</v>
      </c>
      <c r="O63" s="3" t="str">
        <f>VLOOKUP(B63,AE_weight!$U$401:$Y$432,C63+1)</f>
        <v>4566</v>
      </c>
      <c r="P63" s="3" t="str">
        <f>VLOOKUP(B63,AE_weight!$U$437:$Y$468,C63+1)</f>
        <v>6666</v>
      </c>
      <c r="Q63" s="4"/>
      <c r="U63" s="4"/>
    </row>
    <row r="64" spans="1:21">
      <c r="A64" s="1">
        <f t="shared" si="0"/>
        <v>59</v>
      </c>
      <c r="B64" s="1">
        <f>B63</f>
        <v>14</v>
      </c>
      <c r="C64" s="1">
        <v>3</v>
      </c>
      <c r="D64" s="3" t="str">
        <f>VLOOKUP(B64,AE_weight!$U$4:$Y$36,C64+1)</f>
        <v>FFFF</v>
      </c>
      <c r="E64" s="3" t="str">
        <f>VLOOKUP(B64,AE_weight!$U$40:$Y$72,C64+1)</f>
        <v>3333</v>
      </c>
      <c r="F64" s="3" t="str">
        <f>VLOOKUP(B64,AE_weight!$U$76:$Y$108,C64+1)</f>
        <v>DD54</v>
      </c>
      <c r="G64" s="3" t="str">
        <f>VLOOKUP(B64,AE_weight!$U$112:$Y$144,C64+1)</f>
        <v>5532</v>
      </c>
      <c r="H64" s="3" t="str">
        <f>VLOOKUP(B64,AE_weight!$U$149:$Y$180,C64+1)</f>
        <v>F000</v>
      </c>
      <c r="I64" s="3" t="str">
        <f>VLOOKUP(B64,AE_weight!$U$185:$Y$216,C64+1)</f>
        <v>FFD0</v>
      </c>
      <c r="J64" s="3" t="str">
        <f>VLOOKUP(B64,AE_weight!$U$221:$Y$252,C64+1)</f>
        <v>FDB7</v>
      </c>
      <c r="K64" s="3" t="str">
        <f>VLOOKUP(B64,AE_weight!$U$257:$Y$288,C64+1)</f>
        <v>0000</v>
      </c>
      <c r="L64" s="3" t="str">
        <f>VLOOKUP(B64,AE_weight!$U$293:$Y$324,C64+1)</f>
        <v>0000</v>
      </c>
      <c r="M64" s="3" t="str">
        <f>VLOOKUP(B64,AE_weight!$U$329:$Y$360,C64+1)</f>
        <v>6654</v>
      </c>
      <c r="N64" s="3" t="str">
        <f>VLOOKUP(B64,AE_weight!$U$365:$Y$396,C64+1)</f>
        <v>6666</v>
      </c>
      <c r="O64" s="3" t="str">
        <f>VLOOKUP(B64,AE_weight!$U$401:$Y$432,C64+1)</f>
        <v>6654</v>
      </c>
      <c r="P64" s="3" t="str">
        <f>VLOOKUP(B64,AE_weight!$U$437:$Y$468,C64+1)</f>
        <v>6654</v>
      </c>
    </row>
    <row r="65" spans="1:21">
      <c r="A65" s="1">
        <f t="shared" si="0"/>
        <v>60</v>
      </c>
      <c r="B65" s="1">
        <f>B64</f>
        <v>14</v>
      </c>
      <c r="C65" s="1">
        <v>4</v>
      </c>
      <c r="D65" s="3" t="str">
        <f>VLOOKUP(B65,AE_weight!$U$4:$Y$36,C65+1)</f>
        <v>FFFF</v>
      </c>
      <c r="E65" s="3" t="str">
        <f>VLOOKUP(B65,AE_weight!$U$40:$Y$72,C65+1)</f>
        <v>2000</v>
      </c>
      <c r="F65" s="3" t="str">
        <f>VLOOKUP(B65,AE_weight!$U$76:$Y$108,C65+1)</f>
        <v>3200</v>
      </c>
      <c r="G65" s="3" t="str">
        <f>VLOOKUP(B65,AE_weight!$U$112:$Y$144,C65+1)</f>
        <v>2222</v>
      </c>
      <c r="H65" s="3" t="str">
        <f>VLOOKUP(B65,AE_weight!$U$149:$Y$180,C65+1)</f>
        <v>0000</v>
      </c>
      <c r="I65" s="3" t="str">
        <f>VLOOKUP(B65,AE_weight!$U$185:$Y$216,C65+1)</f>
        <v>0000</v>
      </c>
      <c r="J65" s="3" t="str">
        <f>VLOOKUP(B65,AE_weight!$U$221:$Y$252,C65+1)</f>
        <v>7000</v>
      </c>
      <c r="K65" s="3" t="str">
        <f>VLOOKUP(B65,AE_weight!$U$257:$Y$288,C65+1)</f>
        <v>0000</v>
      </c>
      <c r="L65" s="3" t="str">
        <f>VLOOKUP(B65,AE_weight!$U$293:$Y$324,C65+1)</f>
        <v>0000</v>
      </c>
      <c r="M65" s="3" t="str">
        <f>VLOOKUP(B65,AE_weight!$U$329:$Y$360,C65+1)</f>
        <v>3210</v>
      </c>
      <c r="N65" s="3" t="str">
        <f>VLOOKUP(B65,AE_weight!$U$365:$Y$396,C65+1)</f>
        <v>5544</v>
      </c>
      <c r="O65" s="3" t="str">
        <f>VLOOKUP(B65,AE_weight!$U$401:$Y$432,C65+1)</f>
        <v>3210</v>
      </c>
      <c r="P65" s="3" t="str">
        <f>VLOOKUP(B65,AE_weight!$U$437:$Y$468,C65+1)</f>
        <v>3210</v>
      </c>
    </row>
    <row r="66" spans="1:21">
      <c r="A66" s="1">
        <f t="shared" si="0"/>
        <v>61</v>
      </c>
      <c r="B66" s="1">
        <f>B62+1</f>
        <v>15</v>
      </c>
      <c r="C66" s="1">
        <v>1</v>
      </c>
      <c r="D66" s="3" t="str">
        <f>VLOOKUP(B66,AE_weight!$U$4:$Y$36,C66+1)</f>
        <v>FFFF</v>
      </c>
      <c r="E66" s="3" t="str">
        <f>VLOOKUP(B66,AE_weight!$U$40:$Y$72,C66+1)</f>
        <v>0002</v>
      </c>
      <c r="F66" s="3" t="str">
        <f>VLOOKUP(B66,AE_weight!$U$76:$Y$108,C66+1)</f>
        <v>0023</v>
      </c>
      <c r="G66" s="3" t="str">
        <f>VLOOKUP(B66,AE_weight!$U$112:$Y$144,C66+1)</f>
        <v>2222</v>
      </c>
      <c r="H66" s="3" t="str">
        <f>VLOOKUP(B66,AE_weight!$U$149:$Y$180,C66+1)</f>
        <v>0000</v>
      </c>
      <c r="I66" s="3" t="str">
        <f>VLOOKUP(B66,AE_weight!$U$185:$Y$216,C66+1)</f>
        <v>0000</v>
      </c>
      <c r="J66" s="3" t="str">
        <f>VLOOKUP(B66,AE_weight!$U$221:$Y$252,C66+1)</f>
        <v>0007</v>
      </c>
      <c r="K66" s="3" t="str">
        <f>VLOOKUP(B66,AE_weight!$U$257:$Y$288,C66+1)</f>
        <v>0010</v>
      </c>
      <c r="L66" s="3" t="str">
        <f>VLOOKUP(B66,AE_weight!$U$293:$Y$324,C66+1)</f>
        <v>0000</v>
      </c>
      <c r="M66" s="3" t="str">
        <f>VLOOKUP(B66,AE_weight!$U$329:$Y$360,C66+1)</f>
        <v>0123</v>
      </c>
      <c r="N66" s="3" t="str">
        <f>VLOOKUP(B66,AE_weight!$U$365:$Y$396,C66+1)</f>
        <v>0123</v>
      </c>
      <c r="O66" s="3" t="str">
        <f>VLOOKUP(B66,AE_weight!$U$401:$Y$432,C66+1)</f>
        <v>0123</v>
      </c>
      <c r="P66" s="3" t="str">
        <f>VLOOKUP(B66,AE_weight!$U$437:$Y$468,C66+1)</f>
        <v>4455</v>
      </c>
    </row>
    <row r="67" spans="1:21">
      <c r="A67" s="1">
        <f t="shared" si="0"/>
        <v>62</v>
      </c>
      <c r="B67" s="1">
        <f>B66</f>
        <v>15</v>
      </c>
      <c r="C67" s="1">
        <v>2</v>
      </c>
      <c r="D67" s="3" t="str">
        <f>VLOOKUP(B67,AE_weight!$U$4:$Y$36,C67+1)</f>
        <v>FFFF</v>
      </c>
      <c r="E67" s="3" t="str">
        <f>VLOOKUP(B67,AE_weight!$U$40:$Y$72,C67+1)</f>
        <v>3333</v>
      </c>
      <c r="F67" s="3" t="str">
        <f>VLOOKUP(B67,AE_weight!$U$76:$Y$108,C67+1)</f>
        <v>45DD</v>
      </c>
      <c r="G67" s="3" t="str">
        <f>VLOOKUP(B67,AE_weight!$U$112:$Y$144,C67+1)</f>
        <v>2355</v>
      </c>
      <c r="H67" s="3" t="str">
        <f>VLOOKUP(B67,AE_weight!$U$149:$Y$180,C67+1)</f>
        <v>000F</v>
      </c>
      <c r="I67" s="3" t="str">
        <f>VLOOKUP(B67,AE_weight!$U$185:$Y$216,C67+1)</f>
        <v>0DFF</v>
      </c>
      <c r="J67" s="3" t="str">
        <f>VLOOKUP(B67,AE_weight!$U$221:$Y$252,C67+1)</f>
        <v>7BDF</v>
      </c>
      <c r="K67" s="3" t="str">
        <f>VLOOKUP(B67,AE_weight!$U$257:$Y$288,C67+1)</f>
        <v>1010</v>
      </c>
      <c r="L67" s="3" t="str">
        <f>VLOOKUP(B67,AE_weight!$U$293:$Y$324,C67+1)</f>
        <v>1000</v>
      </c>
      <c r="M67" s="3" t="str">
        <f>VLOOKUP(B67,AE_weight!$U$329:$Y$360,C67+1)</f>
        <v>4566</v>
      </c>
      <c r="N67" s="3" t="str">
        <f>VLOOKUP(B67,AE_weight!$U$365:$Y$396,C67+1)</f>
        <v>4566</v>
      </c>
      <c r="O67" s="3" t="str">
        <f>VLOOKUP(B67,AE_weight!$U$401:$Y$432,C67+1)</f>
        <v>4566</v>
      </c>
      <c r="P67" s="3" t="str">
        <f>VLOOKUP(B67,AE_weight!$U$437:$Y$468,C67+1)</f>
        <v>6666</v>
      </c>
    </row>
    <row r="68" spans="1:21">
      <c r="A68" s="1">
        <f t="shared" si="0"/>
        <v>63</v>
      </c>
      <c r="B68" s="1">
        <f>B67</f>
        <v>15</v>
      </c>
      <c r="C68" s="1">
        <v>3</v>
      </c>
      <c r="D68" s="3" t="str">
        <f>VLOOKUP(B68,AE_weight!$U$4:$Y$36,C68+1)</f>
        <v>FFFF</v>
      </c>
      <c r="E68" s="3" t="str">
        <f>VLOOKUP(B68,AE_weight!$U$40:$Y$72,C68+1)</f>
        <v>3333</v>
      </c>
      <c r="F68" s="3" t="str">
        <f>VLOOKUP(B68,AE_weight!$U$76:$Y$108,C68+1)</f>
        <v>DD54</v>
      </c>
      <c r="G68" s="3" t="str">
        <f>VLOOKUP(B68,AE_weight!$U$112:$Y$144,C68+1)</f>
        <v>5532</v>
      </c>
      <c r="H68" s="3" t="str">
        <f>VLOOKUP(B68,AE_weight!$U$149:$Y$180,C68+1)</f>
        <v>F000</v>
      </c>
      <c r="I68" s="3" t="str">
        <f>VLOOKUP(B68,AE_weight!$U$185:$Y$216,C68+1)</f>
        <v>FFD0</v>
      </c>
      <c r="J68" s="3" t="str">
        <f>VLOOKUP(B68,AE_weight!$U$221:$Y$252,C68+1)</f>
        <v>FDB7</v>
      </c>
      <c r="K68" s="3" t="str">
        <f>VLOOKUP(B68,AE_weight!$U$257:$Y$288,C68+1)</f>
        <v>0101</v>
      </c>
      <c r="L68" s="3" t="str">
        <f>VLOOKUP(B68,AE_weight!$U$293:$Y$324,C68+1)</f>
        <v>0001</v>
      </c>
      <c r="M68" s="3" t="str">
        <f>VLOOKUP(B68,AE_weight!$U$329:$Y$360,C68+1)</f>
        <v>6654</v>
      </c>
      <c r="N68" s="3" t="str">
        <f>VLOOKUP(B68,AE_weight!$U$365:$Y$396,C68+1)</f>
        <v>6666</v>
      </c>
      <c r="O68" s="3" t="str">
        <f>VLOOKUP(B68,AE_weight!$U$401:$Y$432,C68+1)</f>
        <v>6654</v>
      </c>
      <c r="P68" s="3" t="str">
        <f>VLOOKUP(B68,AE_weight!$U$437:$Y$468,C68+1)</f>
        <v>6654</v>
      </c>
    </row>
    <row r="69" spans="1:21">
      <c r="A69" s="1">
        <f t="shared" si="0"/>
        <v>64</v>
      </c>
      <c r="B69" s="1">
        <f>B68</f>
        <v>15</v>
      </c>
      <c r="C69" s="1">
        <v>4</v>
      </c>
      <c r="D69" s="3" t="str">
        <f>VLOOKUP(B69,AE_weight!$U$4:$Y$36,C69+1)</f>
        <v>FFFF</v>
      </c>
      <c r="E69" s="3" t="str">
        <f>VLOOKUP(B69,AE_weight!$U$40:$Y$72,C69+1)</f>
        <v>2000</v>
      </c>
      <c r="F69" s="3" t="str">
        <f>VLOOKUP(B69,AE_weight!$U$76:$Y$108,C69+1)</f>
        <v>3200</v>
      </c>
      <c r="G69" s="3" t="str">
        <f>VLOOKUP(B69,AE_weight!$U$112:$Y$144,C69+1)</f>
        <v>2222</v>
      </c>
      <c r="H69" s="3" t="str">
        <f>VLOOKUP(B69,AE_weight!$U$149:$Y$180,C69+1)</f>
        <v>0000</v>
      </c>
      <c r="I69" s="3" t="str">
        <f>VLOOKUP(B69,AE_weight!$U$185:$Y$216,C69+1)</f>
        <v>0000</v>
      </c>
      <c r="J69" s="3" t="str">
        <f>VLOOKUP(B69,AE_weight!$U$221:$Y$252,C69+1)</f>
        <v>7000</v>
      </c>
      <c r="K69" s="3" t="str">
        <f>VLOOKUP(B69,AE_weight!$U$257:$Y$288,C69+1)</f>
        <v>0100</v>
      </c>
      <c r="L69" s="3" t="str">
        <f>VLOOKUP(B69,AE_weight!$U$293:$Y$324,C69+1)</f>
        <v>0000</v>
      </c>
      <c r="M69" s="3" t="str">
        <f>VLOOKUP(B69,AE_weight!$U$329:$Y$360,C69+1)</f>
        <v>3210</v>
      </c>
      <c r="N69" s="3" t="str">
        <f>VLOOKUP(B69,AE_weight!$U$365:$Y$396,C69+1)</f>
        <v>5544</v>
      </c>
      <c r="O69" s="3" t="str">
        <f>VLOOKUP(B69,AE_weight!$U$401:$Y$432,C69+1)</f>
        <v>3210</v>
      </c>
      <c r="P69" s="3" t="str">
        <f>VLOOKUP(B69,AE_weight!$U$437:$Y$468,C69+1)</f>
        <v>3210</v>
      </c>
      <c r="Q69" s="4"/>
      <c r="U69" s="4"/>
    </row>
    <row r="70" spans="1:21">
      <c r="A70" s="1">
        <f t="shared" si="0"/>
        <v>65</v>
      </c>
      <c r="B70" s="1">
        <f>B66+1</f>
        <v>16</v>
      </c>
      <c r="C70" s="1">
        <v>1</v>
      </c>
      <c r="D70" s="3" t="str">
        <f>VLOOKUP(B70,AE_weight!$U$4:$Y$36,C70+1)</f>
        <v>FFFF</v>
      </c>
      <c r="E70" s="3" t="str">
        <f>VLOOKUP(B70,AE_weight!$U$40:$Y$72,C70+1)</f>
        <v>0002</v>
      </c>
      <c r="F70" s="3" t="str">
        <f>VLOOKUP(B70,AE_weight!$U$76:$Y$108,C70+1)</f>
        <v>0023</v>
      </c>
      <c r="G70" s="3" t="str">
        <f>VLOOKUP(B70,AE_weight!$U$112:$Y$144,C70+1)</f>
        <v>2222</v>
      </c>
      <c r="H70" s="3" t="str">
        <f>VLOOKUP(B70,AE_weight!$U$149:$Y$180,C70+1)</f>
        <v>0000</v>
      </c>
      <c r="I70" s="3" t="str">
        <f>VLOOKUP(B70,AE_weight!$U$185:$Y$216,C70+1)</f>
        <v>0000</v>
      </c>
      <c r="J70" s="3" t="str">
        <f>VLOOKUP(B70,AE_weight!$U$221:$Y$252,C70+1)</f>
        <v>0007</v>
      </c>
      <c r="K70" s="3" t="str">
        <f>VLOOKUP(B70,AE_weight!$U$257:$Y$288,C70+1)</f>
        <v>0000</v>
      </c>
      <c r="L70" s="3" t="str">
        <f>VLOOKUP(B70,AE_weight!$U$293:$Y$324,C70+1)</f>
        <v>0000</v>
      </c>
      <c r="M70" s="3" t="str">
        <f>VLOOKUP(B70,AE_weight!$U$329:$Y$360,C70+1)</f>
        <v>0123</v>
      </c>
      <c r="N70" s="3" t="str">
        <f>VLOOKUP(B70,AE_weight!$U$365:$Y$396,C70+1)</f>
        <v>0123</v>
      </c>
      <c r="O70" s="3" t="str">
        <f>VLOOKUP(B70,AE_weight!$U$401:$Y$432,C70+1)</f>
        <v>0123</v>
      </c>
      <c r="P70" s="3" t="str">
        <f>VLOOKUP(B70,AE_weight!$U$437:$Y$468,C70+1)</f>
        <v>4455</v>
      </c>
      <c r="Q70" s="4"/>
      <c r="U70" s="4"/>
    </row>
    <row r="71" spans="1:21">
      <c r="A71" s="1">
        <f t="shared" ref="A71:A133" si="1">A70+1</f>
        <v>66</v>
      </c>
      <c r="B71" s="1">
        <f>B70</f>
        <v>16</v>
      </c>
      <c r="C71" s="1">
        <v>2</v>
      </c>
      <c r="D71" s="3" t="str">
        <f>VLOOKUP(B71,AE_weight!$U$4:$Y$36,C71+1)</f>
        <v>FFFF</v>
      </c>
      <c r="E71" s="3" t="str">
        <f>VLOOKUP(B71,AE_weight!$U$40:$Y$72,C71+1)</f>
        <v>3333</v>
      </c>
      <c r="F71" s="3" t="str">
        <f>VLOOKUP(B71,AE_weight!$U$76:$Y$108,C71+1)</f>
        <v>45DD</v>
      </c>
      <c r="G71" s="3" t="str">
        <f>VLOOKUP(B71,AE_weight!$U$112:$Y$144,C71+1)</f>
        <v>2355</v>
      </c>
      <c r="H71" s="3" t="str">
        <f>VLOOKUP(B71,AE_weight!$U$149:$Y$180,C71+1)</f>
        <v>000F</v>
      </c>
      <c r="I71" s="3" t="str">
        <f>VLOOKUP(B71,AE_weight!$U$185:$Y$216,C71+1)</f>
        <v>0DFF</v>
      </c>
      <c r="J71" s="3" t="str">
        <f>VLOOKUP(B71,AE_weight!$U$221:$Y$252,C71+1)</f>
        <v>7BDF</v>
      </c>
      <c r="K71" s="3" t="str">
        <f>VLOOKUP(B71,AE_weight!$U$257:$Y$288,C71+1)</f>
        <v>0000</v>
      </c>
      <c r="L71" s="3" t="str">
        <f>VLOOKUP(B71,AE_weight!$U$293:$Y$324,C71+1)</f>
        <v>0000</v>
      </c>
      <c r="M71" s="3" t="str">
        <f>VLOOKUP(B71,AE_weight!$U$329:$Y$360,C71+1)</f>
        <v>4566</v>
      </c>
      <c r="N71" s="3" t="str">
        <f>VLOOKUP(B71,AE_weight!$U$365:$Y$396,C71+1)</f>
        <v>4566</v>
      </c>
      <c r="O71" s="3" t="str">
        <f>VLOOKUP(B71,AE_weight!$U$401:$Y$432,C71+1)</f>
        <v>4566</v>
      </c>
      <c r="P71" s="3" t="str">
        <f>VLOOKUP(B71,AE_weight!$U$437:$Y$468,C71+1)</f>
        <v>6666</v>
      </c>
      <c r="Q71" s="4"/>
      <c r="U71" s="4"/>
    </row>
    <row r="72" spans="1:21">
      <c r="A72" s="1">
        <f t="shared" si="1"/>
        <v>67</v>
      </c>
      <c r="B72" s="1">
        <f>B71</f>
        <v>16</v>
      </c>
      <c r="C72" s="1">
        <v>3</v>
      </c>
      <c r="D72" s="3" t="str">
        <f>VLOOKUP(B72,AE_weight!$U$4:$Y$36,C72+1)</f>
        <v>FFFF</v>
      </c>
      <c r="E72" s="3" t="str">
        <f>VLOOKUP(B72,AE_weight!$U$40:$Y$72,C72+1)</f>
        <v>3333</v>
      </c>
      <c r="F72" s="3" t="str">
        <f>VLOOKUP(B72,AE_weight!$U$76:$Y$108,C72+1)</f>
        <v>DD54</v>
      </c>
      <c r="G72" s="3" t="str">
        <f>VLOOKUP(B72,AE_weight!$U$112:$Y$144,C72+1)</f>
        <v>5532</v>
      </c>
      <c r="H72" s="3" t="str">
        <f>VLOOKUP(B72,AE_weight!$U$149:$Y$180,C72+1)</f>
        <v>F000</v>
      </c>
      <c r="I72" s="3" t="str">
        <f>VLOOKUP(B72,AE_weight!$U$185:$Y$216,C72+1)</f>
        <v>FFD0</v>
      </c>
      <c r="J72" s="3" t="str">
        <f>VLOOKUP(B72,AE_weight!$U$221:$Y$252,C72+1)</f>
        <v>FDB7</v>
      </c>
      <c r="K72" s="3" t="str">
        <f>VLOOKUP(B72,AE_weight!$U$257:$Y$288,C72+1)</f>
        <v>0000</v>
      </c>
      <c r="L72" s="3" t="str">
        <f>VLOOKUP(B72,AE_weight!$U$293:$Y$324,C72+1)</f>
        <v>0000</v>
      </c>
      <c r="M72" s="3" t="str">
        <f>VLOOKUP(B72,AE_weight!$U$329:$Y$360,C72+1)</f>
        <v>6654</v>
      </c>
      <c r="N72" s="3" t="str">
        <f>VLOOKUP(B72,AE_weight!$U$365:$Y$396,C72+1)</f>
        <v>6666</v>
      </c>
      <c r="O72" s="3" t="str">
        <f>VLOOKUP(B72,AE_weight!$U$401:$Y$432,C72+1)</f>
        <v>6654</v>
      </c>
      <c r="P72" s="3" t="str">
        <f>VLOOKUP(B72,AE_weight!$U$437:$Y$468,C72+1)</f>
        <v>6654</v>
      </c>
      <c r="Q72" s="4"/>
      <c r="U72" s="4"/>
    </row>
    <row r="73" spans="1:21">
      <c r="A73" s="1">
        <f t="shared" si="1"/>
        <v>68</v>
      </c>
      <c r="B73" s="1">
        <f>B72</f>
        <v>16</v>
      </c>
      <c r="C73" s="1">
        <v>4</v>
      </c>
      <c r="D73" s="3" t="str">
        <f>VLOOKUP(B73,AE_weight!$U$4:$Y$36,C73+1)</f>
        <v>FFFF</v>
      </c>
      <c r="E73" s="3" t="str">
        <f>VLOOKUP(B73,AE_weight!$U$40:$Y$72,C73+1)</f>
        <v>2000</v>
      </c>
      <c r="F73" s="3" t="str">
        <f>VLOOKUP(B73,AE_weight!$U$76:$Y$108,C73+1)</f>
        <v>3200</v>
      </c>
      <c r="G73" s="3" t="str">
        <f>VLOOKUP(B73,AE_weight!$U$112:$Y$144,C73+1)</f>
        <v>2222</v>
      </c>
      <c r="H73" s="3" t="str">
        <f>VLOOKUP(B73,AE_weight!$U$149:$Y$180,C73+1)</f>
        <v>0000</v>
      </c>
      <c r="I73" s="3" t="str">
        <f>VLOOKUP(B73,AE_weight!$U$185:$Y$216,C73+1)</f>
        <v>0000</v>
      </c>
      <c r="J73" s="3" t="str">
        <f>VLOOKUP(B73,AE_weight!$U$221:$Y$252,C73+1)</f>
        <v>7000</v>
      </c>
      <c r="K73" s="3" t="str">
        <f>VLOOKUP(B73,AE_weight!$U$257:$Y$288,C73+1)</f>
        <v>0000</v>
      </c>
      <c r="L73" s="3" t="str">
        <f>VLOOKUP(B73,AE_weight!$U$293:$Y$324,C73+1)</f>
        <v>0000</v>
      </c>
      <c r="M73" s="3" t="str">
        <f>VLOOKUP(B73,AE_weight!$U$329:$Y$360,C73+1)</f>
        <v>3210</v>
      </c>
      <c r="N73" s="3" t="str">
        <f>VLOOKUP(B73,AE_weight!$U$365:$Y$396,C73+1)</f>
        <v>5544</v>
      </c>
      <c r="O73" s="3" t="str">
        <f>VLOOKUP(B73,AE_weight!$U$401:$Y$432,C73+1)</f>
        <v>3210</v>
      </c>
      <c r="P73" s="3" t="str">
        <f>VLOOKUP(B73,AE_weight!$U$437:$Y$468,C73+1)</f>
        <v>3210</v>
      </c>
      <c r="Q73" s="4"/>
      <c r="U73" s="4"/>
    </row>
    <row r="74" spans="1:21">
      <c r="A74" s="1">
        <f t="shared" si="1"/>
        <v>69</v>
      </c>
      <c r="B74" s="1">
        <f>B70+1</f>
        <v>17</v>
      </c>
      <c r="C74" s="1">
        <v>1</v>
      </c>
      <c r="D74" s="3" t="str">
        <f>VLOOKUP(B74,AE_weight!$U$4:$Y$36,C74+1)</f>
        <v>FFFF</v>
      </c>
      <c r="E74" s="3" t="str">
        <f>VLOOKUP(B74,AE_weight!$U$40:$Y$72,C74+1)</f>
        <v>0002</v>
      </c>
      <c r="F74" s="3" t="str">
        <f>VLOOKUP(B74,AE_weight!$U$76:$Y$108,C74+1)</f>
        <v>0023</v>
      </c>
      <c r="G74" s="3" t="str">
        <f>VLOOKUP(B74,AE_weight!$U$112:$Y$144,C74+1)</f>
        <v>2222</v>
      </c>
      <c r="H74" s="3" t="str">
        <f>VLOOKUP(B74,AE_weight!$U$149:$Y$180,C74+1)</f>
        <v>0000</v>
      </c>
      <c r="I74" s="3" t="str">
        <f>VLOOKUP(B74,AE_weight!$U$185:$Y$216,C74+1)</f>
        <v>0000</v>
      </c>
      <c r="J74" s="3" t="str">
        <f>VLOOKUP(B74,AE_weight!$U$221:$Y$252,C74+1)</f>
        <v>0007</v>
      </c>
      <c r="K74" s="3" t="str">
        <f>VLOOKUP(B74,AE_weight!$U$257:$Y$288,C74+1)</f>
        <v>0001</v>
      </c>
      <c r="L74" s="3" t="str">
        <f>VLOOKUP(B74,AE_weight!$U$293:$Y$324,C74+1)</f>
        <v>0000</v>
      </c>
      <c r="M74" s="3" t="str">
        <f>VLOOKUP(B74,AE_weight!$U$329:$Y$360,C74+1)</f>
        <v>0123</v>
      </c>
      <c r="N74" s="3" t="str">
        <f>VLOOKUP(B74,AE_weight!$U$365:$Y$396,C74+1)</f>
        <v>0123</v>
      </c>
      <c r="O74" s="3" t="str">
        <f>VLOOKUP(B74,AE_weight!$U$401:$Y$432,C74+1)</f>
        <v>0123</v>
      </c>
      <c r="P74" s="3" t="str">
        <f>VLOOKUP(B74,AE_weight!$U$437:$Y$468,C74+1)</f>
        <v>4455</v>
      </c>
      <c r="Q74" s="4"/>
      <c r="U74" s="4"/>
    </row>
    <row r="75" spans="1:21">
      <c r="A75" s="1">
        <f t="shared" si="1"/>
        <v>70</v>
      </c>
      <c r="B75" s="1">
        <f>B74</f>
        <v>17</v>
      </c>
      <c r="C75" s="1">
        <v>2</v>
      </c>
      <c r="D75" s="3" t="str">
        <f>VLOOKUP(B75,AE_weight!$U$4:$Y$36,C75+1)</f>
        <v>FFFF</v>
      </c>
      <c r="E75" s="3" t="str">
        <f>VLOOKUP(B75,AE_weight!$U$40:$Y$72,C75+1)</f>
        <v>3333</v>
      </c>
      <c r="F75" s="3" t="str">
        <f>VLOOKUP(B75,AE_weight!$U$76:$Y$108,C75+1)</f>
        <v>45DD</v>
      </c>
      <c r="G75" s="3" t="str">
        <f>VLOOKUP(B75,AE_weight!$U$112:$Y$144,C75+1)</f>
        <v>2355</v>
      </c>
      <c r="H75" s="3" t="str">
        <f>VLOOKUP(B75,AE_weight!$U$149:$Y$180,C75+1)</f>
        <v>000F</v>
      </c>
      <c r="I75" s="3" t="str">
        <f>VLOOKUP(B75,AE_weight!$U$185:$Y$216,C75+1)</f>
        <v>0DFF</v>
      </c>
      <c r="J75" s="3" t="str">
        <f>VLOOKUP(B75,AE_weight!$U$221:$Y$252,C75+1)</f>
        <v>7BDF</v>
      </c>
      <c r="K75" s="3" t="str">
        <f>VLOOKUP(B75,AE_weight!$U$257:$Y$288,C75+1)</f>
        <v>0101</v>
      </c>
      <c r="L75" s="3" t="str">
        <f>VLOOKUP(B75,AE_weight!$U$293:$Y$324,C75+1)</f>
        <v>0000</v>
      </c>
      <c r="M75" s="3" t="str">
        <f>VLOOKUP(B75,AE_weight!$U$329:$Y$360,C75+1)</f>
        <v>4566</v>
      </c>
      <c r="N75" s="3" t="str">
        <f>VLOOKUP(B75,AE_weight!$U$365:$Y$396,C75+1)</f>
        <v>4566</v>
      </c>
      <c r="O75" s="3" t="str">
        <f>VLOOKUP(B75,AE_weight!$U$401:$Y$432,C75+1)</f>
        <v>4566</v>
      </c>
      <c r="P75" s="3" t="str">
        <f>VLOOKUP(B75,AE_weight!$U$437:$Y$468,C75+1)</f>
        <v>6666</v>
      </c>
      <c r="Q75" s="4"/>
      <c r="U75" s="4"/>
    </row>
    <row r="76" spans="1:21">
      <c r="A76" s="1">
        <f t="shared" si="1"/>
        <v>71</v>
      </c>
      <c r="B76" s="1">
        <f>B75</f>
        <v>17</v>
      </c>
      <c r="C76" s="1">
        <v>3</v>
      </c>
      <c r="D76" s="3" t="str">
        <f>VLOOKUP(B76,AE_weight!$U$4:$Y$36,C76+1)</f>
        <v>FFFF</v>
      </c>
      <c r="E76" s="3" t="str">
        <f>VLOOKUP(B76,AE_weight!$U$40:$Y$72,C76+1)</f>
        <v>3333</v>
      </c>
      <c r="F76" s="3" t="str">
        <f>VLOOKUP(B76,AE_weight!$U$76:$Y$108,C76+1)</f>
        <v>DD54</v>
      </c>
      <c r="G76" s="3" t="str">
        <f>VLOOKUP(B76,AE_weight!$U$112:$Y$144,C76+1)</f>
        <v>5532</v>
      </c>
      <c r="H76" s="3" t="str">
        <f>VLOOKUP(B76,AE_weight!$U$149:$Y$180,C76+1)</f>
        <v>F000</v>
      </c>
      <c r="I76" s="3" t="str">
        <f>VLOOKUP(B76,AE_weight!$U$185:$Y$216,C76+1)</f>
        <v>FFD0</v>
      </c>
      <c r="J76" s="3" t="str">
        <f>VLOOKUP(B76,AE_weight!$U$221:$Y$252,C76+1)</f>
        <v>FDB7</v>
      </c>
      <c r="K76" s="3" t="str">
        <f>VLOOKUP(B76,AE_weight!$U$257:$Y$288,C76+1)</f>
        <v>1010</v>
      </c>
      <c r="L76" s="3" t="str">
        <f>VLOOKUP(B76,AE_weight!$U$293:$Y$324,C76+1)</f>
        <v>0000</v>
      </c>
      <c r="M76" s="3" t="str">
        <f>VLOOKUP(B76,AE_weight!$U$329:$Y$360,C76+1)</f>
        <v>6654</v>
      </c>
      <c r="N76" s="3" t="str">
        <f>VLOOKUP(B76,AE_weight!$U$365:$Y$396,C76+1)</f>
        <v>6666</v>
      </c>
      <c r="O76" s="3" t="str">
        <f>VLOOKUP(B76,AE_weight!$U$401:$Y$432,C76+1)</f>
        <v>6654</v>
      </c>
      <c r="P76" s="3" t="str">
        <f>VLOOKUP(B76,AE_weight!$U$437:$Y$468,C76+1)</f>
        <v>6654</v>
      </c>
      <c r="Q76" s="4"/>
      <c r="U76" s="4"/>
    </row>
    <row r="77" spans="1:21">
      <c r="A77" s="1">
        <f t="shared" si="1"/>
        <v>72</v>
      </c>
      <c r="B77" s="1">
        <f>B76</f>
        <v>17</v>
      </c>
      <c r="C77" s="1">
        <v>4</v>
      </c>
      <c r="D77" s="3" t="str">
        <f>VLOOKUP(B77,AE_weight!$U$4:$Y$36,C77+1)</f>
        <v>FFFF</v>
      </c>
      <c r="E77" s="3" t="str">
        <f>VLOOKUP(B77,AE_weight!$U$40:$Y$72,C77+1)</f>
        <v>2000</v>
      </c>
      <c r="F77" s="3" t="str">
        <f>VLOOKUP(B77,AE_weight!$U$76:$Y$108,C77+1)</f>
        <v>3200</v>
      </c>
      <c r="G77" s="3" t="str">
        <f>VLOOKUP(B77,AE_weight!$U$112:$Y$144,C77+1)</f>
        <v>2222</v>
      </c>
      <c r="H77" s="3" t="str">
        <f>VLOOKUP(B77,AE_weight!$U$149:$Y$180,C77+1)</f>
        <v>0000</v>
      </c>
      <c r="I77" s="3" t="str">
        <f>VLOOKUP(B77,AE_weight!$U$185:$Y$216,C77+1)</f>
        <v>0000</v>
      </c>
      <c r="J77" s="3" t="str">
        <f>VLOOKUP(B77,AE_weight!$U$221:$Y$252,C77+1)</f>
        <v>7000</v>
      </c>
      <c r="K77" s="3" t="str">
        <f>VLOOKUP(B77,AE_weight!$U$257:$Y$288,C77+1)</f>
        <v>1000</v>
      </c>
      <c r="L77" s="3" t="str">
        <f>VLOOKUP(B77,AE_weight!$U$293:$Y$324,C77+1)</f>
        <v>0000</v>
      </c>
      <c r="M77" s="3" t="str">
        <f>VLOOKUP(B77,AE_weight!$U$329:$Y$360,C77+1)</f>
        <v>3210</v>
      </c>
      <c r="N77" s="3" t="str">
        <f>VLOOKUP(B77,AE_weight!$U$365:$Y$396,C77+1)</f>
        <v>5544</v>
      </c>
      <c r="O77" s="3" t="str">
        <f>VLOOKUP(B77,AE_weight!$U$401:$Y$432,C77+1)</f>
        <v>3210</v>
      </c>
      <c r="P77" s="3" t="str">
        <f>VLOOKUP(B77,AE_weight!$U$437:$Y$468,C77+1)</f>
        <v>3210</v>
      </c>
      <c r="Q77" s="4"/>
      <c r="U77" s="4"/>
    </row>
    <row r="78" spans="1:21">
      <c r="A78" s="1">
        <f t="shared" si="1"/>
        <v>73</v>
      </c>
      <c r="B78" s="1">
        <f>B74+1</f>
        <v>18</v>
      </c>
      <c r="C78" s="1">
        <v>1</v>
      </c>
      <c r="D78" s="3" t="str">
        <f>VLOOKUP(B78,AE_weight!$U$4:$Y$36,C78+1)</f>
        <v>FFFF</v>
      </c>
      <c r="E78" s="3" t="str">
        <f>VLOOKUP(B78,AE_weight!$U$40:$Y$72,C78+1)</f>
        <v>0002</v>
      </c>
      <c r="F78" s="3" t="str">
        <f>VLOOKUP(B78,AE_weight!$U$76:$Y$108,C78+1)</f>
        <v>0023</v>
      </c>
      <c r="G78" s="3" t="str">
        <f>VLOOKUP(B78,AE_weight!$U$112:$Y$144,C78+1)</f>
        <v>2222</v>
      </c>
      <c r="H78" s="3" t="str">
        <f>VLOOKUP(B78,AE_weight!$U$149:$Y$180,C78+1)</f>
        <v>0000</v>
      </c>
      <c r="I78" s="3" t="str">
        <f>VLOOKUP(B78,AE_weight!$U$185:$Y$216,C78+1)</f>
        <v>0000</v>
      </c>
      <c r="J78" s="3" t="str">
        <f>VLOOKUP(B78,AE_weight!$U$221:$Y$252,C78+1)</f>
        <v>0000</v>
      </c>
      <c r="K78" s="3" t="str">
        <f>VLOOKUP(B78,AE_weight!$U$257:$Y$288,C78+1)</f>
        <v>0000</v>
      </c>
      <c r="L78" s="3" t="str">
        <f>VLOOKUP(B78,AE_weight!$U$293:$Y$324,C78+1)</f>
        <v>0000</v>
      </c>
      <c r="M78" s="3" t="str">
        <f>VLOOKUP(B78,AE_weight!$U$329:$Y$360,C78+1)</f>
        <v>0123</v>
      </c>
      <c r="N78" s="3" t="str">
        <f>VLOOKUP(B78,AE_weight!$U$365:$Y$396,C78+1)</f>
        <v>0123</v>
      </c>
      <c r="O78" s="3" t="str">
        <f>VLOOKUP(B78,AE_weight!$U$401:$Y$432,C78+1)</f>
        <v>0123</v>
      </c>
      <c r="P78" s="3" t="str">
        <f>VLOOKUP(B78,AE_weight!$U$437:$Y$468,C78+1)</f>
        <v>4455</v>
      </c>
      <c r="Q78" s="4"/>
      <c r="U78" s="4"/>
    </row>
    <row r="79" spans="1:21">
      <c r="A79" s="1">
        <f t="shared" si="1"/>
        <v>74</v>
      </c>
      <c r="B79" s="1">
        <f>B78</f>
        <v>18</v>
      </c>
      <c r="C79" s="1">
        <v>2</v>
      </c>
      <c r="D79" s="3" t="str">
        <f>VLOOKUP(B79,AE_weight!$U$4:$Y$36,C79+1)</f>
        <v>FFFF</v>
      </c>
      <c r="E79" s="3" t="str">
        <f>VLOOKUP(B79,AE_weight!$U$40:$Y$72,C79+1)</f>
        <v>3333</v>
      </c>
      <c r="F79" s="3" t="str">
        <f>VLOOKUP(B79,AE_weight!$U$76:$Y$108,C79+1)</f>
        <v>3466</v>
      </c>
      <c r="G79" s="3" t="str">
        <f>VLOOKUP(B79,AE_weight!$U$112:$Y$144,C79+1)</f>
        <v>2355</v>
      </c>
      <c r="H79" s="3" t="str">
        <f>VLOOKUP(B79,AE_weight!$U$149:$Y$180,C79+1)</f>
        <v>0000</v>
      </c>
      <c r="I79" s="3" t="str">
        <f>VLOOKUP(B79,AE_weight!$U$185:$Y$216,C79+1)</f>
        <v>0DDF</v>
      </c>
      <c r="J79" s="3" t="str">
        <f>VLOOKUP(B79,AE_weight!$U$221:$Y$252,C79+1)</f>
        <v>7BDD</v>
      </c>
      <c r="K79" s="3" t="str">
        <f>VLOOKUP(B79,AE_weight!$U$257:$Y$288,C79+1)</f>
        <v>0000</v>
      </c>
      <c r="L79" s="3" t="str">
        <f>VLOOKUP(B79,AE_weight!$U$293:$Y$324,C79+1)</f>
        <v>0000</v>
      </c>
      <c r="M79" s="3" t="str">
        <f>VLOOKUP(B79,AE_weight!$U$329:$Y$360,C79+1)</f>
        <v>4566</v>
      </c>
      <c r="N79" s="3" t="str">
        <f>VLOOKUP(B79,AE_weight!$U$365:$Y$396,C79+1)</f>
        <v>4556</v>
      </c>
      <c r="O79" s="3" t="str">
        <f>VLOOKUP(B79,AE_weight!$U$401:$Y$432,C79+1)</f>
        <v>4556</v>
      </c>
      <c r="P79" s="3" t="str">
        <f>VLOOKUP(B79,AE_weight!$U$437:$Y$468,C79+1)</f>
        <v>5666</v>
      </c>
      <c r="Q79" s="4"/>
      <c r="U79" s="4"/>
    </row>
    <row r="80" spans="1:21">
      <c r="A80" s="1">
        <f t="shared" si="1"/>
        <v>75</v>
      </c>
      <c r="B80" s="1">
        <f>B79</f>
        <v>18</v>
      </c>
      <c r="C80" s="1">
        <v>3</v>
      </c>
      <c r="D80" s="3" t="str">
        <f>VLOOKUP(B80,AE_weight!$U$4:$Y$36,C80+1)</f>
        <v>FFFF</v>
      </c>
      <c r="E80" s="3" t="str">
        <f>VLOOKUP(B80,AE_weight!$U$40:$Y$72,C80+1)</f>
        <v>3333</v>
      </c>
      <c r="F80" s="3" t="str">
        <f>VLOOKUP(B80,AE_weight!$U$76:$Y$108,C80+1)</f>
        <v>6643</v>
      </c>
      <c r="G80" s="3" t="str">
        <f>VLOOKUP(B80,AE_weight!$U$112:$Y$144,C80+1)</f>
        <v>5532</v>
      </c>
      <c r="H80" s="3" t="str">
        <f>VLOOKUP(B80,AE_weight!$U$149:$Y$180,C80+1)</f>
        <v>0000</v>
      </c>
      <c r="I80" s="3" t="str">
        <f>VLOOKUP(B80,AE_weight!$U$185:$Y$216,C80+1)</f>
        <v>FDD0</v>
      </c>
      <c r="J80" s="3" t="str">
        <f>VLOOKUP(B80,AE_weight!$U$221:$Y$252,C80+1)</f>
        <v>DDB7</v>
      </c>
      <c r="K80" s="3" t="str">
        <f>VLOOKUP(B80,AE_weight!$U$257:$Y$288,C80+1)</f>
        <v>0000</v>
      </c>
      <c r="L80" s="3" t="str">
        <f>VLOOKUP(B80,AE_weight!$U$293:$Y$324,C80+1)</f>
        <v>0000</v>
      </c>
      <c r="M80" s="3" t="str">
        <f>VLOOKUP(B80,AE_weight!$U$329:$Y$360,C80+1)</f>
        <v>6654</v>
      </c>
      <c r="N80" s="3" t="str">
        <f>VLOOKUP(B80,AE_weight!$U$365:$Y$396,C80+1)</f>
        <v>6665</v>
      </c>
      <c r="O80" s="3" t="str">
        <f>VLOOKUP(B80,AE_weight!$U$401:$Y$432,C80+1)</f>
        <v>6554</v>
      </c>
      <c r="P80" s="3" t="str">
        <f>VLOOKUP(B80,AE_weight!$U$437:$Y$468,C80+1)</f>
        <v>6554</v>
      </c>
      <c r="Q80" s="4"/>
      <c r="U80" s="4"/>
    </row>
    <row r="81" spans="1:21">
      <c r="A81" s="1">
        <f t="shared" si="1"/>
        <v>76</v>
      </c>
      <c r="B81" s="1">
        <f>B80</f>
        <v>18</v>
      </c>
      <c r="C81" s="1">
        <v>4</v>
      </c>
      <c r="D81" s="3" t="str">
        <f>VLOOKUP(B81,AE_weight!$U$4:$Y$36,C81+1)</f>
        <v>FFFF</v>
      </c>
      <c r="E81" s="3" t="str">
        <f>VLOOKUP(B81,AE_weight!$U$40:$Y$72,C81+1)</f>
        <v>2000</v>
      </c>
      <c r="F81" s="3" t="str">
        <f>VLOOKUP(B81,AE_weight!$U$76:$Y$108,C81+1)</f>
        <v>3200</v>
      </c>
      <c r="G81" s="3" t="str">
        <f>VLOOKUP(B81,AE_weight!$U$112:$Y$144,C81+1)</f>
        <v>2222</v>
      </c>
      <c r="H81" s="3" t="str">
        <f>VLOOKUP(B81,AE_weight!$U$149:$Y$180,C81+1)</f>
        <v>0000</v>
      </c>
      <c r="I81" s="3" t="str">
        <f>VLOOKUP(B81,AE_weight!$U$185:$Y$216,C81+1)</f>
        <v>0000</v>
      </c>
      <c r="J81" s="3" t="str">
        <f>VLOOKUP(B81,AE_weight!$U$221:$Y$252,C81+1)</f>
        <v>0000</v>
      </c>
      <c r="K81" s="3" t="str">
        <f>VLOOKUP(B81,AE_weight!$U$257:$Y$288,C81+1)</f>
        <v>0000</v>
      </c>
      <c r="L81" s="3" t="str">
        <f>VLOOKUP(B81,AE_weight!$U$293:$Y$324,C81+1)</f>
        <v>0000</v>
      </c>
      <c r="M81" s="3" t="str">
        <f>VLOOKUP(B81,AE_weight!$U$329:$Y$360,C81+1)</f>
        <v>3210</v>
      </c>
      <c r="N81" s="3" t="str">
        <f>VLOOKUP(B81,AE_weight!$U$365:$Y$396,C81+1)</f>
        <v>5544</v>
      </c>
      <c r="O81" s="3" t="str">
        <f>VLOOKUP(B81,AE_weight!$U$401:$Y$432,C81+1)</f>
        <v>3210</v>
      </c>
      <c r="P81" s="3" t="str">
        <f>VLOOKUP(B81,AE_weight!$U$437:$Y$468,C81+1)</f>
        <v>3210</v>
      </c>
      <c r="Q81" s="4"/>
      <c r="U81" s="4"/>
    </row>
    <row r="82" spans="1:21">
      <c r="A82" s="1">
        <f t="shared" si="1"/>
        <v>77</v>
      </c>
      <c r="B82" s="1">
        <f>B78+1</f>
        <v>19</v>
      </c>
      <c r="C82" s="1">
        <v>1</v>
      </c>
      <c r="D82" s="3" t="str">
        <f>VLOOKUP(B82,AE_weight!$U$4:$Y$36,C82+1)</f>
        <v>FFFF</v>
      </c>
      <c r="E82" s="3" t="str">
        <f>VLOOKUP(B82,AE_weight!$U$40:$Y$72,C82+1)</f>
        <v>0000</v>
      </c>
      <c r="F82" s="3" t="str">
        <f>VLOOKUP(B82,AE_weight!$U$76:$Y$108,C82+1)</f>
        <v>0023</v>
      </c>
      <c r="G82" s="3" t="str">
        <f>VLOOKUP(B82,AE_weight!$U$112:$Y$144,C82+1)</f>
        <v>2222</v>
      </c>
      <c r="H82" s="3" t="str">
        <f>VLOOKUP(B82,AE_weight!$U$149:$Y$180,C82+1)</f>
        <v>0000</v>
      </c>
      <c r="I82" s="3" t="str">
        <f>VLOOKUP(B82,AE_weight!$U$185:$Y$216,C82+1)</f>
        <v>0000</v>
      </c>
      <c r="J82" s="3" t="str">
        <f>VLOOKUP(B82,AE_weight!$U$221:$Y$252,C82+1)</f>
        <v>0000</v>
      </c>
      <c r="K82" s="3" t="str">
        <f>VLOOKUP(B82,AE_weight!$U$257:$Y$288,C82+1)</f>
        <v>0010</v>
      </c>
      <c r="L82" s="3" t="str">
        <f>VLOOKUP(B82,AE_weight!$U$293:$Y$324,C82+1)</f>
        <v>0010</v>
      </c>
      <c r="M82" s="3" t="str">
        <f>VLOOKUP(B82,AE_weight!$U$329:$Y$360,C82+1)</f>
        <v>0123</v>
      </c>
      <c r="N82" s="3" t="str">
        <f>VLOOKUP(B82,AE_weight!$U$365:$Y$396,C82+1)</f>
        <v>0123</v>
      </c>
      <c r="O82" s="3" t="str">
        <f>VLOOKUP(B82,AE_weight!$U$401:$Y$432,C82+1)</f>
        <v>0123</v>
      </c>
      <c r="P82" s="3" t="str">
        <f>VLOOKUP(B82,AE_weight!$U$437:$Y$468,C82+1)</f>
        <v>3445</v>
      </c>
      <c r="Q82" s="4"/>
      <c r="U82" s="4"/>
    </row>
    <row r="83" spans="1:21">
      <c r="A83" s="1">
        <f t="shared" si="1"/>
        <v>78</v>
      </c>
      <c r="B83" s="1">
        <f>B82</f>
        <v>19</v>
      </c>
      <c r="C83" s="1">
        <v>2</v>
      </c>
      <c r="D83" s="3" t="str">
        <f>VLOOKUP(B83,AE_weight!$U$4:$Y$36,C83+1)</f>
        <v>FFFF</v>
      </c>
      <c r="E83" s="3" t="str">
        <f>VLOOKUP(B83,AE_weight!$U$40:$Y$72,C83+1)</f>
        <v>2333</v>
      </c>
      <c r="F83" s="3" t="str">
        <f>VLOOKUP(B83,AE_weight!$U$76:$Y$108,C83+1)</f>
        <v>3466</v>
      </c>
      <c r="G83" s="3" t="str">
        <f>VLOOKUP(B83,AE_weight!$U$112:$Y$144,C83+1)</f>
        <v>2355</v>
      </c>
      <c r="H83" s="3" t="str">
        <f>VLOOKUP(B83,AE_weight!$U$149:$Y$180,C83+1)</f>
        <v>0000</v>
      </c>
      <c r="I83" s="3" t="str">
        <f>VLOOKUP(B83,AE_weight!$U$185:$Y$216,C83+1)</f>
        <v>0DDF</v>
      </c>
      <c r="J83" s="3" t="str">
        <f>VLOOKUP(B83,AE_weight!$U$221:$Y$252,C83+1)</f>
        <v>7BDD</v>
      </c>
      <c r="K83" s="3" t="str">
        <f>VLOOKUP(B83,AE_weight!$U$257:$Y$288,C83+1)</f>
        <v>1010</v>
      </c>
      <c r="L83" s="3" t="str">
        <f>VLOOKUP(B83,AE_weight!$U$293:$Y$324,C83+1)</f>
        <v>0010</v>
      </c>
      <c r="M83" s="3" t="str">
        <f>VLOOKUP(B83,AE_weight!$U$329:$Y$360,C83+1)</f>
        <v>4566</v>
      </c>
      <c r="N83" s="3" t="str">
        <f>VLOOKUP(B83,AE_weight!$U$365:$Y$396,C83+1)</f>
        <v>4556</v>
      </c>
      <c r="O83" s="3" t="str">
        <f>VLOOKUP(B83,AE_weight!$U$401:$Y$432,C83+1)</f>
        <v>3555</v>
      </c>
      <c r="P83" s="3" t="str">
        <f>VLOOKUP(B83,AE_weight!$U$437:$Y$468,C83+1)</f>
        <v>5566</v>
      </c>
      <c r="Q83" s="4"/>
      <c r="U83" s="4"/>
    </row>
    <row r="84" spans="1:21">
      <c r="A84" s="1">
        <f t="shared" si="1"/>
        <v>79</v>
      </c>
      <c r="B84" s="1">
        <f>B83</f>
        <v>19</v>
      </c>
      <c r="C84" s="1">
        <v>3</v>
      </c>
      <c r="D84" s="3" t="str">
        <f>VLOOKUP(B84,AE_weight!$U$4:$Y$36,C84+1)</f>
        <v>FFFF</v>
      </c>
      <c r="E84" s="3" t="str">
        <f>VLOOKUP(B84,AE_weight!$U$40:$Y$72,C84+1)</f>
        <v>3332</v>
      </c>
      <c r="F84" s="3" t="str">
        <f>VLOOKUP(B84,AE_weight!$U$76:$Y$108,C84+1)</f>
        <v>6643</v>
      </c>
      <c r="G84" s="3" t="str">
        <f>VLOOKUP(B84,AE_weight!$U$112:$Y$144,C84+1)</f>
        <v>5532</v>
      </c>
      <c r="H84" s="3" t="str">
        <f>VLOOKUP(B84,AE_weight!$U$149:$Y$180,C84+1)</f>
        <v>0000</v>
      </c>
      <c r="I84" s="3" t="str">
        <f>VLOOKUP(B84,AE_weight!$U$185:$Y$216,C84+1)</f>
        <v>FDD0</v>
      </c>
      <c r="J84" s="3" t="str">
        <f>VLOOKUP(B84,AE_weight!$U$221:$Y$252,C84+1)</f>
        <v>DDB7</v>
      </c>
      <c r="K84" s="3" t="str">
        <f>VLOOKUP(B84,AE_weight!$U$257:$Y$288,C84+1)</f>
        <v>0101</v>
      </c>
      <c r="L84" s="3" t="str">
        <f>VLOOKUP(B84,AE_weight!$U$293:$Y$324,C84+1)</f>
        <v>0100</v>
      </c>
      <c r="M84" s="3" t="str">
        <f>VLOOKUP(B84,AE_weight!$U$329:$Y$360,C84+1)</f>
        <v>6654</v>
      </c>
      <c r="N84" s="3" t="str">
        <f>VLOOKUP(B84,AE_weight!$U$365:$Y$396,C84+1)</f>
        <v>6655</v>
      </c>
      <c r="O84" s="3" t="str">
        <f>VLOOKUP(B84,AE_weight!$U$401:$Y$432,C84+1)</f>
        <v>5553</v>
      </c>
      <c r="P84" s="3" t="str">
        <f>VLOOKUP(B84,AE_weight!$U$437:$Y$468,C84+1)</f>
        <v>6554</v>
      </c>
    </row>
    <row r="85" spans="1:21">
      <c r="A85" s="1">
        <f t="shared" si="1"/>
        <v>80</v>
      </c>
      <c r="B85" s="1">
        <f>B84</f>
        <v>19</v>
      </c>
      <c r="C85" s="1">
        <v>4</v>
      </c>
      <c r="D85" s="3" t="str">
        <f>VLOOKUP(B85,AE_weight!$U$4:$Y$36,C85+1)</f>
        <v>FFFF</v>
      </c>
      <c r="E85" s="3" t="str">
        <f>VLOOKUP(B85,AE_weight!$U$40:$Y$72,C85+1)</f>
        <v>0000</v>
      </c>
      <c r="F85" s="3" t="str">
        <f>VLOOKUP(B85,AE_weight!$U$76:$Y$108,C85+1)</f>
        <v>3200</v>
      </c>
      <c r="G85" s="3" t="str">
        <f>VLOOKUP(B85,AE_weight!$U$112:$Y$144,C85+1)</f>
        <v>2222</v>
      </c>
      <c r="H85" s="3" t="str">
        <f>VLOOKUP(B85,AE_weight!$U$149:$Y$180,C85+1)</f>
        <v>0000</v>
      </c>
      <c r="I85" s="3" t="str">
        <f>VLOOKUP(B85,AE_weight!$U$185:$Y$216,C85+1)</f>
        <v>0000</v>
      </c>
      <c r="J85" s="3" t="str">
        <f>VLOOKUP(B85,AE_weight!$U$221:$Y$252,C85+1)</f>
        <v>0000</v>
      </c>
      <c r="K85" s="3" t="str">
        <f>VLOOKUP(B85,AE_weight!$U$257:$Y$288,C85+1)</f>
        <v>0100</v>
      </c>
      <c r="L85" s="3" t="str">
        <f>VLOOKUP(B85,AE_weight!$U$293:$Y$324,C85+1)</f>
        <v>0100</v>
      </c>
      <c r="M85" s="3" t="str">
        <f>VLOOKUP(B85,AE_weight!$U$329:$Y$360,C85+1)</f>
        <v>3210</v>
      </c>
      <c r="N85" s="3" t="str">
        <f>VLOOKUP(B85,AE_weight!$U$365:$Y$396,C85+1)</f>
        <v>5443</v>
      </c>
      <c r="O85" s="3" t="str">
        <f>VLOOKUP(B85,AE_weight!$U$401:$Y$432,C85+1)</f>
        <v>3210</v>
      </c>
      <c r="P85" s="3" t="str">
        <f>VLOOKUP(B85,AE_weight!$U$437:$Y$468,C85+1)</f>
        <v>3210</v>
      </c>
    </row>
    <row r="86" spans="1:21">
      <c r="A86" s="1">
        <f t="shared" si="1"/>
        <v>81</v>
      </c>
      <c r="B86" s="1">
        <f>B82+1</f>
        <v>20</v>
      </c>
      <c r="C86" s="1">
        <v>1</v>
      </c>
      <c r="D86" s="3" t="str">
        <f>VLOOKUP(B86,AE_weight!$U$4:$Y$36,C86+1)</f>
        <v>FFFF</v>
      </c>
      <c r="E86" s="3" t="str">
        <f>VLOOKUP(B86,AE_weight!$U$40:$Y$72,C86+1)</f>
        <v>0000</v>
      </c>
      <c r="F86" s="3" t="str">
        <f>VLOOKUP(B86,AE_weight!$U$76:$Y$108,C86+1)</f>
        <v>0002</v>
      </c>
      <c r="G86" s="3" t="str">
        <f>VLOOKUP(B86,AE_weight!$U$112:$Y$144,C86+1)</f>
        <v>2222</v>
      </c>
      <c r="H86" s="3" t="str">
        <f>VLOOKUP(B86,AE_weight!$U$149:$Y$180,C86+1)</f>
        <v>0000</v>
      </c>
      <c r="I86" s="3" t="str">
        <f>VLOOKUP(B86,AE_weight!$U$185:$Y$216,C86+1)</f>
        <v>0000</v>
      </c>
      <c r="J86" s="3" t="str">
        <f>VLOOKUP(B86,AE_weight!$U$221:$Y$252,C86+1)</f>
        <v>0000</v>
      </c>
      <c r="K86" s="3" t="str">
        <f>VLOOKUP(B86,AE_weight!$U$257:$Y$288,C86+1)</f>
        <v>0000</v>
      </c>
      <c r="L86" s="3" t="str">
        <f>VLOOKUP(B86,AE_weight!$U$293:$Y$324,C86+1)</f>
        <v>0000</v>
      </c>
      <c r="M86" s="3" t="str">
        <f>VLOOKUP(B86,AE_weight!$U$329:$Y$360,C86+1)</f>
        <v>0123</v>
      </c>
      <c r="N86" s="3" t="str">
        <f>VLOOKUP(B86,AE_weight!$U$365:$Y$396,C86+1)</f>
        <v>0123</v>
      </c>
      <c r="O86" s="3" t="str">
        <f>VLOOKUP(B86,AE_weight!$U$401:$Y$432,C86+1)</f>
        <v>0122</v>
      </c>
      <c r="P86" s="3" t="str">
        <f>VLOOKUP(B86,AE_weight!$U$437:$Y$468,C86+1)</f>
        <v>3444</v>
      </c>
    </row>
    <row r="87" spans="1:21">
      <c r="A87" s="1">
        <f t="shared" si="1"/>
        <v>82</v>
      </c>
      <c r="B87" s="1">
        <f>B86</f>
        <v>20</v>
      </c>
      <c r="C87" s="1">
        <v>2</v>
      </c>
      <c r="D87" s="3" t="str">
        <f>VLOOKUP(B87,AE_weight!$U$4:$Y$36,C87+1)</f>
        <v>FFFF</v>
      </c>
      <c r="E87" s="3" t="str">
        <f>VLOOKUP(B87,AE_weight!$U$40:$Y$72,C87+1)</f>
        <v>2333</v>
      </c>
      <c r="F87" s="3" t="str">
        <f>VLOOKUP(B87,AE_weight!$U$76:$Y$108,C87+1)</f>
        <v>3455</v>
      </c>
      <c r="G87" s="3" t="str">
        <f>VLOOKUP(B87,AE_weight!$U$112:$Y$144,C87+1)</f>
        <v>2233</v>
      </c>
      <c r="H87" s="3" t="str">
        <f>VLOOKUP(B87,AE_weight!$U$149:$Y$180,C87+1)</f>
        <v>0000</v>
      </c>
      <c r="I87" s="3" t="str">
        <f>VLOOKUP(B87,AE_weight!$U$185:$Y$216,C87+1)</f>
        <v>00DD</v>
      </c>
      <c r="J87" s="3" t="str">
        <f>VLOOKUP(B87,AE_weight!$U$221:$Y$252,C87+1)</f>
        <v>77BB</v>
      </c>
      <c r="K87" s="3" t="str">
        <f>VLOOKUP(B87,AE_weight!$U$257:$Y$288,C87+1)</f>
        <v>0000</v>
      </c>
      <c r="L87" s="3" t="str">
        <f>VLOOKUP(B87,AE_weight!$U$293:$Y$324,C87+1)</f>
        <v>0000</v>
      </c>
      <c r="M87" s="3" t="str">
        <f>VLOOKUP(B87,AE_weight!$U$329:$Y$360,C87+1)</f>
        <v>4566</v>
      </c>
      <c r="N87" s="3" t="str">
        <f>VLOOKUP(B87,AE_weight!$U$365:$Y$396,C87+1)</f>
        <v>3455</v>
      </c>
      <c r="O87" s="3" t="str">
        <f>VLOOKUP(B87,AE_weight!$U$401:$Y$432,C87+1)</f>
        <v>3455</v>
      </c>
      <c r="P87" s="3" t="str">
        <f>VLOOKUP(B87,AE_weight!$U$437:$Y$468,C87+1)</f>
        <v>5555</v>
      </c>
    </row>
    <row r="88" spans="1:21">
      <c r="A88" s="1">
        <f t="shared" si="1"/>
        <v>83</v>
      </c>
      <c r="B88" s="1">
        <f>B87</f>
        <v>20</v>
      </c>
      <c r="C88" s="1">
        <v>3</v>
      </c>
      <c r="D88" s="3" t="str">
        <f>VLOOKUP(B88,AE_weight!$U$4:$Y$36,C88+1)</f>
        <v>FFFF</v>
      </c>
      <c r="E88" s="3" t="str">
        <f>VLOOKUP(B88,AE_weight!$U$40:$Y$72,C88+1)</f>
        <v>3332</v>
      </c>
      <c r="F88" s="3" t="str">
        <f>VLOOKUP(B88,AE_weight!$U$76:$Y$108,C88+1)</f>
        <v>5543</v>
      </c>
      <c r="G88" s="3" t="str">
        <f>VLOOKUP(B88,AE_weight!$U$112:$Y$144,C88+1)</f>
        <v>3322</v>
      </c>
      <c r="H88" s="3" t="str">
        <f>VLOOKUP(B88,AE_weight!$U$149:$Y$180,C88+1)</f>
        <v>0000</v>
      </c>
      <c r="I88" s="3" t="str">
        <f>VLOOKUP(B88,AE_weight!$U$185:$Y$216,C88+1)</f>
        <v>DD00</v>
      </c>
      <c r="J88" s="3" t="str">
        <f>VLOOKUP(B88,AE_weight!$U$221:$Y$252,C88+1)</f>
        <v>BB77</v>
      </c>
      <c r="K88" s="3" t="str">
        <f>VLOOKUP(B88,AE_weight!$U$257:$Y$288,C88+1)</f>
        <v>0000</v>
      </c>
      <c r="L88" s="3" t="str">
        <f>VLOOKUP(B88,AE_weight!$U$293:$Y$324,C88+1)</f>
        <v>0000</v>
      </c>
      <c r="M88" s="3" t="str">
        <f>VLOOKUP(B88,AE_weight!$U$329:$Y$360,C88+1)</f>
        <v>6654</v>
      </c>
      <c r="N88" s="3" t="str">
        <f>VLOOKUP(B88,AE_weight!$U$365:$Y$396,C88+1)</f>
        <v>5555</v>
      </c>
      <c r="O88" s="3" t="str">
        <f>VLOOKUP(B88,AE_weight!$U$401:$Y$432,C88+1)</f>
        <v>5543</v>
      </c>
      <c r="P88" s="3" t="str">
        <f>VLOOKUP(B88,AE_weight!$U$437:$Y$468,C88+1)</f>
        <v>5543</v>
      </c>
    </row>
    <row r="89" spans="1:21">
      <c r="A89" s="1">
        <f t="shared" si="1"/>
        <v>84</v>
      </c>
      <c r="B89" s="1">
        <f>B88</f>
        <v>20</v>
      </c>
      <c r="C89" s="1">
        <v>4</v>
      </c>
      <c r="D89" s="3" t="str">
        <f>VLOOKUP(B89,AE_weight!$U$4:$Y$36,C89+1)</f>
        <v>FFFF</v>
      </c>
      <c r="E89" s="3" t="str">
        <f>VLOOKUP(B89,AE_weight!$U$40:$Y$72,C89+1)</f>
        <v>0000</v>
      </c>
      <c r="F89" s="3" t="str">
        <f>VLOOKUP(B89,AE_weight!$U$76:$Y$108,C89+1)</f>
        <v>2000</v>
      </c>
      <c r="G89" s="3" t="str">
        <f>VLOOKUP(B89,AE_weight!$U$112:$Y$144,C89+1)</f>
        <v>2222</v>
      </c>
      <c r="H89" s="3" t="str">
        <f>VLOOKUP(B89,AE_weight!$U$149:$Y$180,C89+1)</f>
        <v>0000</v>
      </c>
      <c r="I89" s="3" t="str">
        <f>VLOOKUP(B89,AE_weight!$U$185:$Y$216,C89+1)</f>
        <v>0000</v>
      </c>
      <c r="J89" s="3" t="str">
        <f>VLOOKUP(B89,AE_weight!$U$221:$Y$252,C89+1)</f>
        <v>0000</v>
      </c>
      <c r="K89" s="3" t="str">
        <f>VLOOKUP(B89,AE_weight!$U$257:$Y$288,C89+1)</f>
        <v>0000</v>
      </c>
      <c r="L89" s="3" t="str">
        <f>VLOOKUP(B89,AE_weight!$U$293:$Y$324,C89+1)</f>
        <v>0000</v>
      </c>
      <c r="M89" s="3" t="str">
        <f>VLOOKUP(B89,AE_weight!$U$329:$Y$360,C89+1)</f>
        <v>3210</v>
      </c>
      <c r="N89" s="3" t="str">
        <f>VLOOKUP(B89,AE_weight!$U$365:$Y$396,C89+1)</f>
        <v>4443</v>
      </c>
      <c r="O89" s="3" t="str">
        <f>VLOOKUP(B89,AE_weight!$U$401:$Y$432,C89+1)</f>
        <v>2210</v>
      </c>
      <c r="P89" s="3" t="str">
        <f>VLOOKUP(B89,AE_weight!$U$437:$Y$468,C89+1)</f>
        <v>3210</v>
      </c>
      <c r="Q89" s="4"/>
      <c r="U89" s="4"/>
    </row>
    <row r="90" spans="1:21">
      <c r="A90" s="1">
        <f t="shared" si="1"/>
        <v>85</v>
      </c>
      <c r="B90" s="1">
        <f>B86+1</f>
        <v>21</v>
      </c>
      <c r="C90" s="1">
        <v>1</v>
      </c>
      <c r="D90" s="3" t="str">
        <f>VLOOKUP(B90,AE_weight!$U$4:$Y$36,C90+1)</f>
        <v>FFFF</v>
      </c>
      <c r="E90" s="3" t="str">
        <f>VLOOKUP(B90,AE_weight!$U$40:$Y$72,C90+1)</f>
        <v>0000</v>
      </c>
      <c r="F90" s="3" t="str">
        <f>VLOOKUP(B90,AE_weight!$U$76:$Y$108,C90+1)</f>
        <v>0002</v>
      </c>
      <c r="G90" s="3" t="str">
        <f>VLOOKUP(B90,AE_weight!$U$112:$Y$144,C90+1)</f>
        <v>2222</v>
      </c>
      <c r="H90" s="3" t="str">
        <f>VLOOKUP(B90,AE_weight!$U$149:$Y$180,C90+1)</f>
        <v>0000</v>
      </c>
      <c r="I90" s="3" t="str">
        <f>VLOOKUP(B90,AE_weight!$U$185:$Y$216,C90+1)</f>
        <v>0000</v>
      </c>
      <c r="J90" s="3" t="str">
        <f>VLOOKUP(B90,AE_weight!$U$221:$Y$252,C90+1)</f>
        <v>0000</v>
      </c>
      <c r="K90" s="3" t="str">
        <f>VLOOKUP(B90,AE_weight!$U$257:$Y$288,C90+1)</f>
        <v>0001</v>
      </c>
      <c r="L90" s="3" t="str">
        <f>VLOOKUP(B90,AE_weight!$U$293:$Y$324,C90+1)</f>
        <v>0000</v>
      </c>
      <c r="M90" s="3" t="str">
        <f>VLOOKUP(B90,AE_weight!$U$329:$Y$360,C90+1)</f>
        <v>0123</v>
      </c>
      <c r="N90" s="3" t="str">
        <f>VLOOKUP(B90,AE_weight!$U$365:$Y$396,C90+1)</f>
        <v>0122</v>
      </c>
      <c r="O90" s="3" t="str">
        <f>VLOOKUP(B90,AE_weight!$U$401:$Y$432,C90+1)</f>
        <v>0012</v>
      </c>
      <c r="P90" s="3" t="str">
        <f>VLOOKUP(B90,AE_weight!$U$437:$Y$468,C90+1)</f>
        <v>3344</v>
      </c>
      <c r="Q90" s="4"/>
      <c r="U90" s="4"/>
    </row>
    <row r="91" spans="1:21">
      <c r="A91" s="1">
        <f t="shared" si="1"/>
        <v>86</v>
      </c>
      <c r="B91" s="1">
        <f>B90</f>
        <v>21</v>
      </c>
      <c r="C91" s="1">
        <v>2</v>
      </c>
      <c r="D91" s="3" t="str">
        <f>VLOOKUP(B91,AE_weight!$U$4:$Y$36,C91+1)</f>
        <v>FFFF</v>
      </c>
      <c r="E91" s="3" t="str">
        <f>VLOOKUP(B91,AE_weight!$U$40:$Y$72,C91+1)</f>
        <v>2333</v>
      </c>
      <c r="F91" s="3" t="str">
        <f>VLOOKUP(B91,AE_weight!$U$76:$Y$108,C91+1)</f>
        <v>3455</v>
      </c>
      <c r="G91" s="3" t="str">
        <f>VLOOKUP(B91,AE_weight!$U$112:$Y$144,C91+1)</f>
        <v>2233</v>
      </c>
      <c r="H91" s="3" t="str">
        <f>VLOOKUP(B91,AE_weight!$U$149:$Y$180,C91+1)</f>
        <v>0000</v>
      </c>
      <c r="I91" s="3" t="str">
        <f>VLOOKUP(B91,AE_weight!$U$185:$Y$216,C91+1)</f>
        <v>00DD</v>
      </c>
      <c r="J91" s="3" t="str">
        <f>VLOOKUP(B91,AE_weight!$U$221:$Y$252,C91+1)</f>
        <v>77BB</v>
      </c>
      <c r="K91" s="3" t="str">
        <f>VLOOKUP(B91,AE_weight!$U$257:$Y$288,C91+1)</f>
        <v>0101</v>
      </c>
      <c r="L91" s="3" t="str">
        <f>VLOOKUP(B91,AE_weight!$U$293:$Y$324,C91+1)</f>
        <v>0000</v>
      </c>
      <c r="M91" s="3" t="str">
        <f>VLOOKUP(B91,AE_weight!$U$329:$Y$360,C91+1)</f>
        <v>4556</v>
      </c>
      <c r="N91" s="3" t="str">
        <f>VLOOKUP(B91,AE_weight!$U$365:$Y$396,C91+1)</f>
        <v>3445</v>
      </c>
      <c r="O91" s="3" t="str">
        <f>VLOOKUP(B91,AE_weight!$U$401:$Y$432,C91+1)</f>
        <v>3345</v>
      </c>
      <c r="P91" s="3" t="str">
        <f>VLOOKUP(B91,AE_weight!$U$437:$Y$468,C91+1)</f>
        <v>4555</v>
      </c>
      <c r="Q91" s="4"/>
      <c r="U91" s="4"/>
    </row>
    <row r="92" spans="1:21">
      <c r="A92" s="1">
        <f t="shared" si="1"/>
        <v>87</v>
      </c>
      <c r="B92" s="1">
        <f>B91</f>
        <v>21</v>
      </c>
      <c r="C92" s="1">
        <v>3</v>
      </c>
      <c r="D92" s="3" t="str">
        <f>VLOOKUP(B92,AE_weight!$U$4:$Y$36,C92+1)</f>
        <v>FFFF</v>
      </c>
      <c r="E92" s="3" t="str">
        <f>VLOOKUP(B92,AE_weight!$U$40:$Y$72,C92+1)</f>
        <v>3332</v>
      </c>
      <c r="F92" s="3" t="str">
        <f>VLOOKUP(B92,AE_weight!$U$76:$Y$108,C92+1)</f>
        <v>5543</v>
      </c>
      <c r="G92" s="3" t="str">
        <f>VLOOKUP(B92,AE_weight!$U$112:$Y$144,C92+1)</f>
        <v>3322</v>
      </c>
      <c r="H92" s="3" t="str">
        <f>VLOOKUP(B92,AE_weight!$U$149:$Y$180,C92+1)</f>
        <v>0000</v>
      </c>
      <c r="I92" s="3" t="str">
        <f>VLOOKUP(B92,AE_weight!$U$185:$Y$216,C92+1)</f>
        <v>DD00</v>
      </c>
      <c r="J92" s="3" t="str">
        <f>VLOOKUP(B92,AE_weight!$U$221:$Y$252,C92+1)</f>
        <v>BB77</v>
      </c>
      <c r="K92" s="3" t="str">
        <f>VLOOKUP(B92,AE_weight!$U$257:$Y$288,C92+1)</f>
        <v>1010</v>
      </c>
      <c r="L92" s="3" t="str">
        <f>VLOOKUP(B92,AE_weight!$U$293:$Y$324,C92+1)</f>
        <v>0000</v>
      </c>
      <c r="M92" s="3" t="str">
        <f>VLOOKUP(B92,AE_weight!$U$329:$Y$360,C92+1)</f>
        <v>6554</v>
      </c>
      <c r="N92" s="3" t="str">
        <f>VLOOKUP(B92,AE_weight!$U$365:$Y$396,C92+1)</f>
        <v>5554</v>
      </c>
      <c r="O92" s="3" t="str">
        <f>VLOOKUP(B92,AE_weight!$U$401:$Y$432,C92+1)</f>
        <v>5433</v>
      </c>
      <c r="P92" s="3" t="str">
        <f>VLOOKUP(B92,AE_weight!$U$437:$Y$468,C92+1)</f>
        <v>5443</v>
      </c>
      <c r="Q92" s="4"/>
      <c r="U92" s="4"/>
    </row>
    <row r="93" spans="1:21">
      <c r="A93" s="1">
        <f t="shared" si="1"/>
        <v>88</v>
      </c>
      <c r="B93" s="1">
        <f>B92</f>
        <v>21</v>
      </c>
      <c r="C93" s="1">
        <v>4</v>
      </c>
      <c r="D93" s="3" t="str">
        <f>VLOOKUP(B93,AE_weight!$U$4:$Y$36,C93+1)</f>
        <v>FFFF</v>
      </c>
      <c r="E93" s="3" t="str">
        <f>VLOOKUP(B93,AE_weight!$U$40:$Y$72,C93+1)</f>
        <v>0000</v>
      </c>
      <c r="F93" s="3" t="str">
        <f>VLOOKUP(B93,AE_weight!$U$76:$Y$108,C93+1)</f>
        <v>2000</v>
      </c>
      <c r="G93" s="3" t="str">
        <f>VLOOKUP(B93,AE_weight!$U$112:$Y$144,C93+1)</f>
        <v>2222</v>
      </c>
      <c r="H93" s="3" t="str">
        <f>VLOOKUP(B93,AE_weight!$U$149:$Y$180,C93+1)</f>
        <v>0000</v>
      </c>
      <c r="I93" s="3" t="str">
        <f>VLOOKUP(B93,AE_weight!$U$185:$Y$216,C93+1)</f>
        <v>0000</v>
      </c>
      <c r="J93" s="3" t="str">
        <f>VLOOKUP(B93,AE_weight!$U$221:$Y$252,C93+1)</f>
        <v>0000</v>
      </c>
      <c r="K93" s="3" t="str">
        <f>VLOOKUP(B93,AE_weight!$U$257:$Y$288,C93+1)</f>
        <v>1000</v>
      </c>
      <c r="L93" s="3" t="str">
        <f>VLOOKUP(B93,AE_weight!$U$293:$Y$324,C93+1)</f>
        <v>0000</v>
      </c>
      <c r="M93" s="3" t="str">
        <f>VLOOKUP(B93,AE_weight!$U$329:$Y$360,C93+1)</f>
        <v>3210</v>
      </c>
      <c r="N93" s="3" t="str">
        <f>VLOOKUP(B93,AE_weight!$U$365:$Y$396,C93+1)</f>
        <v>4433</v>
      </c>
      <c r="O93" s="3" t="str">
        <f>VLOOKUP(B93,AE_weight!$U$401:$Y$432,C93+1)</f>
        <v>2100</v>
      </c>
      <c r="P93" s="3" t="str">
        <f>VLOOKUP(B93,AE_weight!$U$437:$Y$468,C93+1)</f>
        <v>2210</v>
      </c>
      <c r="Q93" s="4"/>
      <c r="U93" s="4"/>
    </row>
    <row r="94" spans="1:21">
      <c r="A94" s="1">
        <f t="shared" si="1"/>
        <v>89</v>
      </c>
      <c r="B94" s="1">
        <f>B90+1</f>
        <v>22</v>
      </c>
      <c r="C94" s="1">
        <v>1</v>
      </c>
      <c r="D94" s="3" t="str">
        <f>VLOOKUP(B94,AE_weight!$U$4:$Y$36,C94+1)</f>
        <v>FFFF</v>
      </c>
      <c r="E94" s="3" t="str">
        <f>VLOOKUP(B94,AE_weight!$U$40:$Y$72,C94+1)</f>
        <v>0000</v>
      </c>
      <c r="F94" s="3" t="str">
        <f>VLOOKUP(B94,AE_weight!$U$76:$Y$108,C94+1)</f>
        <v>0002</v>
      </c>
      <c r="G94" s="3" t="str">
        <f>VLOOKUP(B94,AE_weight!$U$112:$Y$144,C94+1)</f>
        <v>2222</v>
      </c>
      <c r="H94" s="3" t="str">
        <f>VLOOKUP(B94,AE_weight!$U$149:$Y$180,C94+1)</f>
        <v>0000</v>
      </c>
      <c r="I94" s="3" t="str">
        <f>VLOOKUP(B94,AE_weight!$U$185:$Y$216,C94+1)</f>
        <v>0000</v>
      </c>
      <c r="J94" s="3" t="str">
        <f>VLOOKUP(B94,AE_weight!$U$221:$Y$252,C94+1)</f>
        <v>0000</v>
      </c>
      <c r="K94" s="3" t="str">
        <f>VLOOKUP(B94,AE_weight!$U$257:$Y$288,C94+1)</f>
        <v>0000</v>
      </c>
      <c r="L94" s="3" t="str">
        <f>VLOOKUP(B94,AE_weight!$U$293:$Y$324,C94+1)</f>
        <v>0000</v>
      </c>
      <c r="M94" s="3" t="str">
        <f>VLOOKUP(B94,AE_weight!$U$329:$Y$360,C94+1)</f>
        <v>0123</v>
      </c>
      <c r="N94" s="3" t="str">
        <f>VLOOKUP(B94,AE_weight!$U$365:$Y$396,C94+1)</f>
        <v>0012</v>
      </c>
      <c r="O94" s="3" t="str">
        <f>VLOOKUP(B94,AE_weight!$U$401:$Y$432,C94+1)</f>
        <v>0012</v>
      </c>
      <c r="P94" s="3" t="str">
        <f>VLOOKUP(B94,AE_weight!$U$437:$Y$468,C94+1)</f>
        <v>3334</v>
      </c>
      <c r="Q94" s="4"/>
      <c r="U94" s="4"/>
    </row>
    <row r="95" spans="1:21">
      <c r="A95" s="1">
        <f t="shared" si="1"/>
        <v>90</v>
      </c>
      <c r="B95" s="1">
        <f>B94</f>
        <v>22</v>
      </c>
      <c r="C95" s="1">
        <v>2</v>
      </c>
      <c r="D95" s="3" t="str">
        <f>VLOOKUP(B95,AE_weight!$U$4:$Y$36,C95+1)</f>
        <v>FFFF</v>
      </c>
      <c r="E95" s="3" t="str">
        <f>VLOOKUP(B95,AE_weight!$U$40:$Y$72,C95+1)</f>
        <v>2333</v>
      </c>
      <c r="F95" s="3" t="str">
        <f>VLOOKUP(B95,AE_weight!$U$76:$Y$108,C95+1)</f>
        <v>3344</v>
      </c>
      <c r="G95" s="3" t="str">
        <f>VLOOKUP(B95,AE_weight!$U$112:$Y$144,C95+1)</f>
        <v>2222</v>
      </c>
      <c r="H95" s="3" t="str">
        <f>VLOOKUP(B95,AE_weight!$U$149:$Y$180,C95+1)</f>
        <v>0000</v>
      </c>
      <c r="I95" s="3" t="str">
        <f>VLOOKUP(B95,AE_weight!$U$185:$Y$216,C95+1)</f>
        <v>0000</v>
      </c>
      <c r="J95" s="3" t="str">
        <f>VLOOKUP(B95,AE_weight!$U$221:$Y$252,C95+1)</f>
        <v>0777</v>
      </c>
      <c r="K95" s="3" t="str">
        <f>VLOOKUP(B95,AE_weight!$U$257:$Y$288,C95+1)</f>
        <v>0000</v>
      </c>
      <c r="L95" s="3" t="str">
        <f>VLOOKUP(B95,AE_weight!$U$293:$Y$324,C95+1)</f>
        <v>0000</v>
      </c>
      <c r="M95" s="3" t="str">
        <f>VLOOKUP(B95,AE_weight!$U$329:$Y$360,C95+1)</f>
        <v>4556</v>
      </c>
      <c r="N95" s="3" t="str">
        <f>VLOOKUP(B95,AE_weight!$U$365:$Y$396,C95+1)</f>
        <v>3344</v>
      </c>
      <c r="O95" s="3" t="str">
        <f>VLOOKUP(B95,AE_weight!$U$401:$Y$432,C95+1)</f>
        <v>2334</v>
      </c>
      <c r="P95" s="3" t="str">
        <f>VLOOKUP(B95,AE_weight!$U$437:$Y$468,C95+1)</f>
        <v>4444</v>
      </c>
      <c r="Q95" s="4"/>
      <c r="U95" s="4"/>
    </row>
    <row r="96" spans="1:21">
      <c r="A96" s="1">
        <f t="shared" si="1"/>
        <v>91</v>
      </c>
      <c r="B96" s="1">
        <f>B95</f>
        <v>22</v>
      </c>
      <c r="C96" s="1">
        <v>3</v>
      </c>
      <c r="D96" s="3" t="str">
        <f>VLOOKUP(B96,AE_weight!$U$4:$Y$36,C96+1)</f>
        <v>FFFF</v>
      </c>
      <c r="E96" s="3" t="str">
        <f>VLOOKUP(B96,AE_weight!$U$40:$Y$72,C96+1)</f>
        <v>3332</v>
      </c>
      <c r="F96" s="3" t="str">
        <f>VLOOKUP(B96,AE_weight!$U$76:$Y$108,C96+1)</f>
        <v>4433</v>
      </c>
      <c r="G96" s="3" t="str">
        <f>VLOOKUP(B96,AE_weight!$U$112:$Y$144,C96+1)</f>
        <v>2222</v>
      </c>
      <c r="H96" s="3" t="str">
        <f>VLOOKUP(B96,AE_weight!$U$149:$Y$180,C96+1)</f>
        <v>0000</v>
      </c>
      <c r="I96" s="3" t="str">
        <f>VLOOKUP(B96,AE_weight!$U$185:$Y$216,C96+1)</f>
        <v>0000</v>
      </c>
      <c r="J96" s="3" t="str">
        <f>VLOOKUP(B96,AE_weight!$U$221:$Y$252,C96+1)</f>
        <v>7770</v>
      </c>
      <c r="K96" s="3" t="str">
        <f>VLOOKUP(B96,AE_weight!$U$257:$Y$288,C96+1)</f>
        <v>0000</v>
      </c>
      <c r="L96" s="3" t="str">
        <f>VLOOKUP(B96,AE_weight!$U$293:$Y$324,C96+1)</f>
        <v>0000</v>
      </c>
      <c r="M96" s="3" t="str">
        <f>VLOOKUP(B96,AE_weight!$U$329:$Y$360,C96+1)</f>
        <v>6554</v>
      </c>
      <c r="N96" s="3" t="str">
        <f>VLOOKUP(B96,AE_weight!$U$365:$Y$396,C96+1)</f>
        <v>4444</v>
      </c>
      <c r="O96" s="3" t="str">
        <f>VLOOKUP(B96,AE_weight!$U$401:$Y$432,C96+1)</f>
        <v>4332</v>
      </c>
      <c r="P96" s="3" t="str">
        <f>VLOOKUP(B96,AE_weight!$U$437:$Y$468,C96+1)</f>
        <v>4433</v>
      </c>
      <c r="Q96" s="4"/>
      <c r="U96" s="4"/>
    </row>
    <row r="97" spans="1:21">
      <c r="A97" s="1">
        <f t="shared" si="1"/>
        <v>92</v>
      </c>
      <c r="B97" s="1">
        <f>B96</f>
        <v>22</v>
      </c>
      <c r="C97" s="1">
        <v>4</v>
      </c>
      <c r="D97" s="3" t="str">
        <f>VLOOKUP(B97,AE_weight!$U$4:$Y$36,C97+1)</f>
        <v>FFFF</v>
      </c>
      <c r="E97" s="3" t="str">
        <f>VLOOKUP(B97,AE_weight!$U$40:$Y$72,C97+1)</f>
        <v>0000</v>
      </c>
      <c r="F97" s="3" t="str">
        <f>VLOOKUP(B97,AE_weight!$U$76:$Y$108,C97+1)</f>
        <v>2000</v>
      </c>
      <c r="G97" s="3" t="str">
        <f>VLOOKUP(B97,AE_weight!$U$112:$Y$144,C97+1)</f>
        <v>2222</v>
      </c>
      <c r="H97" s="3" t="str">
        <f>VLOOKUP(B97,AE_weight!$U$149:$Y$180,C97+1)</f>
        <v>0000</v>
      </c>
      <c r="I97" s="3" t="str">
        <f>VLOOKUP(B97,AE_weight!$U$185:$Y$216,C97+1)</f>
        <v>0000</v>
      </c>
      <c r="J97" s="3" t="str">
        <f>VLOOKUP(B97,AE_weight!$U$221:$Y$252,C97+1)</f>
        <v>0000</v>
      </c>
      <c r="K97" s="3" t="str">
        <f>VLOOKUP(B97,AE_weight!$U$257:$Y$288,C97+1)</f>
        <v>0000</v>
      </c>
      <c r="L97" s="3" t="str">
        <f>VLOOKUP(B97,AE_weight!$U$293:$Y$324,C97+1)</f>
        <v>0000</v>
      </c>
      <c r="M97" s="3" t="str">
        <f>VLOOKUP(B97,AE_weight!$U$329:$Y$360,C97+1)</f>
        <v>3210</v>
      </c>
      <c r="N97" s="3" t="str">
        <f>VLOOKUP(B97,AE_weight!$U$365:$Y$396,C97+1)</f>
        <v>4333</v>
      </c>
      <c r="O97" s="3" t="str">
        <f>VLOOKUP(B97,AE_weight!$U$401:$Y$432,C97+1)</f>
        <v>2100</v>
      </c>
      <c r="P97" s="3" t="str">
        <f>VLOOKUP(B97,AE_weight!$U$437:$Y$468,C97+1)</f>
        <v>2100</v>
      </c>
      <c r="Q97" s="4"/>
      <c r="U97" s="4"/>
    </row>
    <row r="98" spans="1:21">
      <c r="A98" s="1">
        <f t="shared" si="1"/>
        <v>93</v>
      </c>
      <c r="B98" s="1">
        <f>B94+1</f>
        <v>23</v>
      </c>
      <c r="C98" s="1">
        <v>1</v>
      </c>
      <c r="D98" s="3" t="str">
        <f>VLOOKUP(B98,AE_weight!$U$4:$Y$36,C98+1)</f>
        <v>FFFF</v>
      </c>
      <c r="E98" s="3" t="str">
        <f>VLOOKUP(B98,AE_weight!$U$40:$Y$72,C98+1)</f>
        <v>0000</v>
      </c>
      <c r="F98" s="3" t="str">
        <f>VLOOKUP(B98,AE_weight!$U$76:$Y$108,C98+1)</f>
        <v>0002</v>
      </c>
      <c r="G98" s="3" t="str">
        <f>VLOOKUP(B98,AE_weight!$U$112:$Y$144,C98+1)</f>
        <v>2222</v>
      </c>
      <c r="H98" s="3" t="str">
        <f>VLOOKUP(B98,AE_weight!$U$149:$Y$180,C98+1)</f>
        <v>0000</v>
      </c>
      <c r="I98" s="3" t="str">
        <f>VLOOKUP(B98,AE_weight!$U$185:$Y$216,C98+1)</f>
        <v>0000</v>
      </c>
      <c r="J98" s="3" t="str">
        <f>VLOOKUP(B98,AE_weight!$U$221:$Y$252,C98+1)</f>
        <v>0000</v>
      </c>
      <c r="K98" s="3" t="str">
        <f>VLOOKUP(B98,AE_weight!$U$257:$Y$288,C98+1)</f>
        <v>0010</v>
      </c>
      <c r="L98" s="3" t="str">
        <f>VLOOKUP(B98,AE_weight!$U$293:$Y$324,C98+1)</f>
        <v>0000</v>
      </c>
      <c r="M98" s="3" t="str">
        <f>VLOOKUP(B98,AE_weight!$U$329:$Y$360,C98+1)</f>
        <v>0123</v>
      </c>
      <c r="N98" s="3" t="str">
        <f>VLOOKUP(B98,AE_weight!$U$365:$Y$396,C98+1)</f>
        <v>0012</v>
      </c>
      <c r="O98" s="3" t="str">
        <f>VLOOKUP(B98,AE_weight!$U$401:$Y$432,C98+1)</f>
        <v>0011</v>
      </c>
      <c r="P98" s="3" t="str">
        <f>VLOOKUP(B98,AE_weight!$U$437:$Y$468,C98+1)</f>
        <v>3333</v>
      </c>
      <c r="Q98" s="4"/>
      <c r="U98" s="4"/>
    </row>
    <row r="99" spans="1:21">
      <c r="A99" s="1">
        <f t="shared" si="1"/>
        <v>94</v>
      </c>
      <c r="B99" s="1">
        <f>B98</f>
        <v>23</v>
      </c>
      <c r="C99" s="1">
        <v>2</v>
      </c>
      <c r="D99" s="3" t="str">
        <f>VLOOKUP(B99,AE_weight!$U$4:$Y$36,C99+1)</f>
        <v>FFFF</v>
      </c>
      <c r="E99" s="3" t="str">
        <f>VLOOKUP(B99,AE_weight!$U$40:$Y$72,C99+1)</f>
        <v>2233</v>
      </c>
      <c r="F99" s="3" t="str">
        <f>VLOOKUP(B99,AE_weight!$U$76:$Y$108,C99+1)</f>
        <v>3344</v>
      </c>
      <c r="G99" s="3" t="str">
        <f>VLOOKUP(B99,AE_weight!$U$112:$Y$144,C99+1)</f>
        <v>2222</v>
      </c>
      <c r="H99" s="3" t="str">
        <f>VLOOKUP(B99,AE_weight!$U$149:$Y$180,C99+1)</f>
        <v>0000</v>
      </c>
      <c r="I99" s="3" t="str">
        <f>VLOOKUP(B99,AE_weight!$U$185:$Y$216,C99+1)</f>
        <v>0000</v>
      </c>
      <c r="J99" s="3" t="str">
        <f>VLOOKUP(B99,AE_weight!$U$221:$Y$252,C99+1)</f>
        <v>0777</v>
      </c>
      <c r="K99" s="3" t="str">
        <f>VLOOKUP(B99,AE_weight!$U$257:$Y$288,C99+1)</f>
        <v>1010</v>
      </c>
      <c r="L99" s="3" t="str">
        <f>VLOOKUP(B99,AE_weight!$U$293:$Y$324,C99+1)</f>
        <v>0010</v>
      </c>
      <c r="M99" s="3" t="str">
        <f>VLOOKUP(B99,AE_weight!$U$329:$Y$360,C99+1)</f>
        <v>3556</v>
      </c>
      <c r="N99" s="3" t="str">
        <f>VLOOKUP(B99,AE_weight!$U$365:$Y$396,C99+1)</f>
        <v>2334</v>
      </c>
      <c r="O99" s="3" t="str">
        <f>VLOOKUP(B99,AE_weight!$U$401:$Y$432,C99+1)</f>
        <v>2233</v>
      </c>
      <c r="P99" s="3" t="str">
        <f>VLOOKUP(B99,AE_weight!$U$437:$Y$468,C99+1)</f>
        <v>4444</v>
      </c>
      <c r="Q99" s="4"/>
      <c r="U99" s="4"/>
    </row>
    <row r="100" spans="1:21">
      <c r="A100" s="1">
        <f t="shared" si="1"/>
        <v>95</v>
      </c>
      <c r="B100" s="1">
        <f>B99</f>
        <v>23</v>
      </c>
      <c r="C100" s="1">
        <v>3</v>
      </c>
      <c r="D100" s="3" t="str">
        <f>VLOOKUP(B100,AE_weight!$U$4:$Y$36,C100+1)</f>
        <v>FFFF</v>
      </c>
      <c r="E100" s="3" t="str">
        <f>VLOOKUP(B100,AE_weight!$U$40:$Y$72,C100+1)</f>
        <v>3322</v>
      </c>
      <c r="F100" s="3" t="str">
        <f>VLOOKUP(B100,AE_weight!$U$76:$Y$108,C100+1)</f>
        <v>4433</v>
      </c>
      <c r="G100" s="3" t="str">
        <f>VLOOKUP(B100,AE_weight!$U$112:$Y$144,C100+1)</f>
        <v>2222</v>
      </c>
      <c r="H100" s="3" t="str">
        <f>VLOOKUP(B100,AE_weight!$U$149:$Y$180,C100+1)</f>
        <v>0000</v>
      </c>
      <c r="I100" s="3" t="str">
        <f>VLOOKUP(B100,AE_weight!$U$185:$Y$216,C100+1)</f>
        <v>0000</v>
      </c>
      <c r="J100" s="3" t="str">
        <f>VLOOKUP(B100,AE_weight!$U$221:$Y$252,C100+1)</f>
        <v>7770</v>
      </c>
      <c r="K100" s="3" t="str">
        <f>VLOOKUP(B100,AE_weight!$U$257:$Y$288,C100+1)</f>
        <v>0101</v>
      </c>
      <c r="L100" s="3" t="str">
        <f>VLOOKUP(B100,AE_weight!$U$293:$Y$324,C100+1)</f>
        <v>0100</v>
      </c>
      <c r="M100" s="3" t="str">
        <f>VLOOKUP(B100,AE_weight!$U$329:$Y$360,C100+1)</f>
        <v>6553</v>
      </c>
      <c r="N100" s="3" t="str">
        <f>VLOOKUP(B100,AE_weight!$U$365:$Y$396,C100+1)</f>
        <v>4444</v>
      </c>
      <c r="O100" s="3" t="str">
        <f>VLOOKUP(B100,AE_weight!$U$401:$Y$432,C100+1)</f>
        <v>3322</v>
      </c>
      <c r="P100" s="3" t="str">
        <f>VLOOKUP(B100,AE_weight!$U$437:$Y$468,C100+1)</f>
        <v>4332</v>
      </c>
      <c r="Q100" s="4"/>
      <c r="U100" s="4"/>
    </row>
    <row r="101" spans="1:21">
      <c r="A101" s="1">
        <f t="shared" si="1"/>
        <v>96</v>
      </c>
      <c r="B101" s="1">
        <f>B100</f>
        <v>23</v>
      </c>
      <c r="C101" s="1">
        <v>4</v>
      </c>
      <c r="D101" s="3" t="str">
        <f>VLOOKUP(B101,AE_weight!$U$4:$Y$36,C101+1)</f>
        <v>FFFF</v>
      </c>
      <c r="E101" s="3" t="str">
        <f>VLOOKUP(B101,AE_weight!$U$40:$Y$72,C101+1)</f>
        <v>0000</v>
      </c>
      <c r="F101" s="3" t="str">
        <f>VLOOKUP(B101,AE_weight!$U$76:$Y$108,C101+1)</f>
        <v>2000</v>
      </c>
      <c r="G101" s="3" t="str">
        <f>VLOOKUP(B101,AE_weight!$U$112:$Y$144,C101+1)</f>
        <v>2222</v>
      </c>
      <c r="H101" s="3" t="str">
        <f>VLOOKUP(B101,AE_weight!$U$149:$Y$180,C101+1)</f>
        <v>0000</v>
      </c>
      <c r="I101" s="3" t="str">
        <f>VLOOKUP(B101,AE_weight!$U$185:$Y$216,C101+1)</f>
        <v>0000</v>
      </c>
      <c r="J101" s="3" t="str">
        <f>VLOOKUP(B101,AE_weight!$U$221:$Y$252,C101+1)</f>
        <v>0000</v>
      </c>
      <c r="K101" s="3" t="str">
        <f>VLOOKUP(B101,AE_weight!$U$257:$Y$288,C101+1)</f>
        <v>0100</v>
      </c>
      <c r="L101" s="3" t="str">
        <f>VLOOKUP(B101,AE_weight!$U$293:$Y$324,C101+1)</f>
        <v>0000</v>
      </c>
      <c r="M101" s="3" t="str">
        <f>VLOOKUP(B101,AE_weight!$U$329:$Y$360,C101+1)</f>
        <v>3210</v>
      </c>
      <c r="N101" s="3" t="str">
        <f>VLOOKUP(B101,AE_weight!$U$365:$Y$396,C101+1)</f>
        <v>3333</v>
      </c>
      <c r="O101" s="3" t="str">
        <f>VLOOKUP(B101,AE_weight!$U$401:$Y$432,C101+1)</f>
        <v>1100</v>
      </c>
      <c r="P101" s="3" t="str">
        <f>VLOOKUP(B101,AE_weight!$U$437:$Y$468,C101+1)</f>
        <v>2100</v>
      </c>
      <c r="Q101" s="4"/>
      <c r="U101" s="4"/>
    </row>
    <row r="102" spans="1:21">
      <c r="A102" s="1">
        <f t="shared" si="1"/>
        <v>97</v>
      </c>
      <c r="B102" s="1">
        <f>B98+1</f>
        <v>24</v>
      </c>
      <c r="C102" s="1">
        <v>1</v>
      </c>
      <c r="D102" s="3" t="str">
        <f>VLOOKUP(B102,AE_weight!$U$4:$Y$36,C102+1)</f>
        <v>FFFF</v>
      </c>
      <c r="E102" s="3" t="str">
        <f>VLOOKUP(B102,AE_weight!$U$40:$Y$72,C102+1)</f>
        <v>0000</v>
      </c>
      <c r="F102" s="3" t="str">
        <f>VLOOKUP(B102,AE_weight!$U$76:$Y$108,C102+1)</f>
        <v>0002</v>
      </c>
      <c r="G102" s="3" t="str">
        <f>VLOOKUP(B102,AE_weight!$U$112:$Y$144,C102+1)</f>
        <v>2222</v>
      </c>
      <c r="H102" s="3" t="str">
        <f>VLOOKUP(B102,AE_weight!$U$149:$Y$180,C102+1)</f>
        <v>0000</v>
      </c>
      <c r="I102" s="3" t="str">
        <f>VLOOKUP(B102,AE_weight!$U$185:$Y$216,C102+1)</f>
        <v>0000</v>
      </c>
      <c r="J102" s="3" t="str">
        <f>VLOOKUP(B102,AE_weight!$U$221:$Y$252,C102+1)</f>
        <v>0000</v>
      </c>
      <c r="K102" s="3" t="str">
        <f>VLOOKUP(B102,AE_weight!$U$257:$Y$288,C102+1)</f>
        <v>0000</v>
      </c>
      <c r="L102" s="3" t="str">
        <f>VLOOKUP(B102,AE_weight!$U$293:$Y$324,C102+1)</f>
        <v>0000</v>
      </c>
      <c r="M102" s="3" t="str">
        <f>VLOOKUP(B102,AE_weight!$U$329:$Y$360,C102+1)</f>
        <v>0123</v>
      </c>
      <c r="N102" s="3" t="str">
        <f>VLOOKUP(B102,AE_weight!$U$365:$Y$396,C102+1)</f>
        <v>0001</v>
      </c>
      <c r="O102" s="3" t="str">
        <f>VLOOKUP(B102,AE_weight!$U$401:$Y$432,C102+1)</f>
        <v>0001</v>
      </c>
      <c r="P102" s="3" t="str">
        <f>VLOOKUP(B102,AE_weight!$U$437:$Y$468,C102+1)</f>
        <v>3333</v>
      </c>
      <c r="Q102" s="4"/>
      <c r="U102" s="4"/>
    </row>
    <row r="103" spans="1:21">
      <c r="A103" s="1">
        <f t="shared" si="1"/>
        <v>98</v>
      </c>
      <c r="B103" s="1">
        <f>B102</f>
        <v>24</v>
      </c>
      <c r="C103" s="1">
        <v>2</v>
      </c>
      <c r="D103" s="3" t="str">
        <f>VLOOKUP(B103,AE_weight!$U$4:$Y$36,C103+1)</f>
        <v>FFFF</v>
      </c>
      <c r="E103" s="3" t="str">
        <f>VLOOKUP(B103,AE_weight!$U$40:$Y$72,C103+1)</f>
        <v>2223</v>
      </c>
      <c r="F103" s="3" t="str">
        <f>VLOOKUP(B103,AE_weight!$U$76:$Y$108,C103+1)</f>
        <v>2333</v>
      </c>
      <c r="G103" s="3" t="str">
        <f>VLOOKUP(B103,AE_weight!$U$112:$Y$144,C103+1)</f>
        <v>2222</v>
      </c>
      <c r="H103" s="3" t="str">
        <f>VLOOKUP(B103,AE_weight!$U$149:$Y$180,C103+1)</f>
        <v>0000</v>
      </c>
      <c r="I103" s="3" t="str">
        <f>VLOOKUP(B103,AE_weight!$U$185:$Y$216,C103+1)</f>
        <v>0000</v>
      </c>
      <c r="J103" s="3" t="str">
        <f>VLOOKUP(B103,AE_weight!$U$221:$Y$252,C103+1)</f>
        <v>0007</v>
      </c>
      <c r="K103" s="3" t="str">
        <f>VLOOKUP(B103,AE_weight!$U$257:$Y$288,C103+1)</f>
        <v>0000</v>
      </c>
      <c r="L103" s="3" t="str">
        <f>VLOOKUP(B103,AE_weight!$U$293:$Y$324,C103+1)</f>
        <v>0000</v>
      </c>
      <c r="M103" s="3" t="str">
        <f>VLOOKUP(B103,AE_weight!$U$329:$Y$360,C103+1)</f>
        <v>3455</v>
      </c>
      <c r="N103" s="3" t="str">
        <f>VLOOKUP(B103,AE_weight!$U$365:$Y$396,C103+1)</f>
        <v>2233</v>
      </c>
      <c r="O103" s="3" t="str">
        <f>VLOOKUP(B103,AE_weight!$U$401:$Y$432,C103+1)</f>
        <v>2223</v>
      </c>
      <c r="P103" s="3" t="str">
        <f>VLOOKUP(B103,AE_weight!$U$437:$Y$468,C103+1)</f>
        <v>3333</v>
      </c>
      <c r="Q103" s="4"/>
      <c r="U103" s="4"/>
    </row>
    <row r="104" spans="1:21">
      <c r="A104" s="1">
        <f t="shared" si="1"/>
        <v>99</v>
      </c>
      <c r="B104" s="1">
        <f>B103</f>
        <v>24</v>
      </c>
      <c r="C104" s="1">
        <v>3</v>
      </c>
      <c r="D104" s="3" t="str">
        <f>VLOOKUP(B104,AE_weight!$U$4:$Y$36,C104+1)</f>
        <v>FFFF</v>
      </c>
      <c r="E104" s="3" t="str">
        <f>VLOOKUP(B104,AE_weight!$U$40:$Y$72,C104+1)</f>
        <v>3222</v>
      </c>
      <c r="F104" s="3" t="str">
        <f>VLOOKUP(B104,AE_weight!$U$76:$Y$108,C104+1)</f>
        <v>3332</v>
      </c>
      <c r="G104" s="3" t="str">
        <f>VLOOKUP(B104,AE_weight!$U$112:$Y$144,C104+1)</f>
        <v>2222</v>
      </c>
      <c r="H104" s="3" t="str">
        <f>VLOOKUP(B104,AE_weight!$U$149:$Y$180,C104+1)</f>
        <v>0000</v>
      </c>
      <c r="I104" s="3" t="str">
        <f>VLOOKUP(B104,AE_weight!$U$185:$Y$216,C104+1)</f>
        <v>0000</v>
      </c>
      <c r="J104" s="3" t="str">
        <f>VLOOKUP(B104,AE_weight!$U$221:$Y$252,C104+1)</f>
        <v>7000</v>
      </c>
      <c r="K104" s="3" t="str">
        <f>VLOOKUP(B104,AE_weight!$U$257:$Y$288,C104+1)</f>
        <v>0000</v>
      </c>
      <c r="L104" s="3" t="str">
        <f>VLOOKUP(B104,AE_weight!$U$293:$Y$324,C104+1)</f>
        <v>0000</v>
      </c>
      <c r="M104" s="3" t="str">
        <f>VLOOKUP(B104,AE_weight!$U$329:$Y$360,C104+1)</f>
        <v>5543</v>
      </c>
      <c r="N104" s="3" t="str">
        <f>VLOOKUP(B104,AE_weight!$U$365:$Y$396,C104+1)</f>
        <v>3333</v>
      </c>
      <c r="O104" s="3" t="str">
        <f>VLOOKUP(B104,AE_weight!$U$401:$Y$432,C104+1)</f>
        <v>3222</v>
      </c>
      <c r="P104" s="3" t="str">
        <f>VLOOKUP(B104,AE_weight!$U$437:$Y$468,C104+1)</f>
        <v>3322</v>
      </c>
    </row>
    <row r="105" spans="1:21">
      <c r="A105" s="1">
        <f t="shared" si="1"/>
        <v>100</v>
      </c>
      <c r="B105" s="1">
        <f>B104</f>
        <v>24</v>
      </c>
      <c r="C105" s="1">
        <v>4</v>
      </c>
      <c r="D105" s="3" t="str">
        <f>VLOOKUP(B105,AE_weight!$U$4:$Y$36,C105+1)</f>
        <v>FFFF</v>
      </c>
      <c r="E105" s="3" t="str">
        <f>VLOOKUP(B105,AE_weight!$U$40:$Y$72,C105+1)</f>
        <v>0000</v>
      </c>
      <c r="F105" s="3" t="str">
        <f>VLOOKUP(B105,AE_weight!$U$76:$Y$108,C105+1)</f>
        <v>2000</v>
      </c>
      <c r="G105" s="3" t="str">
        <f>VLOOKUP(B105,AE_weight!$U$112:$Y$144,C105+1)</f>
        <v>2222</v>
      </c>
      <c r="H105" s="3" t="str">
        <f>VLOOKUP(B105,AE_weight!$U$149:$Y$180,C105+1)</f>
        <v>0000</v>
      </c>
      <c r="I105" s="3" t="str">
        <f>VLOOKUP(B105,AE_weight!$U$185:$Y$216,C105+1)</f>
        <v>0000</v>
      </c>
      <c r="J105" s="3" t="str">
        <f>VLOOKUP(B105,AE_weight!$U$221:$Y$252,C105+1)</f>
        <v>0000</v>
      </c>
      <c r="K105" s="3" t="str">
        <f>VLOOKUP(B105,AE_weight!$U$257:$Y$288,C105+1)</f>
        <v>0000</v>
      </c>
      <c r="L105" s="3" t="str">
        <f>VLOOKUP(B105,AE_weight!$U$293:$Y$324,C105+1)</f>
        <v>0000</v>
      </c>
      <c r="M105" s="3" t="str">
        <f>VLOOKUP(B105,AE_weight!$U$329:$Y$360,C105+1)</f>
        <v>3210</v>
      </c>
      <c r="N105" s="3" t="str">
        <f>VLOOKUP(B105,AE_weight!$U$365:$Y$396,C105+1)</f>
        <v>3333</v>
      </c>
      <c r="O105" s="3" t="str">
        <f>VLOOKUP(B105,AE_weight!$U$401:$Y$432,C105+1)</f>
        <v>1000</v>
      </c>
      <c r="P105" s="3" t="str">
        <f>VLOOKUP(B105,AE_weight!$U$437:$Y$468,C105+1)</f>
        <v>1000</v>
      </c>
    </row>
    <row r="106" spans="1:21">
      <c r="A106" s="1">
        <f t="shared" si="1"/>
        <v>101</v>
      </c>
      <c r="B106" s="1">
        <f>B102+1</f>
        <v>25</v>
      </c>
      <c r="C106" s="1">
        <v>1</v>
      </c>
      <c r="D106" s="3" t="str">
        <f>VLOOKUP(B106,AE_weight!$U$4:$Y$36,C106+1)</f>
        <v>FFFF</v>
      </c>
      <c r="E106" s="3" t="str">
        <f>VLOOKUP(B106,AE_weight!$U$40:$Y$72,C106+1)</f>
        <v>0000</v>
      </c>
      <c r="F106" s="3" t="str">
        <f>VLOOKUP(B106,AE_weight!$U$76:$Y$108,C106+1)</f>
        <v>0002</v>
      </c>
      <c r="G106" s="3" t="str">
        <f>VLOOKUP(B106,AE_weight!$U$112:$Y$144,C106+1)</f>
        <v>2222</v>
      </c>
      <c r="H106" s="3" t="str">
        <f>VLOOKUP(B106,AE_weight!$U$149:$Y$180,C106+1)</f>
        <v>0000</v>
      </c>
      <c r="I106" s="3" t="str">
        <f>VLOOKUP(B106,AE_weight!$U$185:$Y$216,C106+1)</f>
        <v>0000</v>
      </c>
      <c r="J106" s="3" t="str">
        <f>VLOOKUP(B106,AE_weight!$U$221:$Y$252,C106+1)</f>
        <v>0000</v>
      </c>
      <c r="K106" s="3" t="str">
        <f>VLOOKUP(B106,AE_weight!$U$257:$Y$288,C106+1)</f>
        <v>0001</v>
      </c>
      <c r="L106" s="3" t="str">
        <f>VLOOKUP(B106,AE_weight!$U$293:$Y$324,C106+1)</f>
        <v>0000</v>
      </c>
      <c r="M106" s="3" t="str">
        <f>VLOOKUP(B106,AE_weight!$U$329:$Y$360,C106+1)</f>
        <v>0112</v>
      </c>
      <c r="N106" s="3" t="str">
        <f>VLOOKUP(B106,AE_weight!$U$365:$Y$396,C106+1)</f>
        <v>0001</v>
      </c>
      <c r="O106" s="3" t="str">
        <f>VLOOKUP(B106,AE_weight!$U$401:$Y$432,C106+1)</f>
        <v>0001</v>
      </c>
      <c r="P106" s="3" t="str">
        <f>VLOOKUP(B106,AE_weight!$U$437:$Y$468,C106+1)</f>
        <v>2223</v>
      </c>
    </row>
    <row r="107" spans="1:21">
      <c r="A107" s="1">
        <f t="shared" si="1"/>
        <v>102</v>
      </c>
      <c r="B107" s="1">
        <f>B106</f>
        <v>25</v>
      </c>
      <c r="C107" s="1">
        <v>2</v>
      </c>
      <c r="D107" s="3" t="str">
        <f>VLOOKUP(B107,AE_weight!$U$4:$Y$36,C107+1)</f>
        <v>FFFF</v>
      </c>
      <c r="E107" s="3" t="str">
        <f>VLOOKUP(B107,AE_weight!$U$40:$Y$72,C107+1)</f>
        <v>0002</v>
      </c>
      <c r="F107" s="3" t="str">
        <f>VLOOKUP(B107,AE_weight!$U$76:$Y$108,C107+1)</f>
        <v>2333</v>
      </c>
      <c r="G107" s="3" t="str">
        <f>VLOOKUP(B107,AE_weight!$U$112:$Y$144,C107+1)</f>
        <v>2222</v>
      </c>
      <c r="H107" s="3" t="str">
        <f>VLOOKUP(B107,AE_weight!$U$149:$Y$180,C107+1)</f>
        <v>0000</v>
      </c>
      <c r="I107" s="3" t="str">
        <f>VLOOKUP(B107,AE_weight!$U$185:$Y$216,C107+1)</f>
        <v>0000</v>
      </c>
      <c r="J107" s="3" t="str">
        <f>VLOOKUP(B107,AE_weight!$U$221:$Y$252,C107+1)</f>
        <v>0007</v>
      </c>
      <c r="K107" s="3" t="str">
        <f>VLOOKUP(B107,AE_weight!$U$257:$Y$288,C107+1)</f>
        <v>0101</v>
      </c>
      <c r="L107" s="3" t="str">
        <f>VLOOKUP(B107,AE_weight!$U$293:$Y$324,C107+1)</f>
        <v>0000</v>
      </c>
      <c r="M107" s="3" t="str">
        <f>VLOOKUP(B107,AE_weight!$U$329:$Y$360,C107+1)</f>
        <v>3455</v>
      </c>
      <c r="N107" s="3" t="str">
        <f>VLOOKUP(B107,AE_weight!$U$365:$Y$396,C107+1)</f>
        <v>2223</v>
      </c>
      <c r="O107" s="3" t="str">
        <f>VLOOKUP(B107,AE_weight!$U$401:$Y$432,C107+1)</f>
        <v>1222</v>
      </c>
      <c r="P107" s="3" t="str">
        <f>VLOOKUP(B107,AE_weight!$U$437:$Y$468,C107+1)</f>
        <v>3333</v>
      </c>
    </row>
    <row r="108" spans="1:21">
      <c r="A108" s="1">
        <f t="shared" si="1"/>
        <v>103</v>
      </c>
      <c r="B108" s="1">
        <f>B107</f>
        <v>25</v>
      </c>
      <c r="C108" s="1">
        <v>3</v>
      </c>
      <c r="D108" s="3" t="str">
        <f>VLOOKUP(B108,AE_weight!$U$4:$Y$36,C108+1)</f>
        <v>FFFF</v>
      </c>
      <c r="E108" s="3" t="str">
        <f>VLOOKUP(B108,AE_weight!$U$40:$Y$72,C108+1)</f>
        <v>2000</v>
      </c>
      <c r="F108" s="3" t="str">
        <f>VLOOKUP(B108,AE_weight!$U$76:$Y$108,C108+1)</f>
        <v>3332</v>
      </c>
      <c r="G108" s="3" t="str">
        <f>VLOOKUP(B108,AE_weight!$U$112:$Y$144,C108+1)</f>
        <v>2222</v>
      </c>
      <c r="H108" s="3" t="str">
        <f>VLOOKUP(B108,AE_weight!$U$149:$Y$180,C108+1)</f>
        <v>0000</v>
      </c>
      <c r="I108" s="3" t="str">
        <f>VLOOKUP(B108,AE_weight!$U$185:$Y$216,C108+1)</f>
        <v>0000</v>
      </c>
      <c r="J108" s="3" t="str">
        <f>VLOOKUP(B108,AE_weight!$U$221:$Y$252,C108+1)</f>
        <v>7000</v>
      </c>
      <c r="K108" s="3" t="str">
        <f>VLOOKUP(B108,AE_weight!$U$257:$Y$288,C108+1)</f>
        <v>1010</v>
      </c>
      <c r="L108" s="3" t="str">
        <f>VLOOKUP(B108,AE_weight!$U$293:$Y$324,C108+1)</f>
        <v>0000</v>
      </c>
      <c r="M108" s="3" t="str">
        <f>VLOOKUP(B108,AE_weight!$U$329:$Y$360,C108+1)</f>
        <v>5543</v>
      </c>
      <c r="N108" s="3" t="str">
        <f>VLOOKUP(B108,AE_weight!$U$365:$Y$396,C108+1)</f>
        <v>3333</v>
      </c>
      <c r="O108" s="3" t="str">
        <f>VLOOKUP(B108,AE_weight!$U$401:$Y$432,C108+1)</f>
        <v>2221</v>
      </c>
      <c r="P108" s="3" t="str">
        <f>VLOOKUP(B108,AE_weight!$U$437:$Y$468,C108+1)</f>
        <v>3222</v>
      </c>
    </row>
    <row r="109" spans="1:21">
      <c r="A109" s="1">
        <f t="shared" si="1"/>
        <v>104</v>
      </c>
      <c r="B109" s="1">
        <f>B108</f>
        <v>25</v>
      </c>
      <c r="C109" s="1">
        <v>4</v>
      </c>
      <c r="D109" s="3" t="str">
        <f>VLOOKUP(B109,AE_weight!$U$4:$Y$36,C109+1)</f>
        <v>FFFF</v>
      </c>
      <c r="E109" s="3" t="str">
        <f>VLOOKUP(B109,AE_weight!$U$40:$Y$72,C109+1)</f>
        <v>0000</v>
      </c>
      <c r="F109" s="3" t="str">
        <f>VLOOKUP(B109,AE_weight!$U$76:$Y$108,C109+1)</f>
        <v>2000</v>
      </c>
      <c r="G109" s="3" t="str">
        <f>VLOOKUP(B109,AE_weight!$U$112:$Y$144,C109+1)</f>
        <v>2222</v>
      </c>
      <c r="H109" s="3" t="str">
        <f>VLOOKUP(B109,AE_weight!$U$149:$Y$180,C109+1)</f>
        <v>0000</v>
      </c>
      <c r="I109" s="3" t="str">
        <f>VLOOKUP(B109,AE_weight!$U$185:$Y$216,C109+1)</f>
        <v>0000</v>
      </c>
      <c r="J109" s="3" t="str">
        <f>VLOOKUP(B109,AE_weight!$U$221:$Y$252,C109+1)</f>
        <v>0000</v>
      </c>
      <c r="K109" s="3" t="str">
        <f>VLOOKUP(B109,AE_weight!$U$257:$Y$288,C109+1)</f>
        <v>1000</v>
      </c>
      <c r="L109" s="3" t="str">
        <f>VLOOKUP(B109,AE_weight!$U$293:$Y$324,C109+1)</f>
        <v>0000</v>
      </c>
      <c r="M109" s="3" t="str">
        <f>VLOOKUP(B109,AE_weight!$U$329:$Y$360,C109+1)</f>
        <v>2110</v>
      </c>
      <c r="N109" s="3" t="str">
        <f>VLOOKUP(B109,AE_weight!$U$365:$Y$396,C109+1)</f>
        <v>3222</v>
      </c>
      <c r="O109" s="3" t="str">
        <f>VLOOKUP(B109,AE_weight!$U$401:$Y$432,C109+1)</f>
        <v>1000</v>
      </c>
      <c r="P109" s="3" t="str">
        <f>VLOOKUP(B109,AE_weight!$U$437:$Y$468,C109+1)</f>
        <v>1000</v>
      </c>
      <c r="Q109" s="4"/>
      <c r="U109" s="4"/>
    </row>
    <row r="110" spans="1:21">
      <c r="A110" s="1">
        <f t="shared" si="1"/>
        <v>105</v>
      </c>
      <c r="B110" s="1">
        <f>B106+1</f>
        <v>26</v>
      </c>
      <c r="C110" s="1">
        <v>1</v>
      </c>
      <c r="D110" s="3" t="str">
        <f>VLOOKUP(B110,AE_weight!$U$4:$Y$36,C110+1)</f>
        <v>FFFF</v>
      </c>
      <c r="E110" s="3" t="str">
        <f>VLOOKUP(B110,AE_weight!$U$40:$Y$72,C110+1)</f>
        <v>0000</v>
      </c>
      <c r="F110" s="3" t="str">
        <f>VLOOKUP(B110,AE_weight!$U$76:$Y$108,C110+1)</f>
        <v>0000</v>
      </c>
      <c r="G110" s="3" t="str">
        <f>VLOOKUP(B110,AE_weight!$U$112:$Y$144,C110+1)</f>
        <v>2222</v>
      </c>
      <c r="H110" s="3" t="str">
        <f>VLOOKUP(B110,AE_weight!$U$149:$Y$180,C110+1)</f>
        <v>0000</v>
      </c>
      <c r="I110" s="3" t="str">
        <f>VLOOKUP(B110,AE_weight!$U$185:$Y$216,C110+1)</f>
        <v>0000</v>
      </c>
      <c r="J110" s="3" t="str">
        <f>VLOOKUP(B110,AE_weight!$U$221:$Y$252,C110+1)</f>
        <v>0000</v>
      </c>
      <c r="K110" s="3" t="str">
        <f>VLOOKUP(B110,AE_weight!$U$257:$Y$288,C110+1)</f>
        <v>0000</v>
      </c>
      <c r="L110" s="3" t="str">
        <f>VLOOKUP(B110,AE_weight!$U$293:$Y$324,C110+1)</f>
        <v>0000</v>
      </c>
      <c r="M110" s="3" t="str">
        <f>VLOOKUP(B110,AE_weight!$U$329:$Y$360,C110+1)</f>
        <v>0112</v>
      </c>
      <c r="N110" s="3" t="str">
        <f>VLOOKUP(B110,AE_weight!$U$365:$Y$396,C110+1)</f>
        <v>0000</v>
      </c>
      <c r="O110" s="3" t="str">
        <f>VLOOKUP(B110,AE_weight!$U$401:$Y$432,C110+1)</f>
        <v>0000</v>
      </c>
      <c r="P110" s="3" t="str">
        <f>VLOOKUP(B110,AE_weight!$U$437:$Y$468,C110+1)</f>
        <v>2222</v>
      </c>
      <c r="Q110" s="4"/>
      <c r="U110" s="4"/>
    </row>
    <row r="111" spans="1:21">
      <c r="A111" s="1">
        <f t="shared" si="1"/>
        <v>106</v>
      </c>
      <c r="B111" s="1">
        <f>B110</f>
        <v>26</v>
      </c>
      <c r="C111" s="1">
        <v>2</v>
      </c>
      <c r="D111" s="3" t="str">
        <f>VLOOKUP(B111,AE_weight!$U$4:$Y$36,C111+1)</f>
        <v>FFFF</v>
      </c>
      <c r="E111" s="3" t="str">
        <f>VLOOKUP(B111,AE_weight!$U$40:$Y$72,C111+1)</f>
        <v>0000</v>
      </c>
      <c r="F111" s="3" t="str">
        <f>VLOOKUP(B111,AE_weight!$U$76:$Y$108,C111+1)</f>
        <v>0022</v>
      </c>
      <c r="G111" s="3" t="str">
        <f>VLOOKUP(B111,AE_weight!$U$112:$Y$144,C111+1)</f>
        <v>2222</v>
      </c>
      <c r="H111" s="3" t="str">
        <f>VLOOKUP(B111,AE_weight!$U$149:$Y$180,C111+1)</f>
        <v>0000</v>
      </c>
      <c r="I111" s="3" t="str">
        <f>VLOOKUP(B111,AE_weight!$U$185:$Y$216,C111+1)</f>
        <v>0000</v>
      </c>
      <c r="J111" s="3" t="str">
        <f>VLOOKUP(B111,AE_weight!$U$221:$Y$252,C111+1)</f>
        <v>0000</v>
      </c>
      <c r="K111" s="3" t="str">
        <f>VLOOKUP(B111,AE_weight!$U$257:$Y$288,C111+1)</f>
        <v>0000</v>
      </c>
      <c r="L111" s="3" t="str">
        <f>VLOOKUP(B111,AE_weight!$U$293:$Y$324,C111+1)</f>
        <v>0000</v>
      </c>
      <c r="M111" s="3" t="str">
        <f>VLOOKUP(B111,AE_weight!$U$329:$Y$360,C111+1)</f>
        <v>3455</v>
      </c>
      <c r="N111" s="3" t="str">
        <f>VLOOKUP(B111,AE_weight!$U$365:$Y$396,C111+1)</f>
        <v>1222</v>
      </c>
      <c r="O111" s="3" t="str">
        <f>VLOOKUP(B111,AE_weight!$U$401:$Y$432,C111+1)</f>
        <v>1122</v>
      </c>
      <c r="P111" s="3" t="str">
        <f>VLOOKUP(B111,AE_weight!$U$437:$Y$468,C111+1)</f>
        <v>2222</v>
      </c>
      <c r="Q111" s="4"/>
      <c r="U111" s="4"/>
    </row>
    <row r="112" spans="1:21">
      <c r="A112" s="1">
        <f t="shared" si="1"/>
        <v>107</v>
      </c>
      <c r="B112" s="1">
        <f>B111</f>
        <v>26</v>
      </c>
      <c r="C112" s="1">
        <v>3</v>
      </c>
      <c r="D112" s="3" t="str">
        <f>VLOOKUP(B112,AE_weight!$U$4:$Y$36,C112+1)</f>
        <v>FFFF</v>
      </c>
      <c r="E112" s="3" t="str">
        <f>VLOOKUP(B112,AE_weight!$U$40:$Y$72,C112+1)</f>
        <v>0000</v>
      </c>
      <c r="F112" s="3" t="str">
        <f>VLOOKUP(B112,AE_weight!$U$76:$Y$108,C112+1)</f>
        <v>2200</v>
      </c>
      <c r="G112" s="3" t="str">
        <f>VLOOKUP(B112,AE_weight!$U$112:$Y$144,C112+1)</f>
        <v>2222</v>
      </c>
      <c r="H112" s="3" t="str">
        <f>VLOOKUP(B112,AE_weight!$U$149:$Y$180,C112+1)</f>
        <v>0000</v>
      </c>
      <c r="I112" s="3" t="str">
        <f>VLOOKUP(B112,AE_weight!$U$185:$Y$216,C112+1)</f>
        <v>0000</v>
      </c>
      <c r="J112" s="3" t="str">
        <f>VLOOKUP(B112,AE_weight!$U$221:$Y$252,C112+1)</f>
        <v>0000</v>
      </c>
      <c r="K112" s="3" t="str">
        <f>VLOOKUP(B112,AE_weight!$U$257:$Y$288,C112+1)</f>
        <v>0000</v>
      </c>
      <c r="L112" s="3" t="str">
        <f>VLOOKUP(B112,AE_weight!$U$293:$Y$324,C112+1)</f>
        <v>0000</v>
      </c>
      <c r="M112" s="3" t="str">
        <f>VLOOKUP(B112,AE_weight!$U$329:$Y$360,C112+1)</f>
        <v>5543</v>
      </c>
      <c r="N112" s="3" t="str">
        <f>VLOOKUP(B112,AE_weight!$U$365:$Y$396,C112+1)</f>
        <v>2222</v>
      </c>
      <c r="O112" s="3" t="str">
        <f>VLOOKUP(B112,AE_weight!$U$401:$Y$432,C112+1)</f>
        <v>2211</v>
      </c>
      <c r="P112" s="3" t="str">
        <f>VLOOKUP(B112,AE_weight!$U$437:$Y$468,C112+1)</f>
        <v>2221</v>
      </c>
      <c r="Q112" s="4"/>
      <c r="U112" s="4"/>
    </row>
    <row r="113" spans="1:21">
      <c r="A113" s="1">
        <f t="shared" si="1"/>
        <v>108</v>
      </c>
      <c r="B113" s="1">
        <f>B112</f>
        <v>26</v>
      </c>
      <c r="C113" s="1">
        <v>4</v>
      </c>
      <c r="D113" s="3" t="str">
        <f>VLOOKUP(B113,AE_weight!$U$4:$Y$36,C113+1)</f>
        <v>FFFF</v>
      </c>
      <c r="E113" s="3" t="str">
        <f>VLOOKUP(B113,AE_weight!$U$40:$Y$72,C113+1)</f>
        <v>0000</v>
      </c>
      <c r="F113" s="3" t="str">
        <f>VLOOKUP(B113,AE_weight!$U$76:$Y$108,C113+1)</f>
        <v>0000</v>
      </c>
      <c r="G113" s="3" t="str">
        <f>VLOOKUP(B113,AE_weight!$U$112:$Y$144,C113+1)</f>
        <v>2222</v>
      </c>
      <c r="H113" s="3" t="str">
        <f>VLOOKUP(B113,AE_weight!$U$149:$Y$180,C113+1)</f>
        <v>0000</v>
      </c>
      <c r="I113" s="3" t="str">
        <f>VLOOKUP(B113,AE_weight!$U$185:$Y$216,C113+1)</f>
        <v>0000</v>
      </c>
      <c r="J113" s="3" t="str">
        <f>VLOOKUP(B113,AE_weight!$U$221:$Y$252,C113+1)</f>
        <v>0000</v>
      </c>
      <c r="K113" s="3" t="str">
        <f>VLOOKUP(B113,AE_weight!$U$257:$Y$288,C113+1)</f>
        <v>0000</v>
      </c>
      <c r="L113" s="3" t="str">
        <f>VLOOKUP(B113,AE_weight!$U$293:$Y$324,C113+1)</f>
        <v>0000</v>
      </c>
      <c r="M113" s="3" t="str">
        <f>VLOOKUP(B113,AE_weight!$U$329:$Y$360,C113+1)</f>
        <v>2110</v>
      </c>
      <c r="N113" s="3" t="str">
        <f>VLOOKUP(B113,AE_weight!$U$365:$Y$396,C113+1)</f>
        <v>2222</v>
      </c>
      <c r="O113" s="3" t="str">
        <f>VLOOKUP(B113,AE_weight!$U$401:$Y$432,C113+1)</f>
        <v>0000</v>
      </c>
      <c r="P113" s="3" t="str">
        <f>VLOOKUP(B113,AE_weight!$U$437:$Y$468,C113+1)</f>
        <v>0000</v>
      </c>
      <c r="Q113" s="4"/>
      <c r="U113" s="4"/>
    </row>
    <row r="114" spans="1:21">
      <c r="A114" s="1">
        <f t="shared" si="1"/>
        <v>109</v>
      </c>
      <c r="B114" s="1">
        <f>B110+1</f>
        <v>27</v>
      </c>
      <c r="C114" s="1">
        <v>1</v>
      </c>
      <c r="D114" s="3" t="str">
        <f>VLOOKUP(B114,AE_weight!$U$4:$Y$36,C114+1)</f>
        <v>FFFF</v>
      </c>
      <c r="E114" s="3" t="str">
        <f>VLOOKUP(B114,AE_weight!$U$40:$Y$72,C114+1)</f>
        <v>0000</v>
      </c>
      <c r="F114" s="3" t="str">
        <f>VLOOKUP(B114,AE_weight!$U$76:$Y$108,C114+1)</f>
        <v>0000</v>
      </c>
      <c r="G114" s="3" t="str">
        <f>VLOOKUP(B114,AE_weight!$U$112:$Y$144,C114+1)</f>
        <v>2222</v>
      </c>
      <c r="H114" s="3" t="str">
        <f>VLOOKUP(B114,AE_weight!$U$149:$Y$180,C114+1)</f>
        <v>0000</v>
      </c>
      <c r="I114" s="3" t="str">
        <f>VLOOKUP(B114,AE_weight!$U$185:$Y$216,C114+1)</f>
        <v>0000</v>
      </c>
      <c r="J114" s="3" t="str">
        <f>VLOOKUP(B114,AE_weight!$U$221:$Y$252,C114+1)</f>
        <v>0000</v>
      </c>
      <c r="K114" s="3" t="str">
        <f>VLOOKUP(B114,AE_weight!$U$257:$Y$288,C114+1)</f>
        <v>0000</v>
      </c>
      <c r="L114" s="3" t="str">
        <f>VLOOKUP(B114,AE_weight!$U$293:$Y$324,C114+1)</f>
        <v>0000</v>
      </c>
      <c r="M114" s="3" t="str">
        <f>VLOOKUP(B114,AE_weight!$U$329:$Y$360,C114+1)</f>
        <v>0112</v>
      </c>
      <c r="N114" s="3" t="str">
        <f>VLOOKUP(B114,AE_weight!$U$365:$Y$396,C114+1)</f>
        <v>0000</v>
      </c>
      <c r="O114" s="3" t="str">
        <f>VLOOKUP(B114,AE_weight!$U$401:$Y$432,C114+1)</f>
        <v>0000</v>
      </c>
      <c r="P114" s="3" t="str">
        <f>VLOOKUP(B114,AE_weight!$U$437:$Y$468,C114+1)</f>
        <v>1112</v>
      </c>
      <c r="Q114" s="4"/>
      <c r="U114" s="4"/>
    </row>
    <row r="115" spans="1:21">
      <c r="A115" s="1">
        <f t="shared" si="1"/>
        <v>110</v>
      </c>
      <c r="B115" s="1">
        <f>B114</f>
        <v>27</v>
      </c>
      <c r="C115" s="1">
        <v>2</v>
      </c>
      <c r="D115" s="3" t="str">
        <f>VLOOKUP(B115,AE_weight!$U$4:$Y$36,C115+1)</f>
        <v>FFFF</v>
      </c>
      <c r="E115" s="3" t="str">
        <f>VLOOKUP(B115,AE_weight!$U$40:$Y$72,C115+1)</f>
        <v>0000</v>
      </c>
      <c r="F115" s="3" t="str">
        <f>VLOOKUP(B115,AE_weight!$U$76:$Y$108,C115+1)</f>
        <v>0022</v>
      </c>
      <c r="G115" s="3" t="str">
        <f>VLOOKUP(B115,AE_weight!$U$112:$Y$144,C115+1)</f>
        <v>2222</v>
      </c>
      <c r="H115" s="3" t="str">
        <f>VLOOKUP(B115,AE_weight!$U$149:$Y$180,C115+1)</f>
        <v>0000</v>
      </c>
      <c r="I115" s="3" t="str">
        <f>VLOOKUP(B115,AE_weight!$U$185:$Y$216,C115+1)</f>
        <v>0000</v>
      </c>
      <c r="J115" s="3" t="str">
        <f>VLOOKUP(B115,AE_weight!$U$221:$Y$252,C115+1)</f>
        <v>0000</v>
      </c>
      <c r="K115" s="3" t="str">
        <f>VLOOKUP(B115,AE_weight!$U$257:$Y$288,C115+1)</f>
        <v>1010</v>
      </c>
      <c r="L115" s="3" t="str">
        <f>VLOOKUP(B115,AE_weight!$U$293:$Y$324,C115+1)</f>
        <v>0010</v>
      </c>
      <c r="M115" s="3" t="str">
        <f>VLOOKUP(B115,AE_weight!$U$329:$Y$360,C115+1)</f>
        <v>3445</v>
      </c>
      <c r="N115" s="3" t="str">
        <f>VLOOKUP(B115,AE_weight!$U$365:$Y$396,C115+1)</f>
        <v>1122</v>
      </c>
      <c r="O115" s="3" t="str">
        <f>VLOOKUP(B115,AE_weight!$U$401:$Y$432,C115+1)</f>
        <v>0111</v>
      </c>
      <c r="P115" s="3" t="str">
        <f>VLOOKUP(B115,AE_weight!$U$437:$Y$468,C115+1)</f>
        <v>2222</v>
      </c>
      <c r="Q115" s="4"/>
      <c r="U115" s="4"/>
    </row>
    <row r="116" spans="1:21">
      <c r="A116" s="1">
        <f t="shared" si="1"/>
        <v>111</v>
      </c>
      <c r="B116" s="1">
        <f>B115</f>
        <v>27</v>
      </c>
      <c r="C116" s="1">
        <v>3</v>
      </c>
      <c r="D116" s="3" t="str">
        <f>VLOOKUP(B116,AE_weight!$U$4:$Y$36,C116+1)</f>
        <v>FFFF</v>
      </c>
      <c r="E116" s="3" t="str">
        <f>VLOOKUP(B116,AE_weight!$U$40:$Y$72,C116+1)</f>
        <v>0000</v>
      </c>
      <c r="F116" s="3" t="str">
        <f>VLOOKUP(B116,AE_weight!$U$76:$Y$108,C116+1)</f>
        <v>2200</v>
      </c>
      <c r="G116" s="3" t="str">
        <f>VLOOKUP(B116,AE_weight!$U$112:$Y$144,C116+1)</f>
        <v>2222</v>
      </c>
      <c r="H116" s="3" t="str">
        <f>VLOOKUP(B116,AE_weight!$U$149:$Y$180,C116+1)</f>
        <v>0000</v>
      </c>
      <c r="I116" s="3" t="str">
        <f>VLOOKUP(B116,AE_weight!$U$185:$Y$216,C116+1)</f>
        <v>0000</v>
      </c>
      <c r="J116" s="3" t="str">
        <f>VLOOKUP(B116,AE_weight!$U$221:$Y$252,C116+1)</f>
        <v>0000</v>
      </c>
      <c r="K116" s="3" t="str">
        <f>VLOOKUP(B116,AE_weight!$U$257:$Y$288,C116+1)</f>
        <v>0101</v>
      </c>
      <c r="L116" s="3" t="str">
        <f>VLOOKUP(B116,AE_weight!$U$293:$Y$324,C116+1)</f>
        <v>0100</v>
      </c>
      <c r="M116" s="3" t="str">
        <f>VLOOKUP(B116,AE_weight!$U$329:$Y$360,C116+1)</f>
        <v>5443</v>
      </c>
      <c r="N116" s="3" t="str">
        <f>VLOOKUP(B116,AE_weight!$U$365:$Y$396,C116+1)</f>
        <v>2222</v>
      </c>
      <c r="O116" s="3" t="str">
        <f>VLOOKUP(B116,AE_weight!$U$401:$Y$432,C116+1)</f>
        <v>1110</v>
      </c>
      <c r="P116" s="3" t="str">
        <f>VLOOKUP(B116,AE_weight!$U$437:$Y$468,C116+1)</f>
        <v>2211</v>
      </c>
      <c r="Q116" s="4"/>
      <c r="U116" s="4"/>
    </row>
    <row r="117" spans="1:21">
      <c r="A117" s="1">
        <f t="shared" si="1"/>
        <v>112</v>
      </c>
      <c r="B117" s="1">
        <f>B116</f>
        <v>27</v>
      </c>
      <c r="C117" s="1">
        <v>4</v>
      </c>
      <c r="D117" s="3" t="str">
        <f>VLOOKUP(B117,AE_weight!$U$4:$Y$36,C117+1)</f>
        <v>FFFF</v>
      </c>
      <c r="E117" s="3" t="str">
        <f>VLOOKUP(B117,AE_weight!$U$40:$Y$72,C117+1)</f>
        <v>0000</v>
      </c>
      <c r="F117" s="3" t="str">
        <f>VLOOKUP(B117,AE_weight!$U$76:$Y$108,C117+1)</f>
        <v>0000</v>
      </c>
      <c r="G117" s="3" t="str">
        <f>VLOOKUP(B117,AE_weight!$U$112:$Y$144,C117+1)</f>
        <v>2222</v>
      </c>
      <c r="H117" s="3" t="str">
        <f>VLOOKUP(B117,AE_weight!$U$149:$Y$180,C117+1)</f>
        <v>0000</v>
      </c>
      <c r="I117" s="3" t="str">
        <f>VLOOKUP(B117,AE_weight!$U$185:$Y$216,C117+1)</f>
        <v>0000</v>
      </c>
      <c r="J117" s="3" t="str">
        <f>VLOOKUP(B117,AE_weight!$U$221:$Y$252,C117+1)</f>
        <v>0000</v>
      </c>
      <c r="K117" s="3" t="str">
        <f>VLOOKUP(B117,AE_weight!$U$257:$Y$288,C117+1)</f>
        <v>0000</v>
      </c>
      <c r="L117" s="3" t="str">
        <f>VLOOKUP(B117,AE_weight!$U$293:$Y$324,C117+1)</f>
        <v>0000</v>
      </c>
      <c r="M117" s="3" t="str">
        <f>VLOOKUP(B117,AE_weight!$U$329:$Y$360,C117+1)</f>
        <v>2110</v>
      </c>
      <c r="N117" s="3" t="str">
        <f>VLOOKUP(B117,AE_weight!$U$365:$Y$396,C117+1)</f>
        <v>2111</v>
      </c>
      <c r="O117" s="3" t="str">
        <f>VLOOKUP(B117,AE_weight!$U$401:$Y$432,C117+1)</f>
        <v>0000</v>
      </c>
      <c r="P117" s="3" t="str">
        <f>VLOOKUP(B117,AE_weight!$U$437:$Y$468,C117+1)</f>
        <v>0000</v>
      </c>
      <c r="Q117" s="4"/>
      <c r="U117" s="4"/>
    </row>
    <row r="118" spans="1:21">
      <c r="A118" s="1">
        <f t="shared" si="1"/>
        <v>113</v>
      </c>
      <c r="B118" s="1">
        <f>B114+1</f>
        <v>28</v>
      </c>
      <c r="C118" s="1">
        <v>1</v>
      </c>
      <c r="D118" s="3" t="str">
        <f>VLOOKUP(B118,AE_weight!$U$4:$Y$36,C118+1)</f>
        <v>FFFF</v>
      </c>
      <c r="E118" s="3" t="str">
        <f>VLOOKUP(B118,AE_weight!$U$40:$Y$72,C118+1)</f>
        <v>0000</v>
      </c>
      <c r="F118" s="3" t="str">
        <f>VLOOKUP(B118,AE_weight!$U$76:$Y$108,C118+1)</f>
        <v>0000</v>
      </c>
      <c r="G118" s="3" t="str">
        <f>VLOOKUP(B118,AE_weight!$U$112:$Y$144,C118+1)</f>
        <v>2222</v>
      </c>
      <c r="H118" s="3" t="str">
        <f>VLOOKUP(B118,AE_weight!$U$149:$Y$180,C118+1)</f>
        <v>0000</v>
      </c>
      <c r="I118" s="3" t="str">
        <f>VLOOKUP(B118,AE_weight!$U$185:$Y$216,C118+1)</f>
        <v>0000</v>
      </c>
      <c r="J118" s="3" t="str">
        <f>VLOOKUP(B118,AE_weight!$U$221:$Y$252,C118+1)</f>
        <v>0000</v>
      </c>
      <c r="K118" s="3" t="str">
        <f>VLOOKUP(B118,AE_weight!$U$257:$Y$288,C118+1)</f>
        <v>0000</v>
      </c>
      <c r="L118" s="3" t="str">
        <f>VLOOKUP(B118,AE_weight!$U$293:$Y$324,C118+1)</f>
        <v>0000</v>
      </c>
      <c r="M118" s="3" t="str">
        <f>VLOOKUP(B118,AE_weight!$U$329:$Y$360,C118+1)</f>
        <v>0112</v>
      </c>
      <c r="N118" s="3" t="str">
        <f>VLOOKUP(B118,AE_weight!$U$365:$Y$396,C118+1)</f>
        <v>0000</v>
      </c>
      <c r="O118" s="3" t="str">
        <f>VLOOKUP(B118,AE_weight!$U$401:$Y$432,C118+1)</f>
        <v>0000</v>
      </c>
      <c r="P118" s="3" t="str">
        <f>VLOOKUP(B118,AE_weight!$U$437:$Y$468,C118+1)</f>
        <v>1111</v>
      </c>
      <c r="Q118" s="4"/>
      <c r="U118" s="4"/>
    </row>
    <row r="119" spans="1:21">
      <c r="A119" s="1">
        <f t="shared" si="1"/>
        <v>114</v>
      </c>
      <c r="B119" s="1">
        <f>B118</f>
        <v>28</v>
      </c>
      <c r="C119" s="1">
        <v>2</v>
      </c>
      <c r="D119" s="3" t="str">
        <f>VLOOKUP(B119,AE_weight!$U$4:$Y$36,C119+1)</f>
        <v>FFFF</v>
      </c>
      <c r="E119" s="3" t="str">
        <f>VLOOKUP(B119,AE_weight!$U$40:$Y$72,C119+1)</f>
        <v>0000</v>
      </c>
      <c r="F119" s="3" t="str">
        <f>VLOOKUP(B119,AE_weight!$U$76:$Y$108,C119+1)</f>
        <v>0000</v>
      </c>
      <c r="G119" s="3" t="str">
        <f>VLOOKUP(B119,AE_weight!$U$112:$Y$144,C119+1)</f>
        <v>2222</v>
      </c>
      <c r="H119" s="3" t="str">
        <f>VLOOKUP(B119,AE_weight!$U$149:$Y$180,C119+1)</f>
        <v>0000</v>
      </c>
      <c r="I119" s="3" t="str">
        <f>VLOOKUP(B119,AE_weight!$U$185:$Y$216,C119+1)</f>
        <v>0000</v>
      </c>
      <c r="J119" s="3" t="str">
        <f>VLOOKUP(B119,AE_weight!$U$221:$Y$252,C119+1)</f>
        <v>0000</v>
      </c>
      <c r="K119" s="3" t="str">
        <f>VLOOKUP(B119,AE_weight!$U$257:$Y$288,C119+1)</f>
        <v>0000</v>
      </c>
      <c r="L119" s="3" t="str">
        <f>VLOOKUP(B119,AE_weight!$U$293:$Y$324,C119+1)</f>
        <v>0000</v>
      </c>
      <c r="M119" s="3" t="str">
        <f>VLOOKUP(B119,AE_weight!$U$329:$Y$360,C119+1)</f>
        <v>3444</v>
      </c>
      <c r="N119" s="3" t="str">
        <f>VLOOKUP(B119,AE_weight!$U$365:$Y$396,C119+1)</f>
        <v>0111</v>
      </c>
      <c r="O119" s="3" t="str">
        <f>VLOOKUP(B119,AE_weight!$U$401:$Y$432,C119+1)</f>
        <v>0011</v>
      </c>
      <c r="P119" s="3" t="str">
        <f>VLOOKUP(B119,AE_weight!$U$437:$Y$468,C119+1)</f>
        <v>1111</v>
      </c>
      <c r="Q119" s="4"/>
      <c r="U119" s="4"/>
    </row>
    <row r="120" spans="1:21">
      <c r="A120" s="1">
        <f t="shared" si="1"/>
        <v>115</v>
      </c>
      <c r="B120" s="1">
        <f>B119</f>
        <v>28</v>
      </c>
      <c r="C120" s="1">
        <v>3</v>
      </c>
      <c r="D120" s="3" t="str">
        <f>VLOOKUP(B120,AE_weight!$U$4:$Y$36,C120+1)</f>
        <v>FFFF</v>
      </c>
      <c r="E120" s="3" t="str">
        <f>VLOOKUP(B120,AE_weight!$U$40:$Y$72,C120+1)</f>
        <v>0000</v>
      </c>
      <c r="F120" s="3" t="str">
        <f>VLOOKUP(B120,AE_weight!$U$76:$Y$108,C120+1)</f>
        <v>0000</v>
      </c>
      <c r="G120" s="3" t="str">
        <f>VLOOKUP(B120,AE_weight!$U$112:$Y$144,C120+1)</f>
        <v>2222</v>
      </c>
      <c r="H120" s="3" t="str">
        <f>VLOOKUP(B120,AE_weight!$U$149:$Y$180,C120+1)</f>
        <v>0000</v>
      </c>
      <c r="I120" s="3" t="str">
        <f>VLOOKUP(B120,AE_weight!$U$185:$Y$216,C120+1)</f>
        <v>0000</v>
      </c>
      <c r="J120" s="3" t="str">
        <f>VLOOKUP(B120,AE_weight!$U$221:$Y$252,C120+1)</f>
        <v>0000</v>
      </c>
      <c r="K120" s="3" t="str">
        <f>VLOOKUP(B120,AE_weight!$U$257:$Y$288,C120+1)</f>
        <v>0000</v>
      </c>
      <c r="L120" s="3" t="str">
        <f>VLOOKUP(B120,AE_weight!$U$293:$Y$324,C120+1)</f>
        <v>0000</v>
      </c>
      <c r="M120" s="3" t="str">
        <f>VLOOKUP(B120,AE_weight!$U$329:$Y$360,C120+1)</f>
        <v>4443</v>
      </c>
      <c r="N120" s="3" t="str">
        <f>VLOOKUP(B120,AE_weight!$U$365:$Y$396,C120+1)</f>
        <v>1111</v>
      </c>
      <c r="O120" s="3" t="str">
        <f>VLOOKUP(B120,AE_weight!$U$401:$Y$432,C120+1)</f>
        <v>1100</v>
      </c>
      <c r="P120" s="3" t="str">
        <f>VLOOKUP(B120,AE_weight!$U$437:$Y$468,C120+1)</f>
        <v>1110</v>
      </c>
      <c r="Q120" s="4"/>
      <c r="U120" s="4"/>
    </row>
    <row r="121" spans="1:21">
      <c r="A121" s="1">
        <f t="shared" si="1"/>
        <v>116</v>
      </c>
      <c r="B121" s="1">
        <f>B120</f>
        <v>28</v>
      </c>
      <c r="C121" s="1">
        <v>4</v>
      </c>
      <c r="D121" s="3" t="str">
        <f>VLOOKUP(B121,AE_weight!$U$4:$Y$36,C121+1)</f>
        <v>FFFF</v>
      </c>
      <c r="E121" s="3" t="str">
        <f>VLOOKUP(B121,AE_weight!$U$40:$Y$72,C121+1)</f>
        <v>0000</v>
      </c>
      <c r="F121" s="3" t="str">
        <f>VLOOKUP(B121,AE_weight!$U$76:$Y$108,C121+1)</f>
        <v>0000</v>
      </c>
      <c r="G121" s="3" t="str">
        <f>VLOOKUP(B121,AE_weight!$U$112:$Y$144,C121+1)</f>
        <v>2222</v>
      </c>
      <c r="H121" s="3" t="str">
        <f>VLOOKUP(B121,AE_weight!$U$149:$Y$180,C121+1)</f>
        <v>0000</v>
      </c>
      <c r="I121" s="3" t="str">
        <f>VLOOKUP(B121,AE_weight!$U$185:$Y$216,C121+1)</f>
        <v>0000</v>
      </c>
      <c r="J121" s="3" t="str">
        <f>VLOOKUP(B121,AE_weight!$U$221:$Y$252,C121+1)</f>
        <v>0000</v>
      </c>
      <c r="K121" s="3" t="str">
        <f>VLOOKUP(B121,AE_weight!$U$257:$Y$288,C121+1)</f>
        <v>0000</v>
      </c>
      <c r="L121" s="3" t="str">
        <f>VLOOKUP(B121,AE_weight!$U$293:$Y$324,C121+1)</f>
        <v>0000</v>
      </c>
      <c r="M121" s="3" t="str">
        <f>VLOOKUP(B121,AE_weight!$U$329:$Y$360,C121+1)</f>
        <v>2110</v>
      </c>
      <c r="N121" s="3" t="str">
        <f>VLOOKUP(B121,AE_weight!$U$365:$Y$396,C121+1)</f>
        <v>1111</v>
      </c>
      <c r="O121" s="3" t="str">
        <f>VLOOKUP(B121,AE_weight!$U$401:$Y$432,C121+1)</f>
        <v>0000</v>
      </c>
      <c r="P121" s="3" t="str">
        <f>VLOOKUP(B121,AE_weight!$U$437:$Y$468,C121+1)</f>
        <v>0000</v>
      </c>
      <c r="Q121" s="4"/>
      <c r="U121" s="4"/>
    </row>
    <row r="122" spans="1:21">
      <c r="A122" s="1">
        <f t="shared" si="1"/>
        <v>117</v>
      </c>
      <c r="B122" s="1">
        <f>B118+1</f>
        <v>29</v>
      </c>
      <c r="C122" s="1">
        <v>1</v>
      </c>
      <c r="D122" s="3" t="str">
        <f>VLOOKUP(B122,AE_weight!$U$4:$Y$36,C122+1)</f>
        <v>FFFF</v>
      </c>
      <c r="E122" s="3" t="str">
        <f>VLOOKUP(B122,AE_weight!$U$40:$Y$72,C122+1)</f>
        <v>0000</v>
      </c>
      <c r="F122" s="3" t="str">
        <f>VLOOKUP(B122,AE_weight!$U$76:$Y$108,C122+1)</f>
        <v>0000</v>
      </c>
      <c r="G122" s="3" t="str">
        <f>VLOOKUP(B122,AE_weight!$U$112:$Y$144,C122+1)</f>
        <v>2222</v>
      </c>
      <c r="H122" s="3" t="str">
        <f>VLOOKUP(B122,AE_weight!$U$149:$Y$180,C122+1)</f>
        <v>0000</v>
      </c>
      <c r="I122" s="3" t="str">
        <f>VLOOKUP(B122,AE_weight!$U$185:$Y$216,C122+1)</f>
        <v>0000</v>
      </c>
      <c r="J122" s="3" t="str">
        <f>VLOOKUP(B122,AE_weight!$U$221:$Y$252,C122+1)</f>
        <v>0000</v>
      </c>
      <c r="K122" s="3" t="str">
        <f>VLOOKUP(B122,AE_weight!$U$257:$Y$288,C122+1)</f>
        <v>0001</v>
      </c>
      <c r="L122" s="3" t="str">
        <f>VLOOKUP(B122,AE_weight!$U$293:$Y$324,C122+1)</f>
        <v>0000</v>
      </c>
      <c r="M122" s="3" t="str">
        <f>VLOOKUP(B122,AE_weight!$U$329:$Y$360,C122+1)</f>
        <v>0112</v>
      </c>
      <c r="N122" s="3" t="str">
        <f>VLOOKUP(B122,AE_weight!$U$365:$Y$396,C122+1)</f>
        <v>0000</v>
      </c>
      <c r="O122" s="3" t="str">
        <f>VLOOKUP(B122,AE_weight!$U$401:$Y$432,C122+1)</f>
        <v>0000</v>
      </c>
      <c r="P122" s="3" t="str">
        <f>VLOOKUP(B122,AE_weight!$U$437:$Y$468,C122+1)</f>
        <v>1111</v>
      </c>
      <c r="Q122" s="4"/>
      <c r="U122" s="4"/>
    </row>
    <row r="123" spans="1:21">
      <c r="A123" s="1">
        <f t="shared" si="1"/>
        <v>118</v>
      </c>
      <c r="B123" s="1">
        <f>B122</f>
        <v>29</v>
      </c>
      <c r="C123" s="1">
        <v>2</v>
      </c>
      <c r="D123" s="3" t="str">
        <f>VLOOKUP(B123,AE_weight!$U$4:$Y$36,C123+1)</f>
        <v>FFFF</v>
      </c>
      <c r="E123" s="3" t="str">
        <f>VLOOKUP(B123,AE_weight!$U$40:$Y$72,C123+1)</f>
        <v>0000</v>
      </c>
      <c r="F123" s="3" t="str">
        <f>VLOOKUP(B123,AE_weight!$U$76:$Y$108,C123+1)</f>
        <v>0000</v>
      </c>
      <c r="G123" s="3" t="str">
        <f>VLOOKUP(B123,AE_weight!$U$112:$Y$144,C123+1)</f>
        <v>2222</v>
      </c>
      <c r="H123" s="3" t="str">
        <f>VLOOKUP(B123,AE_weight!$U$149:$Y$180,C123+1)</f>
        <v>0000</v>
      </c>
      <c r="I123" s="3" t="str">
        <f>VLOOKUP(B123,AE_weight!$U$185:$Y$216,C123+1)</f>
        <v>0000</v>
      </c>
      <c r="J123" s="3" t="str">
        <f>VLOOKUP(B123,AE_weight!$U$221:$Y$252,C123+1)</f>
        <v>0000</v>
      </c>
      <c r="K123" s="3" t="str">
        <f>VLOOKUP(B123,AE_weight!$U$257:$Y$288,C123+1)</f>
        <v>0101</v>
      </c>
      <c r="L123" s="3" t="str">
        <f>VLOOKUP(B123,AE_weight!$U$293:$Y$324,C123+1)</f>
        <v>0000</v>
      </c>
      <c r="M123" s="3" t="str">
        <f>VLOOKUP(B123,AE_weight!$U$329:$Y$360,C123+1)</f>
        <v>3344</v>
      </c>
      <c r="N123" s="3" t="str">
        <f>VLOOKUP(B123,AE_weight!$U$365:$Y$396,C123+1)</f>
        <v>0011</v>
      </c>
      <c r="O123" s="3" t="str">
        <f>VLOOKUP(B123,AE_weight!$U$401:$Y$432,C123+1)</f>
        <v>0000</v>
      </c>
      <c r="P123" s="3" t="str">
        <f>VLOOKUP(B123,AE_weight!$U$437:$Y$468,C123+1)</f>
        <v>1111</v>
      </c>
      <c r="Q123" s="4"/>
      <c r="U123" s="4"/>
    </row>
    <row r="124" spans="1:21">
      <c r="A124" s="1">
        <f t="shared" si="1"/>
        <v>119</v>
      </c>
      <c r="B124" s="1">
        <f>B123</f>
        <v>29</v>
      </c>
      <c r="C124" s="1">
        <v>3</v>
      </c>
      <c r="D124" s="3" t="str">
        <f>VLOOKUP(B124,AE_weight!$U$4:$Y$36,C124+1)</f>
        <v>FFFF</v>
      </c>
      <c r="E124" s="3" t="str">
        <f>VLOOKUP(B124,AE_weight!$U$40:$Y$72,C124+1)</f>
        <v>0000</v>
      </c>
      <c r="F124" s="3" t="str">
        <f>VLOOKUP(B124,AE_weight!$U$76:$Y$108,C124+1)</f>
        <v>0000</v>
      </c>
      <c r="G124" s="3" t="str">
        <f>VLOOKUP(B124,AE_weight!$U$112:$Y$144,C124+1)</f>
        <v>2222</v>
      </c>
      <c r="H124" s="3" t="str">
        <f>VLOOKUP(B124,AE_weight!$U$149:$Y$180,C124+1)</f>
        <v>0000</v>
      </c>
      <c r="I124" s="3" t="str">
        <f>VLOOKUP(B124,AE_weight!$U$185:$Y$216,C124+1)</f>
        <v>0000</v>
      </c>
      <c r="J124" s="3" t="str">
        <f>VLOOKUP(B124,AE_weight!$U$221:$Y$252,C124+1)</f>
        <v>0000</v>
      </c>
      <c r="K124" s="3" t="str">
        <f>VLOOKUP(B124,AE_weight!$U$257:$Y$288,C124+1)</f>
        <v>1010</v>
      </c>
      <c r="L124" s="3" t="str">
        <f>VLOOKUP(B124,AE_weight!$U$293:$Y$324,C124+1)</f>
        <v>0000</v>
      </c>
      <c r="M124" s="3" t="str">
        <f>VLOOKUP(B124,AE_weight!$U$329:$Y$360,C124+1)</f>
        <v>4433</v>
      </c>
      <c r="N124" s="3" t="str">
        <f>VLOOKUP(B124,AE_weight!$U$365:$Y$396,C124+1)</f>
        <v>1111</v>
      </c>
      <c r="O124" s="3" t="str">
        <f>VLOOKUP(B124,AE_weight!$U$401:$Y$432,C124+1)</f>
        <v>0000</v>
      </c>
      <c r="P124" s="3" t="str">
        <f>VLOOKUP(B124,AE_weight!$U$437:$Y$468,C124+1)</f>
        <v>1100</v>
      </c>
    </row>
    <row r="125" spans="1:21">
      <c r="A125" s="1">
        <f t="shared" si="1"/>
        <v>120</v>
      </c>
      <c r="B125" s="1">
        <f>B124</f>
        <v>29</v>
      </c>
      <c r="C125" s="1">
        <v>4</v>
      </c>
      <c r="D125" s="3" t="str">
        <f>VLOOKUP(B125,AE_weight!$U$4:$Y$36,C125+1)</f>
        <v>FFFF</v>
      </c>
      <c r="E125" s="3" t="str">
        <f>VLOOKUP(B125,AE_weight!$U$40:$Y$72,C125+1)</f>
        <v>0000</v>
      </c>
      <c r="F125" s="3" t="str">
        <f>VLOOKUP(B125,AE_weight!$U$76:$Y$108,C125+1)</f>
        <v>0000</v>
      </c>
      <c r="G125" s="3" t="str">
        <f>VLOOKUP(B125,AE_weight!$U$112:$Y$144,C125+1)</f>
        <v>2222</v>
      </c>
      <c r="H125" s="3" t="str">
        <f>VLOOKUP(B125,AE_weight!$U$149:$Y$180,C125+1)</f>
        <v>0000</v>
      </c>
      <c r="I125" s="3" t="str">
        <f>VLOOKUP(B125,AE_weight!$U$185:$Y$216,C125+1)</f>
        <v>0000</v>
      </c>
      <c r="J125" s="3" t="str">
        <f>VLOOKUP(B125,AE_weight!$U$221:$Y$252,C125+1)</f>
        <v>0000</v>
      </c>
      <c r="K125" s="3" t="str">
        <f>VLOOKUP(B125,AE_weight!$U$257:$Y$288,C125+1)</f>
        <v>1000</v>
      </c>
      <c r="L125" s="3" t="str">
        <f>VLOOKUP(B125,AE_weight!$U$293:$Y$324,C125+1)</f>
        <v>0000</v>
      </c>
      <c r="M125" s="3" t="str">
        <f>VLOOKUP(B125,AE_weight!$U$329:$Y$360,C125+1)</f>
        <v>2110</v>
      </c>
      <c r="N125" s="3" t="str">
        <f>VLOOKUP(B125,AE_weight!$U$365:$Y$396,C125+1)</f>
        <v>1111</v>
      </c>
      <c r="O125" s="3" t="str">
        <f>VLOOKUP(B125,AE_weight!$U$401:$Y$432,C125+1)</f>
        <v>0000</v>
      </c>
      <c r="P125" s="3" t="str">
        <f>VLOOKUP(B125,AE_weight!$U$437:$Y$468,C125+1)</f>
        <v>0000</v>
      </c>
    </row>
    <row r="126" spans="1:21">
      <c r="A126" s="1">
        <f t="shared" si="1"/>
        <v>121</v>
      </c>
      <c r="B126" s="1">
        <f>B122+1</f>
        <v>30</v>
      </c>
      <c r="C126" s="1">
        <v>1</v>
      </c>
      <c r="D126" s="3" t="str">
        <f>VLOOKUP(B126,AE_weight!$U$4:$Y$36,C126+1)</f>
        <v>FFFF</v>
      </c>
      <c r="E126" s="3" t="str">
        <f>VLOOKUP(B126,AE_weight!$U$40:$Y$72,C126+1)</f>
        <v>0000</v>
      </c>
      <c r="F126" s="3" t="str">
        <f>VLOOKUP(B126,AE_weight!$U$76:$Y$108,C126+1)</f>
        <v>0000</v>
      </c>
      <c r="G126" s="3" t="str">
        <f>VLOOKUP(B126,AE_weight!$U$112:$Y$144,C126+1)</f>
        <v>2222</v>
      </c>
      <c r="H126" s="3" t="str">
        <f>VLOOKUP(B126,AE_weight!$U$149:$Y$180,C126+1)</f>
        <v>0000</v>
      </c>
      <c r="I126" s="3" t="str">
        <f>VLOOKUP(B126,AE_weight!$U$185:$Y$216,C126+1)</f>
        <v>0000</v>
      </c>
      <c r="J126" s="3" t="str">
        <f>VLOOKUP(B126,AE_weight!$U$221:$Y$252,C126+1)</f>
        <v>0000</v>
      </c>
      <c r="K126" s="3" t="str">
        <f>VLOOKUP(B126,AE_weight!$U$257:$Y$288,C126+1)</f>
        <v>0000</v>
      </c>
      <c r="L126" s="3" t="str">
        <f>VLOOKUP(B126,AE_weight!$U$293:$Y$324,C126+1)</f>
        <v>0000</v>
      </c>
      <c r="M126" s="3" t="str">
        <f>VLOOKUP(B126,AE_weight!$U$329:$Y$360,C126+1)</f>
        <v>0112</v>
      </c>
      <c r="N126" s="3" t="str">
        <f>VLOOKUP(B126,AE_weight!$U$365:$Y$396,C126+1)</f>
        <v>0000</v>
      </c>
      <c r="O126" s="3" t="str">
        <f>VLOOKUP(B126,AE_weight!$U$401:$Y$432,C126+1)</f>
        <v>0000</v>
      </c>
      <c r="P126" s="3" t="str">
        <f>VLOOKUP(B126,AE_weight!$U$437:$Y$468,C126+1)</f>
        <v>0000</v>
      </c>
    </row>
    <row r="127" spans="1:21">
      <c r="A127" s="1">
        <f t="shared" si="1"/>
        <v>122</v>
      </c>
      <c r="B127" s="1">
        <f>B126</f>
        <v>30</v>
      </c>
      <c r="C127" s="1">
        <v>2</v>
      </c>
      <c r="D127" s="3" t="str">
        <f>VLOOKUP(B127,AE_weight!$U$4:$Y$36,C127+1)</f>
        <v>FFFF</v>
      </c>
      <c r="E127" s="3" t="str">
        <f>VLOOKUP(B127,AE_weight!$U$40:$Y$72,C127+1)</f>
        <v>0000</v>
      </c>
      <c r="F127" s="3" t="str">
        <f>VLOOKUP(B127,AE_weight!$U$76:$Y$108,C127+1)</f>
        <v>0000</v>
      </c>
      <c r="G127" s="3" t="str">
        <f>VLOOKUP(B127,AE_weight!$U$112:$Y$144,C127+1)</f>
        <v>2222</v>
      </c>
      <c r="H127" s="3" t="str">
        <f>VLOOKUP(B127,AE_weight!$U$149:$Y$180,C127+1)</f>
        <v>0000</v>
      </c>
      <c r="I127" s="3" t="str">
        <f>VLOOKUP(B127,AE_weight!$U$185:$Y$216,C127+1)</f>
        <v>0000</v>
      </c>
      <c r="J127" s="3" t="str">
        <f>VLOOKUP(B127,AE_weight!$U$221:$Y$252,C127+1)</f>
        <v>0000</v>
      </c>
      <c r="K127" s="3" t="str">
        <f>VLOOKUP(B127,AE_weight!$U$257:$Y$288,C127+1)</f>
        <v>0000</v>
      </c>
      <c r="L127" s="3" t="str">
        <f>VLOOKUP(B127,AE_weight!$U$293:$Y$324,C127+1)</f>
        <v>0000</v>
      </c>
      <c r="M127" s="3" t="str">
        <f>VLOOKUP(B127,AE_weight!$U$329:$Y$360,C127+1)</f>
        <v>3344</v>
      </c>
      <c r="N127" s="3" t="str">
        <f>VLOOKUP(B127,AE_weight!$U$365:$Y$396,C127+1)</f>
        <v>0000</v>
      </c>
      <c r="O127" s="3" t="str">
        <f>VLOOKUP(B127,AE_weight!$U$401:$Y$432,C127+1)</f>
        <v>0000</v>
      </c>
      <c r="P127" s="3" t="str">
        <f>VLOOKUP(B127,AE_weight!$U$437:$Y$468,C127+1)</f>
        <v>0000</v>
      </c>
    </row>
    <row r="128" spans="1:21">
      <c r="A128" s="1">
        <f t="shared" si="1"/>
        <v>123</v>
      </c>
      <c r="B128" s="1">
        <f>B127</f>
        <v>30</v>
      </c>
      <c r="C128" s="1">
        <v>3</v>
      </c>
      <c r="D128" s="3" t="str">
        <f>VLOOKUP(B128,AE_weight!$U$4:$Y$36,C128+1)</f>
        <v>FFFF</v>
      </c>
      <c r="E128" s="3" t="str">
        <f>VLOOKUP(B128,AE_weight!$U$40:$Y$72,C128+1)</f>
        <v>0000</v>
      </c>
      <c r="F128" s="3" t="str">
        <f>VLOOKUP(B128,AE_weight!$U$76:$Y$108,C128+1)</f>
        <v>0000</v>
      </c>
      <c r="G128" s="3" t="str">
        <f>VLOOKUP(B128,AE_weight!$U$112:$Y$144,C128+1)</f>
        <v>2222</v>
      </c>
      <c r="H128" s="3" t="str">
        <f>VLOOKUP(B128,AE_weight!$U$149:$Y$180,C128+1)</f>
        <v>0000</v>
      </c>
      <c r="I128" s="3" t="str">
        <f>VLOOKUP(B128,AE_weight!$U$185:$Y$216,C128+1)</f>
        <v>0000</v>
      </c>
      <c r="J128" s="3" t="str">
        <f>VLOOKUP(B128,AE_weight!$U$221:$Y$252,C128+1)</f>
        <v>0000</v>
      </c>
      <c r="K128" s="3" t="str">
        <f>VLOOKUP(B128,AE_weight!$U$257:$Y$288,C128+1)</f>
        <v>0000</v>
      </c>
      <c r="L128" s="3" t="str">
        <f>VLOOKUP(B128,AE_weight!$U$293:$Y$324,C128+1)</f>
        <v>0000</v>
      </c>
      <c r="M128" s="3" t="str">
        <f>VLOOKUP(B128,AE_weight!$U$329:$Y$360,C128+1)</f>
        <v>4433</v>
      </c>
      <c r="N128" s="3" t="str">
        <f>VLOOKUP(B128,AE_weight!$U$365:$Y$396,C128+1)</f>
        <v>0000</v>
      </c>
      <c r="O128" s="3" t="str">
        <f>VLOOKUP(B128,AE_weight!$U$401:$Y$432,C128+1)</f>
        <v>0000</v>
      </c>
      <c r="P128" s="3" t="str">
        <f>VLOOKUP(B128,AE_weight!$U$437:$Y$468,C128+1)</f>
        <v>0000</v>
      </c>
    </row>
    <row r="129" spans="1:21">
      <c r="A129" s="1">
        <f t="shared" si="1"/>
        <v>124</v>
      </c>
      <c r="B129" s="1">
        <f>B128</f>
        <v>30</v>
      </c>
      <c r="C129" s="1">
        <v>4</v>
      </c>
      <c r="D129" s="3" t="str">
        <f>VLOOKUP(B129,AE_weight!$U$4:$Y$36,C129+1)</f>
        <v>FFFF</v>
      </c>
      <c r="E129" s="3" t="str">
        <f>VLOOKUP(B129,AE_weight!$U$40:$Y$72,C129+1)</f>
        <v>0000</v>
      </c>
      <c r="F129" s="3" t="str">
        <f>VLOOKUP(B129,AE_weight!$U$76:$Y$108,C129+1)</f>
        <v>0000</v>
      </c>
      <c r="G129" s="3" t="str">
        <f>VLOOKUP(B129,AE_weight!$U$112:$Y$144,C129+1)</f>
        <v>2222</v>
      </c>
      <c r="H129" s="3" t="str">
        <f>VLOOKUP(B129,AE_weight!$U$149:$Y$180,C129+1)</f>
        <v>0000</v>
      </c>
      <c r="I129" s="3" t="str">
        <f>VLOOKUP(B129,AE_weight!$U$185:$Y$216,C129+1)</f>
        <v>0000</v>
      </c>
      <c r="J129" s="3" t="str">
        <f>VLOOKUP(B129,AE_weight!$U$221:$Y$252,C129+1)</f>
        <v>0000</v>
      </c>
      <c r="K129" s="3" t="str">
        <f>VLOOKUP(B129,AE_weight!$U$257:$Y$288,C129+1)</f>
        <v>0000</v>
      </c>
      <c r="L129" s="3" t="str">
        <f>VLOOKUP(B129,AE_weight!$U$293:$Y$324,C129+1)</f>
        <v>0000</v>
      </c>
      <c r="M129" s="3" t="str">
        <f>VLOOKUP(B129,AE_weight!$U$329:$Y$360,C129+1)</f>
        <v>2110</v>
      </c>
      <c r="N129" s="3" t="str">
        <f>VLOOKUP(B129,AE_weight!$U$365:$Y$396,C129+1)</f>
        <v>0000</v>
      </c>
      <c r="O129" s="3" t="str">
        <f>VLOOKUP(B129,AE_weight!$U$401:$Y$432,C129+1)</f>
        <v>0000</v>
      </c>
      <c r="P129" s="3" t="str">
        <f>VLOOKUP(B129,AE_weight!$U$437:$Y$468,C129+1)</f>
        <v>0000</v>
      </c>
      <c r="Q129" s="4"/>
      <c r="U129" s="4"/>
    </row>
    <row r="130" spans="1:21">
      <c r="A130" s="1">
        <f t="shared" si="1"/>
        <v>125</v>
      </c>
      <c r="B130" s="1">
        <f>B126+1</f>
        <v>31</v>
      </c>
      <c r="C130" s="1">
        <v>1</v>
      </c>
      <c r="D130" s="3" t="str">
        <f>VLOOKUP(B130,AE_weight!$U$4:$Y$36,C130+1)</f>
        <v>FFFF</v>
      </c>
      <c r="E130" s="3" t="str">
        <f>VLOOKUP(B130,AE_weight!$U$40:$Y$72,C130+1)</f>
        <v>0000</v>
      </c>
      <c r="F130" s="3" t="str">
        <f>VLOOKUP(B130,AE_weight!$U$76:$Y$108,C130+1)</f>
        <v>0000</v>
      </c>
      <c r="G130" s="3" t="str">
        <f>VLOOKUP(B130,AE_weight!$U$112:$Y$144,C130+1)</f>
        <v>2222</v>
      </c>
      <c r="H130" s="3" t="str">
        <f>VLOOKUP(B130,AE_weight!$U$149:$Y$180,C130+1)</f>
        <v>0000</v>
      </c>
      <c r="I130" s="3" t="str">
        <f>VLOOKUP(B130,AE_weight!$U$185:$Y$216,C130+1)</f>
        <v>0000</v>
      </c>
      <c r="J130" s="3" t="str">
        <f>VLOOKUP(B130,AE_weight!$U$221:$Y$252,C130+1)</f>
        <v>0000</v>
      </c>
      <c r="K130" s="3" t="str">
        <f>VLOOKUP(B130,AE_weight!$U$257:$Y$288,C130+1)</f>
        <v>0000</v>
      </c>
      <c r="L130" s="3" t="str">
        <f>VLOOKUP(B130,AE_weight!$U$293:$Y$324,C130+1)</f>
        <v>0000</v>
      </c>
      <c r="M130" s="3" t="str">
        <f>VLOOKUP(B130,AE_weight!$U$329:$Y$360,C130+1)</f>
        <v>0112</v>
      </c>
      <c r="N130" s="3" t="str">
        <f>VLOOKUP(B130,AE_weight!$U$365:$Y$396,C130+1)</f>
        <v>0000</v>
      </c>
      <c r="O130" s="3" t="str">
        <f>VLOOKUP(B130,AE_weight!$U$401:$Y$432,C130+1)</f>
        <v>0000</v>
      </c>
      <c r="P130" s="3" t="str">
        <f>VLOOKUP(B130,AE_weight!$U$437:$Y$468,C130+1)</f>
        <v>0000</v>
      </c>
      <c r="Q130" s="4"/>
      <c r="U130" s="4"/>
    </row>
    <row r="131" spans="1:21">
      <c r="A131" s="1">
        <f t="shared" si="1"/>
        <v>126</v>
      </c>
      <c r="B131" s="1">
        <f>B130</f>
        <v>31</v>
      </c>
      <c r="C131" s="1">
        <v>2</v>
      </c>
      <c r="D131" s="3" t="str">
        <f>VLOOKUP(B131,AE_weight!$U$4:$Y$36,C131+1)</f>
        <v>FFFF</v>
      </c>
      <c r="E131" s="3" t="str">
        <f>VLOOKUP(B131,AE_weight!$U$40:$Y$72,C131+1)</f>
        <v>0000</v>
      </c>
      <c r="F131" s="3" t="str">
        <f>VLOOKUP(B131,AE_weight!$U$76:$Y$108,C131+1)</f>
        <v>0000</v>
      </c>
      <c r="G131" s="3" t="str">
        <f>VLOOKUP(B131,AE_weight!$U$112:$Y$144,C131+1)</f>
        <v>2222</v>
      </c>
      <c r="H131" s="3" t="str">
        <f>VLOOKUP(B131,AE_weight!$U$149:$Y$180,C131+1)</f>
        <v>0000</v>
      </c>
      <c r="I131" s="3" t="str">
        <f>VLOOKUP(B131,AE_weight!$U$185:$Y$216,C131+1)</f>
        <v>0000</v>
      </c>
      <c r="J131" s="3" t="str">
        <f>VLOOKUP(B131,AE_weight!$U$221:$Y$252,C131+1)</f>
        <v>0000</v>
      </c>
      <c r="K131" s="3" t="str">
        <f>VLOOKUP(B131,AE_weight!$U$257:$Y$288,C131+1)</f>
        <v>1010</v>
      </c>
      <c r="L131" s="3" t="str">
        <f>VLOOKUP(B131,AE_weight!$U$293:$Y$324,C131+1)</f>
        <v>0000</v>
      </c>
      <c r="M131" s="3" t="str">
        <f>VLOOKUP(B131,AE_weight!$U$329:$Y$360,C131+1)</f>
        <v>3334</v>
      </c>
      <c r="N131" s="3" t="str">
        <f>VLOOKUP(B131,AE_weight!$U$365:$Y$396,C131+1)</f>
        <v>0000</v>
      </c>
      <c r="O131" s="3" t="str">
        <f>VLOOKUP(B131,AE_weight!$U$401:$Y$432,C131+1)</f>
        <v>0000</v>
      </c>
      <c r="P131" s="3" t="str">
        <f>VLOOKUP(B131,AE_weight!$U$437:$Y$468,C131+1)</f>
        <v>0000</v>
      </c>
      <c r="Q131" s="4"/>
      <c r="U131" s="4"/>
    </row>
    <row r="132" spans="1:21">
      <c r="A132" s="1">
        <f t="shared" si="1"/>
        <v>127</v>
      </c>
      <c r="B132" s="1">
        <f>B131</f>
        <v>31</v>
      </c>
      <c r="C132" s="1">
        <v>3</v>
      </c>
      <c r="D132" s="3" t="str">
        <f>VLOOKUP(B132,AE_weight!$U$4:$Y$36,C132+1)</f>
        <v>FFFF</v>
      </c>
      <c r="E132" s="3" t="str">
        <f>VLOOKUP(B132,AE_weight!$U$40:$Y$72,C132+1)</f>
        <v>0000</v>
      </c>
      <c r="F132" s="3" t="str">
        <f>VLOOKUP(B132,AE_weight!$U$76:$Y$108,C132+1)</f>
        <v>0000</v>
      </c>
      <c r="G132" s="3" t="str">
        <f>VLOOKUP(B132,AE_weight!$U$112:$Y$144,C132+1)</f>
        <v>2222</v>
      </c>
      <c r="H132" s="3" t="str">
        <f>VLOOKUP(B132,AE_weight!$U$149:$Y$180,C132+1)</f>
        <v>0000</v>
      </c>
      <c r="I132" s="3" t="str">
        <f>VLOOKUP(B132,AE_weight!$U$185:$Y$216,C132+1)</f>
        <v>0000</v>
      </c>
      <c r="J132" s="3" t="str">
        <f>VLOOKUP(B132,AE_weight!$U$221:$Y$252,C132+1)</f>
        <v>0000</v>
      </c>
      <c r="K132" s="3" t="str">
        <f>VLOOKUP(B132,AE_weight!$U$257:$Y$288,C132+1)</f>
        <v>0101</v>
      </c>
      <c r="L132" s="3" t="str">
        <f>VLOOKUP(B132,AE_weight!$U$293:$Y$324,C132+1)</f>
        <v>0000</v>
      </c>
      <c r="M132" s="3" t="str">
        <f>VLOOKUP(B132,AE_weight!$U$329:$Y$360,C132+1)</f>
        <v>4333</v>
      </c>
      <c r="N132" s="3" t="str">
        <f>VLOOKUP(B132,AE_weight!$U$365:$Y$396,C132+1)</f>
        <v>0000</v>
      </c>
      <c r="O132" s="3" t="str">
        <f>VLOOKUP(B132,AE_weight!$U$401:$Y$432,C132+1)</f>
        <v>0000</v>
      </c>
      <c r="P132" s="3" t="str">
        <f>VLOOKUP(B132,AE_weight!$U$437:$Y$468,C132+1)</f>
        <v>0000</v>
      </c>
      <c r="Q132" s="4"/>
      <c r="U132" s="4"/>
    </row>
    <row r="133" spans="1:21">
      <c r="A133" s="1">
        <f t="shared" si="1"/>
        <v>128</v>
      </c>
      <c r="B133" s="1">
        <f>B132</f>
        <v>31</v>
      </c>
      <c r="C133" s="1">
        <v>4</v>
      </c>
      <c r="D133" s="3" t="str">
        <f>VLOOKUP(B133,AE_weight!$U$4:$Y$36,C133+1)</f>
        <v>FFFF</v>
      </c>
      <c r="E133" s="3" t="str">
        <f>VLOOKUP(B133,AE_weight!$U$40:$Y$72,C133+1)</f>
        <v>0000</v>
      </c>
      <c r="F133" s="3" t="str">
        <f>VLOOKUP(B133,AE_weight!$U$76:$Y$108,C133+1)</f>
        <v>0000</v>
      </c>
      <c r="G133" s="3" t="str">
        <f>VLOOKUP(B133,AE_weight!$U$112:$Y$144,C133+1)</f>
        <v>2222</v>
      </c>
      <c r="H133" s="3" t="str">
        <f>VLOOKUP(B133,AE_weight!$U$149:$Y$180,C133+1)</f>
        <v>0000</v>
      </c>
      <c r="I133" s="3" t="str">
        <f>VLOOKUP(B133,AE_weight!$U$185:$Y$216,C133+1)</f>
        <v>0000</v>
      </c>
      <c r="J133" s="3" t="str">
        <f>VLOOKUP(B133,AE_weight!$U$221:$Y$252,C133+1)</f>
        <v>0000</v>
      </c>
      <c r="K133" s="3" t="str">
        <f>VLOOKUP(B133,AE_weight!$U$257:$Y$288,C133+1)</f>
        <v>0000</v>
      </c>
      <c r="L133" s="3" t="str">
        <f>VLOOKUP(B133,AE_weight!$U$293:$Y$324,C133+1)</f>
        <v>0000</v>
      </c>
      <c r="M133" s="3" t="str">
        <f>VLOOKUP(B133,AE_weight!$U$329:$Y$360,C133+1)</f>
        <v>2110</v>
      </c>
      <c r="N133" s="3" t="str">
        <f>VLOOKUP(B133,AE_weight!$U$365:$Y$396,C133+1)</f>
        <v>0000</v>
      </c>
      <c r="O133" s="3" t="str">
        <f>VLOOKUP(B133,AE_weight!$U$401:$Y$432,C133+1)</f>
        <v>0000</v>
      </c>
      <c r="P133" s="3" t="str">
        <f>VLOOKUP(B133,AE_weight!$U$437:$Y$468,C133+1)</f>
        <v>0000</v>
      </c>
      <c r="Q133" s="4"/>
      <c r="U133" s="4"/>
    </row>
  </sheetData>
  <phoneticPr fontId="10"/>
  <conditionalFormatting sqref="A6:XFD37 L7:P133">
    <cfRule type="expression" dxfId="5" priority="6" stopIfTrue="1">
      <formula>MOD(RAW(),2)=0</formula>
    </cfRule>
  </conditionalFormatting>
  <conditionalFormatting sqref="L6:L133">
    <cfRule type="expression" dxfId="4" priority="5" stopIfTrue="1">
      <formula>MOD(RAW(),2)=0</formula>
    </cfRule>
  </conditionalFormatting>
  <conditionalFormatting sqref="M6:M133">
    <cfRule type="expression" dxfId="3" priority="4" stopIfTrue="1">
      <formula>MOD(RAW(),2)=0</formula>
    </cfRule>
  </conditionalFormatting>
  <conditionalFormatting sqref="N6:O133">
    <cfRule type="expression" dxfId="2" priority="3" stopIfTrue="1">
      <formula>MOD(RAW(),2)=0</formula>
    </cfRule>
  </conditionalFormatting>
  <conditionalFormatting sqref="P6:P133">
    <cfRule type="expression" dxfId="1" priority="2" stopIfTrue="1">
      <formula>MOD(RAW(),2)=0</formula>
    </cfRule>
  </conditionalFormatting>
  <conditionalFormatting sqref="N7:N133">
    <cfRule type="expression" dxfId="0" priority="1" stopIfTrue="1">
      <formula>MOD(RAW(),2)=0</formula>
    </cfRule>
  </conditionalFormatting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History</vt:lpstr>
      <vt:lpstr>ROM_MAP</vt:lpstr>
      <vt:lpstr>ROM_WORK</vt:lpstr>
      <vt:lpstr>AE_weight</vt:lpstr>
      <vt:lpstr>AE_w_WORK</vt:lpstr>
      <vt:lpstr>ROM_MAP!Print_Area</vt:lpstr>
      <vt:lpstr>ROM_WORK!Print_Area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</dc:creator>
  <cp:lastModifiedBy>HiroyukiSATO</cp:lastModifiedBy>
  <dcterms:created xsi:type="dcterms:W3CDTF">1997-01-08T22:48:59Z</dcterms:created>
  <dcterms:modified xsi:type="dcterms:W3CDTF">2014-11-10T07:42:06Z</dcterms:modified>
</cp:coreProperties>
</file>